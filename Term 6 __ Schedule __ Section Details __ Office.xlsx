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nu\Downloads\Acad Comm\Pranuv SIP\"/>
    </mc:Choice>
  </mc:AlternateContent>
  <xr:revisionPtr revIDLastSave="0" documentId="13_ncr:1_{04EF4265-4329-4979-9E8B-1F55193A3B5F}" xr6:coauthVersionLast="47" xr6:coauthVersionMax="47" xr10:uidLastSave="{00000000-0000-0000-0000-000000000000}"/>
  <bookViews>
    <workbookView xWindow="-110" yWindow="-110" windowWidth="25820" windowHeight="15500" firstSheet="26" activeTab="2" xr2:uid="{00000000-000D-0000-FFFF-FFFF00000000}"/>
  </bookViews>
  <sheets>
    <sheet name="Faculty List" sheetId="1" r:id="rId1"/>
    <sheet name="Exam" sheetId="2" state="hidden" r:id="rId2"/>
    <sheet name="Course Details" sheetId="3" r:id="rId3"/>
    <sheet name="Schedule" sheetId="4" r:id="rId4"/>
    <sheet name="Rescheduling Master" sheetId="5" r:id="rId5"/>
    <sheet name="Sample Sheet" sheetId="6" state="hidden" r:id="rId6"/>
    <sheet name="Section Details" sheetId="7" state="hidden" r:id="rId7"/>
    <sheet name="Batch || Working" sheetId="8" r:id="rId8"/>
    <sheet name="Fintech" sheetId="9" r:id="rId9"/>
    <sheet name="Fintech-A" sheetId="10" r:id="rId10"/>
    <sheet name="BEDM" sheetId="11" state="hidden" r:id="rId11"/>
    <sheet name="Fintech-B" sheetId="12" r:id="rId12"/>
    <sheet name="BEDM-A" sheetId="13" r:id="rId13"/>
    <sheet name="BEDM-B" sheetId="14" r:id="rId14"/>
    <sheet name="WH" sheetId="15" state="hidden" r:id="rId15"/>
    <sheet name="WH-A" sheetId="16" r:id="rId16"/>
    <sheet name="WH-B" sheetId="17" r:id="rId17"/>
    <sheet name="Art" sheetId="18" state="hidden" r:id="rId18"/>
    <sheet name="Art-A" sheetId="19" r:id="rId19"/>
    <sheet name="Art-B" sheetId="20" r:id="rId20"/>
    <sheet name="LETV" sheetId="21" r:id="rId21"/>
    <sheet name="SHRM" sheetId="22" r:id="rId22"/>
    <sheet name="AIS" sheetId="23" r:id="rId23"/>
    <sheet name="EB" sheetId="24" r:id="rId24"/>
    <sheet name="AIAM" sheetId="25" state="hidden" r:id="rId25"/>
    <sheet name="AIAM-A" sheetId="26" r:id="rId26"/>
    <sheet name="AIAM-B" sheetId="27" r:id="rId27"/>
    <sheet name="I4TS" sheetId="28" r:id="rId28"/>
    <sheet name="SA-A" sheetId="29" r:id="rId29"/>
    <sheet name="SA" sheetId="30" state="hidden" r:id="rId30"/>
    <sheet name="SA-B" sheetId="31" r:id="rId31"/>
    <sheet name="SCM" sheetId="32" r:id="rId32"/>
    <sheet name="SCM-A" sheetId="33" r:id="rId33"/>
    <sheet name="SCM-B" sheetId="34" r:id="rId34"/>
    <sheet name="Film&amp;Firm" sheetId="35" r:id="rId35"/>
    <sheet name="Film&amp;Firm-A" sheetId="36" r:id="rId36"/>
    <sheet name="Film&amp;Firm-B" sheetId="37" r:id="rId37"/>
    <sheet name="CSM" sheetId="38" r:id="rId38"/>
    <sheet name="EM" sheetId="39" r:id="rId39"/>
    <sheet name="Batch_Data" sheetId="40" state="hidden" r:id="rId40"/>
  </sheets>
  <definedNames>
    <definedName name="_xlnm._FilterDatabase" localSheetId="4" hidden="1">'Rescheduling Master'!$A$1:$X$24</definedName>
    <definedName name="_xlnm._FilterDatabase" localSheetId="5" hidden="1">'Sample Sheet'!$A$1:$B$266</definedName>
    <definedName name="_xlnm._FilterDatabase" localSheetId="14" hidden="1">WH!$F$1:$F$1000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39" l="1" a="1"/>
  <c r="C71" i="39" s="1"/>
  <c r="C70" i="39" a="1"/>
  <c r="C70" i="39" s="1"/>
  <c r="C69" i="39" a="1"/>
  <c r="C69" i="39" s="1"/>
  <c r="C68" i="39" a="1"/>
  <c r="C68" i="39" s="1"/>
  <c r="C67" i="39" a="1"/>
  <c r="C67" i="39" s="1"/>
  <c r="C66" i="39" a="1"/>
  <c r="C66" i="39" s="1"/>
  <c r="C65" i="39" a="1"/>
  <c r="C65" i="39" s="1"/>
  <c r="C64" i="39" a="1"/>
  <c r="C64" i="39" s="1"/>
  <c r="C63" i="39" a="1"/>
  <c r="C63" i="39" s="1"/>
  <c r="C62" i="39" a="1"/>
  <c r="C62" i="39" s="1"/>
  <c r="C61" i="39" a="1"/>
  <c r="C61" i="39" s="1"/>
  <c r="C60" i="39" a="1"/>
  <c r="C60" i="39" s="1"/>
  <c r="C59" i="39" a="1"/>
  <c r="C59" i="39" s="1"/>
  <c r="C58" i="39" a="1"/>
  <c r="C58" i="39" s="1"/>
  <c r="C57" i="39" a="1"/>
  <c r="C57" i="39" s="1"/>
  <c r="C56" i="39" a="1"/>
  <c r="C56" i="39" s="1"/>
  <c r="C55" i="39" a="1"/>
  <c r="C55" i="39" s="1"/>
  <c r="C54" i="39" a="1"/>
  <c r="C54" i="39" s="1"/>
  <c r="C53" i="39" a="1"/>
  <c r="C53" i="39" s="1"/>
  <c r="C52" i="39" a="1"/>
  <c r="C52" i="39" s="1"/>
  <c r="C51" i="39" a="1"/>
  <c r="C51" i="39" s="1"/>
  <c r="C50" i="39" a="1"/>
  <c r="C50" i="39" s="1"/>
  <c r="C49" i="39" a="1"/>
  <c r="C49" i="39" s="1"/>
  <c r="C48" i="39" a="1"/>
  <c r="C48" i="39" s="1"/>
  <c r="C47" i="39" a="1"/>
  <c r="C47" i="39" s="1"/>
  <c r="C46" i="39" a="1"/>
  <c r="C46" i="39" s="1"/>
  <c r="C45" i="39" a="1"/>
  <c r="C45" i="39" s="1"/>
  <c r="C44" i="39" a="1"/>
  <c r="C44" i="39" s="1"/>
  <c r="C43" i="39" a="1"/>
  <c r="C43" i="39" s="1"/>
  <c r="C42" i="39" a="1"/>
  <c r="C42" i="39" s="1"/>
  <c r="C41" i="39" a="1"/>
  <c r="C41" i="39" s="1"/>
  <c r="C40" i="39" a="1"/>
  <c r="C40" i="39" s="1"/>
  <c r="C39" i="39" a="1"/>
  <c r="C39" i="39" s="1"/>
  <c r="C38" i="39" a="1"/>
  <c r="C38" i="39" s="1"/>
  <c r="C37" i="39" a="1"/>
  <c r="C37" i="39" s="1"/>
  <c r="C36" i="39" a="1"/>
  <c r="C36" i="39" s="1"/>
  <c r="C35" i="39" a="1"/>
  <c r="C35" i="39" s="1"/>
  <c r="C34" i="39" a="1"/>
  <c r="C34" i="39" s="1"/>
  <c r="C33" i="39" a="1"/>
  <c r="C33" i="39" s="1"/>
  <c r="C32" i="39" a="1"/>
  <c r="C32" i="39" s="1"/>
  <c r="C31" i="39" a="1"/>
  <c r="C31" i="39" s="1"/>
  <c r="C30" i="39" a="1"/>
  <c r="C30" i="39" s="1"/>
  <c r="C29" i="39" a="1"/>
  <c r="C29" i="39" s="1"/>
  <c r="C28" i="39" a="1"/>
  <c r="C28" i="39" s="1"/>
  <c r="C27" i="39" a="1"/>
  <c r="C27" i="39" s="1"/>
  <c r="C26" i="39" a="1"/>
  <c r="C26" i="39" s="1"/>
  <c r="C25" i="39" a="1"/>
  <c r="C25" i="39" s="1"/>
  <c r="C24" i="39" a="1"/>
  <c r="C24" i="39" s="1"/>
  <c r="C23" i="39" a="1"/>
  <c r="C23" i="39" s="1"/>
  <c r="C22" i="39" a="1"/>
  <c r="C22" i="39" s="1"/>
  <c r="C21" i="39" a="1"/>
  <c r="C21" i="39" s="1"/>
  <c r="C20" i="39" a="1"/>
  <c r="C20" i="39" s="1"/>
  <c r="C19" i="39" a="1"/>
  <c r="C19" i="39" s="1"/>
  <c r="C18" i="39" a="1"/>
  <c r="C18" i="39" s="1"/>
  <c r="C17" i="39" a="1"/>
  <c r="C17" i="39" s="1"/>
  <c r="C16" i="39" a="1"/>
  <c r="C16" i="39" s="1"/>
  <c r="C15" i="39" a="1"/>
  <c r="C15" i="39" s="1"/>
  <c r="C14" i="39" a="1"/>
  <c r="C14" i="39" s="1"/>
  <c r="C13" i="39" a="1"/>
  <c r="C13" i="39" s="1"/>
  <c r="C12" i="39" a="1"/>
  <c r="C12" i="39" s="1"/>
  <c r="C11" i="39" a="1"/>
  <c r="C11" i="39" s="1"/>
  <c r="C10" i="39" a="1"/>
  <c r="C10" i="39" s="1"/>
  <c r="C9" i="39" a="1"/>
  <c r="C9" i="39" s="1"/>
  <c r="C8" i="39" a="1"/>
  <c r="C8" i="39" s="1"/>
  <c r="C7" i="39" a="1"/>
  <c r="C7" i="39" s="1"/>
  <c r="C6" i="39" a="1"/>
  <c r="C6" i="39" s="1"/>
  <c r="C5" i="39" a="1"/>
  <c r="C5" i="39" s="1"/>
  <c r="C4" i="39" a="1"/>
  <c r="C4" i="39" s="1"/>
  <c r="C3" i="39" a="1"/>
  <c r="C3" i="39" s="1"/>
  <c r="C2" i="39" a="1"/>
  <c r="C2" i="39" s="1"/>
  <c r="C71" i="38" a="1"/>
  <c r="C71" i="38" s="1"/>
  <c r="C70" i="38" a="1"/>
  <c r="C70" i="38" s="1"/>
  <c r="C69" i="38" a="1"/>
  <c r="C69" i="38" s="1"/>
  <c r="C68" i="38" a="1"/>
  <c r="C68" i="38" s="1"/>
  <c r="C67" i="38" a="1"/>
  <c r="C67" i="38" s="1"/>
  <c r="C66" i="38" a="1"/>
  <c r="C66" i="38" s="1"/>
  <c r="C65" i="38" a="1"/>
  <c r="C65" i="38" s="1"/>
  <c r="C64" i="38" a="1"/>
  <c r="C64" i="38" s="1"/>
  <c r="C63" i="38" a="1"/>
  <c r="C63" i="38" s="1"/>
  <c r="C62" i="38" a="1"/>
  <c r="C62" i="38" s="1"/>
  <c r="C61" i="38" a="1"/>
  <c r="C61" i="38" s="1"/>
  <c r="C60" i="38" a="1"/>
  <c r="C60" i="38" s="1"/>
  <c r="C59" i="38" a="1"/>
  <c r="C59" i="38" s="1"/>
  <c r="C58" i="38" a="1"/>
  <c r="C58" i="38" s="1"/>
  <c r="C57" i="38" a="1"/>
  <c r="C57" i="38" s="1"/>
  <c r="C56" i="38" a="1"/>
  <c r="C56" i="38" s="1"/>
  <c r="C55" i="38" a="1"/>
  <c r="C55" i="38" s="1"/>
  <c r="C54" i="38" a="1"/>
  <c r="C54" i="38" s="1"/>
  <c r="C53" i="38" a="1"/>
  <c r="C53" i="38" s="1"/>
  <c r="C52" i="38" a="1"/>
  <c r="C52" i="38" s="1"/>
  <c r="C51" i="38" a="1"/>
  <c r="C51" i="38" s="1"/>
  <c r="C50" i="38" a="1"/>
  <c r="C50" i="38" s="1"/>
  <c r="C49" i="38" a="1"/>
  <c r="C49" i="38" s="1"/>
  <c r="C48" i="38" a="1"/>
  <c r="C48" i="38" s="1"/>
  <c r="C47" i="38" a="1"/>
  <c r="C47" i="38" s="1"/>
  <c r="C46" i="38" a="1"/>
  <c r="C46" i="38" s="1"/>
  <c r="C45" i="38" a="1"/>
  <c r="C45" i="38" s="1"/>
  <c r="C44" i="38" a="1"/>
  <c r="C44" i="38" s="1"/>
  <c r="C43" i="38" a="1"/>
  <c r="C43" i="38" s="1"/>
  <c r="C42" i="38" a="1"/>
  <c r="C42" i="38" s="1"/>
  <c r="C41" i="38" a="1"/>
  <c r="C41" i="38" s="1"/>
  <c r="C40" i="38" a="1"/>
  <c r="C40" i="38" s="1"/>
  <c r="C39" i="38" a="1"/>
  <c r="C39" i="38" s="1"/>
  <c r="C38" i="38" a="1"/>
  <c r="C38" i="38" s="1"/>
  <c r="C37" i="38" a="1"/>
  <c r="C37" i="38" s="1"/>
  <c r="C36" i="38" a="1"/>
  <c r="C36" i="38" s="1"/>
  <c r="C35" i="38" a="1"/>
  <c r="C35" i="38" s="1"/>
  <c r="C34" i="38" a="1"/>
  <c r="C34" i="38" s="1"/>
  <c r="C33" i="38" a="1"/>
  <c r="C33" i="38" s="1"/>
  <c r="C32" i="38" a="1"/>
  <c r="C32" i="38" s="1"/>
  <c r="C31" i="38" a="1"/>
  <c r="C31" i="38" s="1"/>
  <c r="C30" i="38" a="1"/>
  <c r="C30" i="38" s="1"/>
  <c r="C29" i="38" a="1"/>
  <c r="C29" i="38" s="1"/>
  <c r="C28" i="38" a="1"/>
  <c r="C28" i="38" s="1"/>
  <c r="C27" i="38" a="1"/>
  <c r="C27" i="38" s="1"/>
  <c r="C26" i="38" a="1"/>
  <c r="C26" i="38" s="1"/>
  <c r="C25" i="38" a="1"/>
  <c r="C25" i="38" s="1"/>
  <c r="C24" i="38" a="1"/>
  <c r="C24" i="38" s="1"/>
  <c r="C23" i="38" a="1"/>
  <c r="C23" i="38" s="1"/>
  <c r="C22" i="38" a="1"/>
  <c r="C22" i="38" s="1"/>
  <c r="C21" i="38" a="1"/>
  <c r="C21" i="38" s="1"/>
  <c r="C20" i="38" a="1"/>
  <c r="C20" i="38" s="1"/>
  <c r="C19" i="38" a="1"/>
  <c r="C19" i="38" s="1"/>
  <c r="C18" i="38" a="1"/>
  <c r="C18" i="38" s="1"/>
  <c r="C17" i="38" a="1"/>
  <c r="C17" i="38" s="1"/>
  <c r="C16" i="38" a="1"/>
  <c r="C16" i="38" s="1"/>
  <c r="C15" i="38" a="1"/>
  <c r="C15" i="38" s="1"/>
  <c r="C14" i="38" a="1"/>
  <c r="C14" i="38" s="1"/>
  <c r="C13" i="38" a="1"/>
  <c r="C13" i="38" s="1"/>
  <c r="C12" i="38" a="1"/>
  <c r="C12" i="38" s="1"/>
  <c r="C11" i="38" a="1"/>
  <c r="C11" i="38" s="1"/>
  <c r="C10" i="38" a="1"/>
  <c r="C10" i="38" s="1"/>
  <c r="C9" i="38" a="1"/>
  <c r="C9" i="38" s="1"/>
  <c r="C8" i="38" a="1"/>
  <c r="C8" i="38" s="1"/>
  <c r="C7" i="38" a="1"/>
  <c r="C7" i="38" s="1"/>
  <c r="C6" i="38" a="1"/>
  <c r="C6" i="38" s="1"/>
  <c r="C5" i="38" a="1"/>
  <c r="C5" i="38" s="1"/>
  <c r="C4" i="38" a="1"/>
  <c r="C4" i="38" s="1"/>
  <c r="C3" i="38" a="1"/>
  <c r="C3" i="38" s="1"/>
  <c r="C2" i="38" a="1"/>
  <c r="C2" i="38" s="1"/>
  <c r="C67" i="37" a="1"/>
  <c r="C67" i="37" s="1"/>
  <c r="C66" i="37" a="1"/>
  <c r="C66" i="37" s="1"/>
  <c r="C64" i="37" a="1"/>
  <c r="C64" i="37" s="1"/>
  <c r="C63" i="37" a="1"/>
  <c r="C63" i="37" s="1"/>
  <c r="C59" i="37" a="1"/>
  <c r="C59" i="37" s="1"/>
  <c r="C58" i="37" a="1"/>
  <c r="C58" i="37" s="1"/>
  <c r="C53" i="37" a="1"/>
  <c r="C53" i="37" s="1"/>
  <c r="C51" i="37" a="1"/>
  <c r="C51" i="37" s="1"/>
  <c r="C47" i="37" a="1"/>
  <c r="C47" i="37" s="1"/>
  <c r="C46" i="37" a="1"/>
  <c r="C46" i="37" s="1"/>
  <c r="C44" i="37" a="1"/>
  <c r="C44" i="37" s="1"/>
  <c r="C43" i="37" a="1"/>
  <c r="C43" i="37" s="1"/>
  <c r="C42" i="37" a="1"/>
  <c r="C42" i="37" s="1"/>
  <c r="C41" i="37" a="1"/>
  <c r="C41" i="37" s="1"/>
  <c r="C40" i="37" a="1"/>
  <c r="C40" i="37" s="1"/>
  <c r="C39" i="37" a="1"/>
  <c r="C39" i="37" s="1"/>
  <c r="C38" i="37" a="1"/>
  <c r="C38" i="37" s="1"/>
  <c r="C36" i="37" a="1"/>
  <c r="C36" i="37" s="1"/>
  <c r="C35" i="37" a="1"/>
  <c r="C35" i="37" s="1"/>
  <c r="C33" i="37" a="1"/>
  <c r="C33" i="37" s="1"/>
  <c r="C30" i="37" a="1"/>
  <c r="C30" i="37" s="1"/>
  <c r="C29" i="37" a="1"/>
  <c r="C29" i="37" s="1"/>
  <c r="C28" i="37" a="1"/>
  <c r="C28" i="37" s="1"/>
  <c r="C27" i="37" a="1"/>
  <c r="C27" i="37" s="1"/>
  <c r="C26" i="37" a="1"/>
  <c r="C26" i="37" s="1"/>
  <c r="C23" i="37" a="1"/>
  <c r="C23" i="37" s="1"/>
  <c r="C22" i="37" a="1"/>
  <c r="C22" i="37" s="1"/>
  <c r="C21" i="37" a="1"/>
  <c r="C21" i="37" s="1"/>
  <c r="C20" i="37" a="1"/>
  <c r="C20" i="37" s="1"/>
  <c r="C19" i="37" a="1"/>
  <c r="C19" i="37" s="1"/>
  <c r="C18" i="37" a="1"/>
  <c r="C18" i="37" s="1"/>
  <c r="C17" i="37" a="1"/>
  <c r="C17" i="37" s="1"/>
  <c r="C16" i="37" a="1"/>
  <c r="C16" i="37" s="1"/>
  <c r="C15" i="37" a="1"/>
  <c r="C15" i="37" s="1"/>
  <c r="C14" i="37" a="1"/>
  <c r="C14" i="37" s="1"/>
  <c r="C13" i="37" a="1"/>
  <c r="C13" i="37" s="1"/>
  <c r="C12" i="37" a="1"/>
  <c r="C12" i="37" s="1"/>
  <c r="C11" i="37" a="1"/>
  <c r="C11" i="37" s="1"/>
  <c r="C10" i="37" a="1"/>
  <c r="C10" i="37" s="1"/>
  <c r="C9" i="37" a="1"/>
  <c r="C9" i="37" s="1"/>
  <c r="C6" i="37" a="1"/>
  <c r="C6" i="37" s="1"/>
  <c r="C5" i="37" a="1"/>
  <c r="C5" i="37" s="1"/>
  <c r="C4" i="37" a="1"/>
  <c r="C4" i="37" s="1"/>
  <c r="C2" i="37" a="1"/>
  <c r="C2" i="37" s="1"/>
  <c r="C73" i="36" a="1"/>
  <c r="C73" i="36" s="1"/>
  <c r="C72" i="36" a="1"/>
  <c r="C72" i="36" s="1"/>
  <c r="C71" i="36" a="1"/>
  <c r="C71" i="36" s="1"/>
  <c r="C70" i="36" a="1"/>
  <c r="C70" i="36" s="1"/>
  <c r="C69" i="36" a="1"/>
  <c r="C69" i="36" s="1"/>
  <c r="C68" i="36" a="1"/>
  <c r="C68" i="36" s="1"/>
  <c r="C67" i="36" a="1"/>
  <c r="C67" i="36" s="1"/>
  <c r="C66" i="36" a="1"/>
  <c r="C66" i="36" s="1"/>
  <c r="C65" i="36" a="1"/>
  <c r="C65" i="36" s="1"/>
  <c r="C64" i="36" a="1"/>
  <c r="C64" i="36" s="1"/>
  <c r="C63" i="36" a="1"/>
  <c r="C63" i="36" s="1"/>
  <c r="C62" i="36" a="1"/>
  <c r="C62" i="36" s="1"/>
  <c r="C61" i="36" a="1"/>
  <c r="C61" i="36" s="1"/>
  <c r="C60" i="36" a="1"/>
  <c r="C60" i="36" s="1"/>
  <c r="C59" i="36" a="1"/>
  <c r="C59" i="36" s="1"/>
  <c r="C58" i="36" a="1"/>
  <c r="C58" i="36" s="1"/>
  <c r="C57" i="36" a="1"/>
  <c r="C57" i="36" s="1"/>
  <c r="C56" i="36" a="1"/>
  <c r="C56" i="36" s="1"/>
  <c r="C55" i="36" a="1"/>
  <c r="C55" i="36" s="1"/>
  <c r="C54" i="36" a="1"/>
  <c r="C54" i="36" s="1"/>
  <c r="C53" i="36" a="1"/>
  <c r="C53" i="36" s="1"/>
  <c r="C52" i="36" a="1"/>
  <c r="C52" i="36" s="1"/>
  <c r="C51" i="36" a="1"/>
  <c r="C51" i="36" s="1"/>
  <c r="C50" i="36" a="1"/>
  <c r="C50" i="36" s="1"/>
  <c r="C49" i="36" a="1"/>
  <c r="C49" i="36" s="1"/>
  <c r="C48" i="36" a="1"/>
  <c r="C48" i="36" s="1"/>
  <c r="C47" i="36" a="1"/>
  <c r="C47" i="36" s="1"/>
  <c r="C46" i="36" a="1"/>
  <c r="C46" i="36" s="1"/>
  <c r="C45" i="36" a="1"/>
  <c r="C45" i="36" s="1"/>
  <c r="C44" i="36" a="1"/>
  <c r="C44" i="36" s="1"/>
  <c r="C43" i="36" a="1"/>
  <c r="C43" i="36" s="1"/>
  <c r="C42" i="36" a="1"/>
  <c r="C42" i="36" s="1"/>
  <c r="C41" i="36" a="1"/>
  <c r="C41" i="36" s="1"/>
  <c r="C40" i="36" a="1"/>
  <c r="C40" i="36" s="1"/>
  <c r="C39" i="36" a="1"/>
  <c r="C39" i="36" s="1"/>
  <c r="C38" i="36" a="1"/>
  <c r="C38" i="36" s="1"/>
  <c r="C37" i="36" a="1"/>
  <c r="C37" i="36" s="1"/>
  <c r="C36" i="36" a="1"/>
  <c r="C36" i="36" s="1"/>
  <c r="C35" i="36" a="1"/>
  <c r="C35" i="36" s="1"/>
  <c r="C34" i="36" a="1"/>
  <c r="C34" i="36" s="1"/>
  <c r="C33" i="36" a="1"/>
  <c r="C33" i="36" s="1"/>
  <c r="C32" i="36" a="1"/>
  <c r="C32" i="36" s="1"/>
  <c r="C31" i="36" a="1"/>
  <c r="C31" i="36" s="1"/>
  <c r="C30" i="36" a="1"/>
  <c r="C30" i="36" s="1"/>
  <c r="C29" i="36" a="1"/>
  <c r="C29" i="36" s="1"/>
  <c r="C28" i="36" a="1"/>
  <c r="C28" i="36" s="1"/>
  <c r="C27" i="36" a="1"/>
  <c r="C27" i="36" s="1"/>
  <c r="C26" i="36" a="1"/>
  <c r="C26" i="36" s="1"/>
  <c r="C25" i="36" a="1"/>
  <c r="C25" i="36" s="1"/>
  <c r="C24" i="36" a="1"/>
  <c r="C24" i="36" s="1"/>
  <c r="C23" i="36" a="1"/>
  <c r="C23" i="36" s="1"/>
  <c r="C22" i="36" a="1"/>
  <c r="C22" i="36" s="1"/>
  <c r="C21" i="36" a="1"/>
  <c r="C21" i="36" s="1"/>
  <c r="C20" i="36" a="1"/>
  <c r="C20" i="36" s="1"/>
  <c r="C19" i="36" a="1"/>
  <c r="C19" i="36" s="1"/>
  <c r="C18" i="36" a="1"/>
  <c r="C18" i="36" s="1"/>
  <c r="C17" i="36" a="1"/>
  <c r="C17" i="36" s="1"/>
  <c r="C16" i="36" a="1"/>
  <c r="C16" i="36" s="1"/>
  <c r="C15" i="36" a="1"/>
  <c r="C15" i="36" s="1"/>
  <c r="C14" i="36" a="1"/>
  <c r="C14" i="36" s="1"/>
  <c r="C13" i="36" a="1"/>
  <c r="C13" i="36" s="1"/>
  <c r="C12" i="36" a="1"/>
  <c r="C12" i="36" s="1"/>
  <c r="C11" i="36" a="1"/>
  <c r="C11" i="36" s="1"/>
  <c r="C10" i="36" a="1"/>
  <c r="C10" i="36" s="1"/>
  <c r="C9" i="36" a="1"/>
  <c r="C9" i="36" s="1"/>
  <c r="C8" i="36" a="1"/>
  <c r="C8" i="36" s="1"/>
  <c r="C7" i="36" a="1"/>
  <c r="C7" i="36" s="1"/>
  <c r="C6" i="36" a="1"/>
  <c r="C6" i="36" s="1"/>
  <c r="C5" i="36" a="1"/>
  <c r="C5" i="36" s="1"/>
  <c r="C4" i="36" a="1"/>
  <c r="C4" i="36" s="1"/>
  <c r="C3" i="36" a="1"/>
  <c r="C3" i="36" s="1"/>
  <c r="C2" i="36" a="1"/>
  <c r="C2" i="36" s="1"/>
  <c r="C141" i="35" a="1"/>
  <c r="C141" i="35" s="1"/>
  <c r="C140" i="35" a="1"/>
  <c r="C140" i="35" s="1"/>
  <c r="C139" i="35" a="1"/>
  <c r="C139" i="35" s="1"/>
  <c r="C138" i="35" a="1"/>
  <c r="C138" i="35" s="1"/>
  <c r="C137" i="35" a="1"/>
  <c r="C137" i="35" s="1"/>
  <c r="C136" i="35" a="1"/>
  <c r="C136" i="35" s="1"/>
  <c r="C135" i="35" a="1"/>
  <c r="C135" i="35" s="1"/>
  <c r="C134" i="35" a="1"/>
  <c r="C134" i="35" s="1"/>
  <c r="C133" i="35" a="1"/>
  <c r="C133" i="35" s="1"/>
  <c r="C132" i="35" a="1"/>
  <c r="C132" i="35" s="1"/>
  <c r="C131" i="35" a="1"/>
  <c r="C131" i="35" s="1"/>
  <c r="C130" i="35" a="1"/>
  <c r="C130" i="35" s="1"/>
  <c r="C129" i="35" a="1"/>
  <c r="C129" i="35" s="1"/>
  <c r="C128" i="35" a="1"/>
  <c r="C128" i="35" s="1"/>
  <c r="C127" i="35" a="1"/>
  <c r="C127" i="35" s="1"/>
  <c r="C126" i="35" a="1"/>
  <c r="C126" i="35" s="1"/>
  <c r="C125" i="35" a="1"/>
  <c r="C125" i="35" s="1"/>
  <c r="C124" i="35" a="1"/>
  <c r="C124" i="35" s="1"/>
  <c r="C123" i="35" a="1"/>
  <c r="C123" i="35" s="1"/>
  <c r="C122" i="35" a="1"/>
  <c r="C122" i="35" s="1"/>
  <c r="C121" i="35" a="1"/>
  <c r="C121" i="35" s="1"/>
  <c r="C120" i="35" a="1"/>
  <c r="C120" i="35" s="1"/>
  <c r="C119" i="35" a="1"/>
  <c r="C119" i="35" s="1"/>
  <c r="C118" i="35" a="1"/>
  <c r="C118" i="35" s="1"/>
  <c r="C117" i="35" a="1"/>
  <c r="C117" i="35" s="1"/>
  <c r="C116" i="35" a="1"/>
  <c r="C116" i="35" s="1"/>
  <c r="C115" i="35" a="1"/>
  <c r="C115" i="35" s="1"/>
  <c r="C114" i="35" a="1"/>
  <c r="C114" i="35" s="1"/>
  <c r="C113" i="35" a="1"/>
  <c r="C113" i="35" s="1"/>
  <c r="C112" i="35" a="1"/>
  <c r="C112" i="35" s="1"/>
  <c r="C111" i="35" a="1"/>
  <c r="C111" i="35" s="1"/>
  <c r="C110" i="35" a="1"/>
  <c r="C110" i="35" s="1"/>
  <c r="C109" i="35" a="1"/>
  <c r="C109" i="35" s="1"/>
  <c r="C108" i="35" a="1"/>
  <c r="C108" i="35" s="1"/>
  <c r="C107" i="35" a="1"/>
  <c r="C107" i="35" s="1"/>
  <c r="C106" i="35" a="1"/>
  <c r="C106" i="35" s="1"/>
  <c r="C105" i="35" a="1"/>
  <c r="C105" i="35" s="1"/>
  <c r="C104" i="35" a="1"/>
  <c r="C104" i="35" s="1"/>
  <c r="C103" i="35" a="1"/>
  <c r="C103" i="35" s="1"/>
  <c r="C102" i="35" a="1"/>
  <c r="C102" i="35" s="1"/>
  <c r="C101" i="35" a="1"/>
  <c r="C101" i="35" s="1"/>
  <c r="C100" i="35" a="1"/>
  <c r="C100" i="35" s="1"/>
  <c r="C99" i="35" a="1"/>
  <c r="C99" i="35" s="1"/>
  <c r="C98" i="35" a="1"/>
  <c r="C98" i="35" s="1"/>
  <c r="C97" i="35" a="1"/>
  <c r="C97" i="35" s="1"/>
  <c r="C96" i="35" a="1"/>
  <c r="C96" i="35" s="1"/>
  <c r="C95" i="35" a="1"/>
  <c r="C95" i="35" s="1"/>
  <c r="C94" i="35" a="1"/>
  <c r="C94" i="35" s="1"/>
  <c r="C93" i="35" a="1"/>
  <c r="C93" i="35" s="1"/>
  <c r="C92" i="35" a="1"/>
  <c r="C92" i="35" s="1"/>
  <c r="C91" i="35" a="1"/>
  <c r="C91" i="35" s="1"/>
  <c r="C90" i="35" a="1"/>
  <c r="C90" i="35" s="1"/>
  <c r="C89" i="35" a="1"/>
  <c r="C89" i="35" s="1"/>
  <c r="C88" i="35" a="1"/>
  <c r="C88" i="35" s="1"/>
  <c r="C87" i="35" a="1"/>
  <c r="C87" i="35" s="1"/>
  <c r="C86" i="35" a="1"/>
  <c r="C86" i="35" s="1"/>
  <c r="C85" i="35" a="1"/>
  <c r="C85" i="35" s="1"/>
  <c r="C84" i="35" a="1"/>
  <c r="C84" i="35" s="1"/>
  <c r="C83" i="35" a="1"/>
  <c r="C83" i="35" s="1"/>
  <c r="C82" i="35" a="1"/>
  <c r="C82" i="35" s="1"/>
  <c r="C81" i="35" a="1"/>
  <c r="C81" i="35" s="1"/>
  <c r="C80" i="35" a="1"/>
  <c r="C80" i="35" s="1"/>
  <c r="C79" i="35" a="1"/>
  <c r="C79" i="35" s="1"/>
  <c r="C78" i="35" a="1"/>
  <c r="C78" i="35" s="1"/>
  <c r="C77" i="35" a="1"/>
  <c r="C77" i="35" s="1"/>
  <c r="C76" i="35" a="1"/>
  <c r="C76" i="35" s="1"/>
  <c r="C75" i="35" a="1"/>
  <c r="C75" i="35" s="1"/>
  <c r="C74" i="35" a="1"/>
  <c r="C74" i="35" s="1"/>
  <c r="C73" i="35" a="1"/>
  <c r="C73" i="35" s="1"/>
  <c r="C72" i="35" a="1"/>
  <c r="C72" i="35" s="1"/>
  <c r="C71" i="35" a="1"/>
  <c r="C71" i="35" s="1"/>
  <c r="C70" i="35" a="1"/>
  <c r="C70" i="35" s="1"/>
  <c r="C69" i="35" a="1"/>
  <c r="C69" i="35" s="1"/>
  <c r="C68" i="35" a="1"/>
  <c r="C68" i="35" s="1"/>
  <c r="C67" i="35" a="1"/>
  <c r="C67" i="35" s="1"/>
  <c r="C66" i="35" a="1"/>
  <c r="C66" i="35" s="1"/>
  <c r="C65" i="35" a="1"/>
  <c r="C65" i="35" s="1"/>
  <c r="C64" i="35" a="1"/>
  <c r="C64" i="35" s="1"/>
  <c r="C63" i="35" a="1"/>
  <c r="C63" i="35" s="1"/>
  <c r="C62" i="35" a="1"/>
  <c r="C62" i="35" s="1"/>
  <c r="C61" i="35" a="1"/>
  <c r="C61" i="35" s="1"/>
  <c r="C60" i="35" a="1"/>
  <c r="C60" i="35" s="1"/>
  <c r="C59" i="35" a="1"/>
  <c r="C59" i="35" s="1"/>
  <c r="C58" i="35" a="1"/>
  <c r="C58" i="35" s="1"/>
  <c r="C57" i="35" a="1"/>
  <c r="C57" i="35" s="1"/>
  <c r="C56" i="35" a="1"/>
  <c r="C56" i="35" s="1"/>
  <c r="C55" i="35" a="1"/>
  <c r="C55" i="35" s="1"/>
  <c r="C54" i="35" a="1"/>
  <c r="C54" i="35" s="1"/>
  <c r="C53" i="35" a="1"/>
  <c r="C53" i="35" s="1"/>
  <c r="C52" i="35" a="1"/>
  <c r="C52" i="35" s="1"/>
  <c r="C51" i="35" a="1"/>
  <c r="C51" i="35" s="1"/>
  <c r="C50" i="35" a="1"/>
  <c r="C50" i="35" s="1"/>
  <c r="C49" i="35" a="1"/>
  <c r="C49" i="35" s="1"/>
  <c r="C48" i="35" a="1"/>
  <c r="C48" i="35" s="1"/>
  <c r="C47" i="35" a="1"/>
  <c r="C47" i="35" s="1"/>
  <c r="C46" i="35" a="1"/>
  <c r="C46" i="35" s="1"/>
  <c r="C45" i="35" a="1"/>
  <c r="C45" i="35" s="1"/>
  <c r="C44" i="35" a="1"/>
  <c r="C44" i="35" s="1"/>
  <c r="C43" i="35" a="1"/>
  <c r="C43" i="35" s="1"/>
  <c r="C42" i="35" a="1"/>
  <c r="C42" i="35" s="1"/>
  <c r="C41" i="35" a="1"/>
  <c r="C41" i="35" s="1"/>
  <c r="C40" i="35" a="1"/>
  <c r="C40" i="35" s="1"/>
  <c r="C39" i="35" a="1"/>
  <c r="C39" i="35" s="1"/>
  <c r="C38" i="35" a="1"/>
  <c r="C38" i="35" s="1"/>
  <c r="C37" i="35" a="1"/>
  <c r="C37" i="35" s="1"/>
  <c r="C36" i="35" a="1"/>
  <c r="C36" i="35" s="1"/>
  <c r="C35" i="35" a="1"/>
  <c r="C35" i="35" s="1"/>
  <c r="C34" i="35" a="1"/>
  <c r="C34" i="35" s="1"/>
  <c r="C33" i="35" a="1"/>
  <c r="C33" i="35" s="1"/>
  <c r="C32" i="35" a="1"/>
  <c r="C32" i="35" s="1"/>
  <c r="C31" i="35" a="1"/>
  <c r="C31" i="35" s="1"/>
  <c r="C30" i="35" a="1"/>
  <c r="C30" i="35" s="1"/>
  <c r="C29" i="35" a="1"/>
  <c r="C29" i="35" s="1"/>
  <c r="C28" i="35" a="1"/>
  <c r="C28" i="35" s="1"/>
  <c r="C27" i="35" a="1"/>
  <c r="C27" i="35" s="1"/>
  <c r="C26" i="35" a="1"/>
  <c r="C26" i="35" s="1"/>
  <c r="C25" i="35" a="1"/>
  <c r="C25" i="35" s="1"/>
  <c r="C24" i="35" a="1"/>
  <c r="C24" i="35" s="1"/>
  <c r="C23" i="35" a="1"/>
  <c r="C23" i="35" s="1"/>
  <c r="C22" i="35" a="1"/>
  <c r="C22" i="35" s="1"/>
  <c r="C21" i="35" a="1"/>
  <c r="C21" i="35" s="1"/>
  <c r="C20" i="35" a="1"/>
  <c r="C20" i="35" s="1"/>
  <c r="C19" i="35" a="1"/>
  <c r="C19" i="35" s="1"/>
  <c r="C18" i="35" a="1"/>
  <c r="C18" i="35" s="1"/>
  <c r="C17" i="35" a="1"/>
  <c r="C17" i="35" s="1"/>
  <c r="C16" i="35" a="1"/>
  <c r="C16" i="35" s="1"/>
  <c r="C15" i="35" a="1"/>
  <c r="C15" i="35" s="1"/>
  <c r="C14" i="35" a="1"/>
  <c r="C14" i="35" s="1"/>
  <c r="C13" i="35" a="1"/>
  <c r="C13" i="35" s="1"/>
  <c r="C12" i="35" a="1"/>
  <c r="C12" i="35" s="1"/>
  <c r="C11" i="35" a="1"/>
  <c r="C11" i="35" s="1"/>
  <c r="C10" i="35" a="1"/>
  <c r="C10" i="35" s="1"/>
  <c r="C9" i="35" a="1"/>
  <c r="C9" i="35" s="1"/>
  <c r="C8" i="35" a="1"/>
  <c r="C8" i="35" s="1"/>
  <c r="C7" i="35" a="1"/>
  <c r="C7" i="35" s="1"/>
  <c r="C6" i="35" a="1"/>
  <c r="C6" i="35" s="1"/>
  <c r="C5" i="35" a="1"/>
  <c r="C5" i="35" s="1"/>
  <c r="C4" i="35" a="1"/>
  <c r="C4" i="35" s="1"/>
  <c r="C3" i="35" a="1"/>
  <c r="C3" i="35" s="1"/>
  <c r="C2" i="35" a="1"/>
  <c r="C2" i="35" s="1"/>
  <c r="C68" i="34" a="1"/>
  <c r="C68" i="34" s="1"/>
  <c r="C67" i="34" a="1"/>
  <c r="C67" i="34" s="1"/>
  <c r="C66" i="34" a="1"/>
  <c r="C66" i="34" s="1"/>
  <c r="C65" i="34" a="1"/>
  <c r="C65" i="34" s="1"/>
  <c r="C64" i="34" a="1"/>
  <c r="C64" i="34" s="1"/>
  <c r="C63" i="34" a="1"/>
  <c r="C63" i="34" s="1"/>
  <c r="C62" i="34" a="1"/>
  <c r="C62" i="34" s="1"/>
  <c r="C61" i="34" a="1"/>
  <c r="C61" i="34" s="1"/>
  <c r="C60" i="34" a="1"/>
  <c r="C60" i="34" s="1"/>
  <c r="C59" i="34" a="1"/>
  <c r="C59" i="34" s="1"/>
  <c r="C58" i="34" a="1"/>
  <c r="C58" i="34" s="1"/>
  <c r="C57" i="34" a="1"/>
  <c r="C57" i="34" s="1"/>
  <c r="C56" i="34" a="1"/>
  <c r="C56" i="34" s="1"/>
  <c r="C55" i="34" a="1"/>
  <c r="C55" i="34" s="1"/>
  <c r="C54" i="34" a="1"/>
  <c r="C54" i="34" s="1"/>
  <c r="C53" i="34" a="1"/>
  <c r="C53" i="34" s="1"/>
  <c r="C52" i="34" a="1"/>
  <c r="C52" i="34" s="1"/>
  <c r="C51" i="34" a="1"/>
  <c r="C51" i="34" s="1"/>
  <c r="C50" i="34" a="1"/>
  <c r="C50" i="34" s="1"/>
  <c r="C49" i="34" a="1"/>
  <c r="C49" i="34" s="1"/>
  <c r="C48" i="34" a="1"/>
  <c r="C48" i="34" s="1"/>
  <c r="C47" i="34" a="1"/>
  <c r="C47" i="34" s="1"/>
  <c r="C46" i="34" a="1"/>
  <c r="C46" i="34" s="1"/>
  <c r="C45" i="34" a="1"/>
  <c r="C45" i="34" s="1"/>
  <c r="C44" i="34" a="1"/>
  <c r="C44" i="34" s="1"/>
  <c r="C43" i="34" a="1"/>
  <c r="C43" i="34" s="1"/>
  <c r="C42" i="34" a="1"/>
  <c r="C42" i="34" s="1"/>
  <c r="C41" i="34" a="1"/>
  <c r="C41" i="34" s="1"/>
  <c r="C40" i="34" a="1"/>
  <c r="C40" i="34" s="1"/>
  <c r="C39" i="34" a="1"/>
  <c r="C39" i="34" s="1"/>
  <c r="C38" i="34" a="1"/>
  <c r="C38" i="34" s="1"/>
  <c r="C37" i="34" a="1"/>
  <c r="C37" i="34" s="1"/>
  <c r="C36" i="34" a="1"/>
  <c r="C36" i="34" s="1"/>
  <c r="C35" i="34" a="1"/>
  <c r="C35" i="34" s="1"/>
  <c r="C34" i="34" a="1"/>
  <c r="C34" i="34" s="1"/>
  <c r="C33" i="34" a="1"/>
  <c r="C33" i="34" s="1"/>
  <c r="C32" i="34" a="1"/>
  <c r="C32" i="34" s="1"/>
  <c r="C31" i="34" a="1"/>
  <c r="C31" i="34" s="1"/>
  <c r="C30" i="34" a="1"/>
  <c r="C30" i="34" s="1"/>
  <c r="C29" i="34" a="1"/>
  <c r="C29" i="34" s="1"/>
  <c r="C28" i="34" a="1"/>
  <c r="C28" i="34" s="1"/>
  <c r="C27" i="34" a="1"/>
  <c r="C27" i="34" s="1"/>
  <c r="C26" i="34" a="1"/>
  <c r="C26" i="34" s="1"/>
  <c r="C25" i="34" a="1"/>
  <c r="C25" i="34" s="1"/>
  <c r="C24" i="34" a="1"/>
  <c r="C24" i="34" s="1"/>
  <c r="C23" i="34" a="1"/>
  <c r="C23" i="34" s="1"/>
  <c r="C22" i="34" a="1"/>
  <c r="C22" i="34" s="1"/>
  <c r="C21" i="34" a="1"/>
  <c r="C21" i="34" s="1"/>
  <c r="C20" i="34" a="1"/>
  <c r="C20" i="34" s="1"/>
  <c r="C19" i="34" a="1"/>
  <c r="C19" i="34" s="1"/>
  <c r="C18" i="34" a="1"/>
  <c r="C18" i="34" s="1"/>
  <c r="C17" i="34" a="1"/>
  <c r="C17" i="34" s="1"/>
  <c r="C16" i="34" a="1"/>
  <c r="C16" i="34" s="1"/>
  <c r="C15" i="34" a="1"/>
  <c r="C15" i="34" s="1"/>
  <c r="C14" i="34" a="1"/>
  <c r="C14" i="34" s="1"/>
  <c r="C13" i="34" a="1"/>
  <c r="C13" i="34" s="1"/>
  <c r="C12" i="34" a="1"/>
  <c r="C12" i="34" s="1"/>
  <c r="C11" i="34" a="1"/>
  <c r="C11" i="34" s="1"/>
  <c r="C10" i="34" a="1"/>
  <c r="C10" i="34" s="1"/>
  <c r="C9" i="34" a="1"/>
  <c r="C9" i="34" s="1"/>
  <c r="C8" i="34" a="1"/>
  <c r="C8" i="34" s="1"/>
  <c r="C7" i="34" a="1"/>
  <c r="C7" i="34" s="1"/>
  <c r="C6" i="34" a="1"/>
  <c r="C6" i="34" s="1"/>
  <c r="C5" i="34" a="1"/>
  <c r="C5" i="34" s="1"/>
  <c r="C4" i="34" a="1"/>
  <c r="C4" i="34" s="1"/>
  <c r="C3" i="34" a="1"/>
  <c r="C3" i="34" s="1"/>
  <c r="C2" i="34" a="1"/>
  <c r="C2" i="34" s="1"/>
  <c r="C66" i="33" a="1"/>
  <c r="C66" i="33" s="1"/>
  <c r="C64" i="33" a="1"/>
  <c r="C64" i="33" s="1"/>
  <c r="C63" i="33" a="1"/>
  <c r="C63" i="33" s="1"/>
  <c r="C62" i="33" a="1"/>
  <c r="C62" i="33" s="1"/>
  <c r="C61" i="33" a="1"/>
  <c r="C61" i="33" s="1"/>
  <c r="C60" i="33" a="1"/>
  <c r="C60" i="33" s="1"/>
  <c r="C59" i="33" a="1"/>
  <c r="C59" i="33" s="1"/>
  <c r="C58" i="33" a="1"/>
  <c r="C58" i="33" s="1"/>
  <c r="C57" i="33" a="1"/>
  <c r="C57" i="33" s="1"/>
  <c r="C56" i="33" a="1"/>
  <c r="C56" i="33" s="1"/>
  <c r="C54" i="33" a="1"/>
  <c r="C54" i="33" s="1"/>
  <c r="C53" i="33" a="1"/>
  <c r="C53" i="33" s="1"/>
  <c r="C51" i="33" a="1"/>
  <c r="C51" i="33" s="1"/>
  <c r="C49" i="33" a="1"/>
  <c r="C49" i="33" s="1"/>
  <c r="C47" i="33" a="1"/>
  <c r="C47" i="33" s="1"/>
  <c r="C44" i="33" a="1"/>
  <c r="C44" i="33" s="1"/>
  <c r="C41" i="33" a="1"/>
  <c r="C41" i="33" s="1"/>
  <c r="C40" i="33" a="1"/>
  <c r="C40" i="33" s="1"/>
  <c r="C38" i="33" a="1"/>
  <c r="C38" i="33" s="1"/>
  <c r="C37" i="33" a="1"/>
  <c r="C37" i="33" s="1"/>
  <c r="C34" i="33" a="1"/>
  <c r="C34" i="33" s="1"/>
  <c r="C33" i="33" a="1"/>
  <c r="C33" i="33" s="1"/>
  <c r="C30" i="33" a="1"/>
  <c r="C30" i="33" s="1"/>
  <c r="C29" i="33" a="1"/>
  <c r="C29" i="33" s="1"/>
  <c r="C28" i="33" a="1"/>
  <c r="C28" i="33" s="1"/>
  <c r="C27" i="33" a="1"/>
  <c r="C27" i="33" s="1"/>
  <c r="C26" i="33" a="1"/>
  <c r="C26" i="33" s="1"/>
  <c r="C24" i="33" a="1"/>
  <c r="C24" i="33" s="1"/>
  <c r="C18" i="33" a="1"/>
  <c r="C18" i="33" s="1"/>
  <c r="C17" i="33" a="1"/>
  <c r="C17" i="33" s="1"/>
  <c r="C16" i="33" a="1"/>
  <c r="C16" i="33" s="1"/>
  <c r="C15" i="33" a="1"/>
  <c r="C15" i="33" s="1"/>
  <c r="C14" i="33" a="1"/>
  <c r="C14" i="33" s="1"/>
  <c r="C13" i="33" a="1"/>
  <c r="C13" i="33" s="1"/>
  <c r="C12" i="33" a="1"/>
  <c r="C12" i="33" s="1"/>
  <c r="C11" i="33" a="1"/>
  <c r="C11" i="33" s="1"/>
  <c r="C10" i="33" a="1"/>
  <c r="C10" i="33" s="1"/>
  <c r="C9" i="33" a="1"/>
  <c r="C9" i="33" s="1"/>
  <c r="C8" i="33" a="1"/>
  <c r="C8" i="33" s="1"/>
  <c r="C7" i="33" a="1"/>
  <c r="C7" i="33" s="1"/>
  <c r="C6" i="33" a="1"/>
  <c r="C6" i="33" s="1"/>
  <c r="C5" i="33" a="1"/>
  <c r="C5" i="33" s="1"/>
  <c r="C134" i="32" a="1"/>
  <c r="C134" i="32" s="1"/>
  <c r="C133" i="32" a="1"/>
  <c r="C133" i="32" s="1"/>
  <c r="C132" i="32" a="1"/>
  <c r="C132" i="32" s="1"/>
  <c r="C131" i="32" a="1"/>
  <c r="C131" i="32" s="1"/>
  <c r="C130" i="32" a="1"/>
  <c r="C130" i="32" s="1"/>
  <c r="C129" i="32" a="1"/>
  <c r="C129" i="32" s="1"/>
  <c r="C128" i="32" a="1"/>
  <c r="C128" i="32" s="1"/>
  <c r="C127" i="32" a="1"/>
  <c r="C127" i="32" s="1"/>
  <c r="C126" i="32" a="1"/>
  <c r="C126" i="32" s="1"/>
  <c r="C125" i="32" a="1"/>
  <c r="C125" i="32" s="1"/>
  <c r="C124" i="32" a="1"/>
  <c r="C124" i="32" s="1"/>
  <c r="C123" i="32" a="1"/>
  <c r="C123" i="32" s="1"/>
  <c r="C122" i="32" a="1"/>
  <c r="C122" i="32" s="1"/>
  <c r="C121" i="32" a="1"/>
  <c r="C121" i="32" s="1"/>
  <c r="C120" i="32" a="1"/>
  <c r="C120" i="32" s="1"/>
  <c r="C119" i="32" a="1"/>
  <c r="C119" i="32" s="1"/>
  <c r="C118" i="32" a="1"/>
  <c r="C118" i="32" s="1"/>
  <c r="C117" i="32" a="1"/>
  <c r="C117" i="32" s="1"/>
  <c r="C116" i="32" a="1"/>
  <c r="C116" i="32" s="1"/>
  <c r="C115" i="32" a="1"/>
  <c r="C115" i="32" s="1"/>
  <c r="C114" i="32" a="1"/>
  <c r="C114" i="32" s="1"/>
  <c r="C113" i="32" a="1"/>
  <c r="C113" i="32" s="1"/>
  <c r="C112" i="32" a="1"/>
  <c r="C112" i="32" s="1"/>
  <c r="C111" i="32" a="1"/>
  <c r="C111" i="32" s="1"/>
  <c r="C110" i="32" a="1"/>
  <c r="C110" i="32" s="1"/>
  <c r="C109" i="32" a="1"/>
  <c r="C109" i="32" s="1"/>
  <c r="C108" i="32" a="1"/>
  <c r="C108" i="32" s="1"/>
  <c r="C107" i="32" a="1"/>
  <c r="C107" i="32" s="1"/>
  <c r="C106" i="32" a="1"/>
  <c r="C106" i="32" s="1"/>
  <c r="C105" i="32" a="1"/>
  <c r="C105" i="32" s="1"/>
  <c r="C104" i="32" a="1"/>
  <c r="C104" i="32" s="1"/>
  <c r="C103" i="32" a="1"/>
  <c r="C103" i="32" s="1"/>
  <c r="C102" i="32" a="1"/>
  <c r="C102" i="32" s="1"/>
  <c r="C101" i="32" a="1"/>
  <c r="C101" i="32" s="1"/>
  <c r="C100" i="32" a="1"/>
  <c r="C100" i="32" s="1"/>
  <c r="C99" i="32" a="1"/>
  <c r="C99" i="32" s="1"/>
  <c r="C98" i="32" a="1"/>
  <c r="C98" i="32" s="1"/>
  <c r="C97" i="32" a="1"/>
  <c r="C97" i="32" s="1"/>
  <c r="C96" i="32" a="1"/>
  <c r="C96" i="32" s="1"/>
  <c r="C95" i="32" a="1"/>
  <c r="C95" i="32" s="1"/>
  <c r="C94" i="32" a="1"/>
  <c r="C94" i="32" s="1"/>
  <c r="C93" i="32" a="1"/>
  <c r="C93" i="32" s="1"/>
  <c r="C92" i="32" a="1"/>
  <c r="C92" i="32" s="1"/>
  <c r="C91" i="32" a="1"/>
  <c r="C91" i="32" s="1"/>
  <c r="C90" i="32" a="1"/>
  <c r="C90" i="32" s="1"/>
  <c r="C89" i="32" a="1"/>
  <c r="C89" i="32" s="1"/>
  <c r="C88" i="32" a="1"/>
  <c r="C88" i="32" s="1"/>
  <c r="C87" i="32" a="1"/>
  <c r="C87" i="32" s="1"/>
  <c r="C86" i="32" a="1"/>
  <c r="C86" i="32" s="1"/>
  <c r="C85" i="32" a="1"/>
  <c r="C85" i="32" s="1"/>
  <c r="C84" i="32" a="1"/>
  <c r="C84" i="32" s="1"/>
  <c r="C83" i="32" a="1"/>
  <c r="C83" i="32" s="1"/>
  <c r="C82" i="32" a="1"/>
  <c r="C82" i="32" s="1"/>
  <c r="C81" i="32" a="1"/>
  <c r="C81" i="32" s="1"/>
  <c r="C80" i="32" a="1"/>
  <c r="C80" i="32" s="1"/>
  <c r="C79" i="32" a="1"/>
  <c r="C79" i="32" s="1"/>
  <c r="C78" i="32" a="1"/>
  <c r="C78" i="32" s="1"/>
  <c r="C77" i="32" a="1"/>
  <c r="C77" i="32" s="1"/>
  <c r="C76" i="32" a="1"/>
  <c r="C76" i="32" s="1"/>
  <c r="C75" i="32" a="1"/>
  <c r="C75" i="32" s="1"/>
  <c r="C74" i="32" a="1"/>
  <c r="C74" i="32" s="1"/>
  <c r="C73" i="32" a="1"/>
  <c r="C73" i="32" s="1"/>
  <c r="C72" i="32" a="1"/>
  <c r="C72" i="32" s="1"/>
  <c r="C71" i="32" a="1"/>
  <c r="C71" i="32" s="1"/>
  <c r="C70" i="32" a="1"/>
  <c r="C70" i="32" s="1"/>
  <c r="C69" i="32" a="1"/>
  <c r="C69" i="32" s="1"/>
  <c r="C68" i="32" a="1"/>
  <c r="C68" i="32" s="1"/>
  <c r="C67" i="32" a="1"/>
  <c r="C67" i="32" s="1"/>
  <c r="C66" i="32" a="1"/>
  <c r="C66" i="32" s="1"/>
  <c r="C65" i="32" a="1"/>
  <c r="C65" i="32" s="1"/>
  <c r="C64" i="32" a="1"/>
  <c r="C64" i="32" s="1"/>
  <c r="C63" i="32" a="1"/>
  <c r="C63" i="32" s="1"/>
  <c r="C62" i="32" a="1"/>
  <c r="C62" i="32" s="1"/>
  <c r="C61" i="32" a="1"/>
  <c r="C61" i="32" s="1"/>
  <c r="C60" i="32" a="1"/>
  <c r="C60" i="32" s="1"/>
  <c r="C59" i="32" a="1"/>
  <c r="C59" i="32" s="1"/>
  <c r="C58" i="32" a="1"/>
  <c r="C58" i="32" s="1"/>
  <c r="C57" i="32" a="1"/>
  <c r="C57" i="32" s="1"/>
  <c r="C56" i="32" a="1"/>
  <c r="C56" i="32" s="1"/>
  <c r="C55" i="32" a="1"/>
  <c r="C55" i="32" s="1"/>
  <c r="C54" i="32" a="1"/>
  <c r="C54" i="32" s="1"/>
  <c r="C53" i="32" a="1"/>
  <c r="C53" i="32" s="1"/>
  <c r="C52" i="32" a="1"/>
  <c r="C52" i="32" s="1"/>
  <c r="C51" i="32" a="1"/>
  <c r="C51" i="32" s="1"/>
  <c r="C50" i="32" a="1"/>
  <c r="C50" i="32" s="1"/>
  <c r="C49" i="32" a="1"/>
  <c r="C49" i="32" s="1"/>
  <c r="C48" i="32" a="1"/>
  <c r="C48" i="32" s="1"/>
  <c r="C47" i="32" a="1"/>
  <c r="C47" i="32" s="1"/>
  <c r="C46" i="32" a="1"/>
  <c r="C46" i="32" s="1"/>
  <c r="C45" i="32" a="1"/>
  <c r="C45" i="32" s="1"/>
  <c r="C44" i="32" a="1"/>
  <c r="C44" i="32" s="1"/>
  <c r="C43" i="32" a="1"/>
  <c r="C43" i="32" s="1"/>
  <c r="C42" i="32" a="1"/>
  <c r="C42" i="32" s="1"/>
  <c r="C41" i="32" a="1"/>
  <c r="C41" i="32" s="1"/>
  <c r="C40" i="32" a="1"/>
  <c r="C40" i="32" s="1"/>
  <c r="C39" i="32" a="1"/>
  <c r="C39" i="32" s="1"/>
  <c r="C38" i="32" a="1"/>
  <c r="C38" i="32" s="1"/>
  <c r="C37" i="32" a="1"/>
  <c r="C37" i="32" s="1"/>
  <c r="C36" i="32" a="1"/>
  <c r="C36" i="32" s="1"/>
  <c r="C35" i="32" a="1"/>
  <c r="C35" i="32" s="1"/>
  <c r="C34" i="32" a="1"/>
  <c r="C34" i="32" s="1"/>
  <c r="C33" i="32" a="1"/>
  <c r="C33" i="32" s="1"/>
  <c r="C32" i="32" a="1"/>
  <c r="C32" i="32" s="1"/>
  <c r="C31" i="32" a="1"/>
  <c r="C31" i="32" s="1"/>
  <c r="C30" i="32" a="1"/>
  <c r="C30" i="32" s="1"/>
  <c r="C29" i="32" a="1"/>
  <c r="C29" i="32" s="1"/>
  <c r="C28" i="32" a="1"/>
  <c r="C28" i="32" s="1"/>
  <c r="C27" i="32" a="1"/>
  <c r="C27" i="32" s="1"/>
  <c r="C26" i="32" a="1"/>
  <c r="C26" i="32" s="1"/>
  <c r="C25" i="32" a="1"/>
  <c r="C25" i="32" s="1"/>
  <c r="C24" i="32" a="1"/>
  <c r="C24" i="32" s="1"/>
  <c r="C23" i="32" a="1"/>
  <c r="C23" i="32" s="1"/>
  <c r="C22" i="32" a="1"/>
  <c r="C22" i="32" s="1"/>
  <c r="C21" i="32" a="1"/>
  <c r="C21" i="32" s="1"/>
  <c r="C20" i="32" a="1"/>
  <c r="C20" i="32" s="1"/>
  <c r="C19" i="32" a="1"/>
  <c r="C19" i="32" s="1"/>
  <c r="C18" i="32" a="1"/>
  <c r="C18" i="32" s="1"/>
  <c r="C17" i="32" a="1"/>
  <c r="C17" i="32" s="1"/>
  <c r="C16" i="32" a="1"/>
  <c r="C16" i="32" s="1"/>
  <c r="C15" i="32" a="1"/>
  <c r="C15" i="32" s="1"/>
  <c r="C14" i="32" a="1"/>
  <c r="C14" i="32" s="1"/>
  <c r="C13" i="32" a="1"/>
  <c r="C13" i="32" s="1"/>
  <c r="C12" i="32" a="1"/>
  <c r="C12" i="32" s="1"/>
  <c r="C11" i="32" a="1"/>
  <c r="C11" i="32" s="1"/>
  <c r="C10" i="32" a="1"/>
  <c r="C10" i="32" s="1"/>
  <c r="C9" i="32" a="1"/>
  <c r="C9" i="32" s="1"/>
  <c r="C8" i="32" a="1"/>
  <c r="C8" i="32" s="1"/>
  <c r="C7" i="32" a="1"/>
  <c r="C7" i="32" s="1"/>
  <c r="C6" i="32" a="1"/>
  <c r="C6" i="32" s="1"/>
  <c r="C5" i="32" a="1"/>
  <c r="C5" i="32" s="1"/>
  <c r="C4" i="32" a="1"/>
  <c r="C4" i="32" s="1"/>
  <c r="C3" i="32" a="1"/>
  <c r="C3" i="32" s="1"/>
  <c r="C2" i="32" a="1"/>
  <c r="C2" i="32" s="1"/>
  <c r="D141" i="30"/>
  <c r="C141" i="30" a="1"/>
  <c r="C141" i="30" s="1"/>
  <c r="D140" i="30"/>
  <c r="C140" i="30" a="1"/>
  <c r="C140" i="30" s="1"/>
  <c r="D139" i="30"/>
  <c r="C139" i="30" a="1"/>
  <c r="C139" i="30" s="1"/>
  <c r="D138" i="30"/>
  <c r="C138" i="30" a="1"/>
  <c r="C138" i="30" s="1"/>
  <c r="D137" i="30"/>
  <c r="C137" i="30" a="1"/>
  <c r="C137" i="30" s="1"/>
  <c r="D136" i="30"/>
  <c r="C136" i="30" a="1"/>
  <c r="C136" i="30" s="1"/>
  <c r="D135" i="30"/>
  <c r="C135" i="30" a="1"/>
  <c r="C135" i="30" s="1"/>
  <c r="D134" i="30"/>
  <c r="C134" i="30" a="1"/>
  <c r="C134" i="30" s="1"/>
  <c r="D133" i="30"/>
  <c r="C133" i="30" a="1"/>
  <c r="C133" i="30" s="1"/>
  <c r="D132" i="30"/>
  <c r="C132" i="30" a="1"/>
  <c r="C132" i="30" s="1"/>
  <c r="D131" i="30"/>
  <c r="C131" i="30" a="1"/>
  <c r="C131" i="30" s="1"/>
  <c r="D130" i="30"/>
  <c r="C130" i="30" a="1"/>
  <c r="C130" i="30" s="1"/>
  <c r="D129" i="30"/>
  <c r="C129" i="30" a="1"/>
  <c r="C129" i="30" s="1"/>
  <c r="D128" i="30"/>
  <c r="C128" i="30" a="1"/>
  <c r="C128" i="30" s="1"/>
  <c r="D127" i="30"/>
  <c r="C127" i="30" a="1"/>
  <c r="C127" i="30" s="1"/>
  <c r="D126" i="30"/>
  <c r="C126" i="30" a="1"/>
  <c r="C126" i="30" s="1"/>
  <c r="D125" i="30"/>
  <c r="C125" i="30" a="1"/>
  <c r="C125" i="30" s="1"/>
  <c r="D124" i="30"/>
  <c r="C124" i="30" a="1"/>
  <c r="C124" i="30" s="1"/>
  <c r="D123" i="30"/>
  <c r="C123" i="30" a="1"/>
  <c r="C123" i="30" s="1"/>
  <c r="D122" i="30"/>
  <c r="C122" i="30" a="1"/>
  <c r="C122" i="30" s="1"/>
  <c r="D121" i="30"/>
  <c r="C121" i="30" a="1"/>
  <c r="C121" i="30" s="1"/>
  <c r="D120" i="30"/>
  <c r="C120" i="30" a="1"/>
  <c r="C120" i="30" s="1"/>
  <c r="D119" i="30"/>
  <c r="C119" i="30" a="1"/>
  <c r="C119" i="30" s="1"/>
  <c r="D118" i="30"/>
  <c r="C118" i="30" a="1"/>
  <c r="C118" i="30" s="1"/>
  <c r="D117" i="30"/>
  <c r="C117" i="30" a="1"/>
  <c r="C117" i="30" s="1"/>
  <c r="D116" i="30"/>
  <c r="C116" i="30" a="1"/>
  <c r="C116" i="30" s="1"/>
  <c r="D115" i="30"/>
  <c r="C115" i="30" a="1"/>
  <c r="C115" i="30" s="1"/>
  <c r="D114" i="30"/>
  <c r="C114" i="30" a="1"/>
  <c r="C114" i="30" s="1"/>
  <c r="D113" i="30"/>
  <c r="C113" i="30" a="1"/>
  <c r="C113" i="30" s="1"/>
  <c r="D112" i="30"/>
  <c r="C112" i="30" a="1"/>
  <c r="C112" i="30" s="1"/>
  <c r="D111" i="30"/>
  <c r="C111" i="30" a="1"/>
  <c r="C111" i="30" s="1"/>
  <c r="D110" i="30"/>
  <c r="C110" i="30" a="1"/>
  <c r="C110" i="30" s="1"/>
  <c r="D109" i="30"/>
  <c r="C109" i="30" a="1"/>
  <c r="C109" i="30" s="1"/>
  <c r="D108" i="30"/>
  <c r="C108" i="30" a="1"/>
  <c r="C108" i="30" s="1"/>
  <c r="D107" i="30"/>
  <c r="C107" i="30" a="1"/>
  <c r="C107" i="30" s="1"/>
  <c r="D106" i="30"/>
  <c r="C106" i="30" a="1"/>
  <c r="C106" i="30" s="1"/>
  <c r="D105" i="30"/>
  <c r="C105" i="30" a="1"/>
  <c r="C105" i="30" s="1"/>
  <c r="D104" i="30"/>
  <c r="C104" i="30" a="1"/>
  <c r="C104" i="30" s="1"/>
  <c r="D103" i="30"/>
  <c r="C103" i="30" a="1"/>
  <c r="C103" i="30" s="1"/>
  <c r="D102" i="30"/>
  <c r="C102" i="30" a="1"/>
  <c r="C102" i="30" s="1"/>
  <c r="D101" i="30"/>
  <c r="C101" i="30" a="1"/>
  <c r="C101" i="30" s="1"/>
  <c r="D100" i="30"/>
  <c r="C100" i="30" a="1"/>
  <c r="C100" i="30" s="1"/>
  <c r="D99" i="30"/>
  <c r="C99" i="30" a="1"/>
  <c r="C99" i="30" s="1"/>
  <c r="D98" i="30"/>
  <c r="C98" i="30" a="1"/>
  <c r="C98" i="30" s="1"/>
  <c r="D97" i="30"/>
  <c r="C97" i="30" a="1"/>
  <c r="C97" i="30" s="1"/>
  <c r="D96" i="30"/>
  <c r="C96" i="30" a="1"/>
  <c r="C96" i="30" s="1"/>
  <c r="D95" i="30"/>
  <c r="C95" i="30" a="1"/>
  <c r="C95" i="30" s="1"/>
  <c r="D94" i="30"/>
  <c r="C94" i="30" a="1"/>
  <c r="C94" i="30" s="1"/>
  <c r="D93" i="30"/>
  <c r="C93" i="30" a="1"/>
  <c r="C93" i="30" s="1"/>
  <c r="D92" i="30"/>
  <c r="C92" i="30" a="1"/>
  <c r="C92" i="30" s="1"/>
  <c r="D91" i="30"/>
  <c r="C91" i="30" a="1"/>
  <c r="C91" i="30" s="1"/>
  <c r="D90" i="30"/>
  <c r="C90" i="30" a="1"/>
  <c r="C90" i="30" s="1"/>
  <c r="D89" i="30"/>
  <c r="C89" i="30" a="1"/>
  <c r="C89" i="30" s="1"/>
  <c r="D88" i="30"/>
  <c r="C88" i="30" a="1"/>
  <c r="C88" i="30" s="1"/>
  <c r="D87" i="30"/>
  <c r="C87" i="30" a="1"/>
  <c r="C87" i="30" s="1"/>
  <c r="D86" i="30"/>
  <c r="C86" i="30" a="1"/>
  <c r="C86" i="30" s="1"/>
  <c r="D85" i="30"/>
  <c r="C85" i="30" a="1"/>
  <c r="C85" i="30" s="1"/>
  <c r="D84" i="30"/>
  <c r="C84" i="30" a="1"/>
  <c r="C84" i="30" s="1"/>
  <c r="D83" i="30"/>
  <c r="C83" i="30" a="1"/>
  <c r="C83" i="30" s="1"/>
  <c r="D82" i="30"/>
  <c r="C82" i="30" a="1"/>
  <c r="C82" i="30" s="1"/>
  <c r="D81" i="30"/>
  <c r="C81" i="30" a="1"/>
  <c r="C81" i="30" s="1"/>
  <c r="D80" i="30"/>
  <c r="C80" i="30" a="1"/>
  <c r="C80" i="30" s="1"/>
  <c r="D79" i="30"/>
  <c r="C79" i="30" a="1"/>
  <c r="C79" i="30" s="1"/>
  <c r="D78" i="30"/>
  <c r="C78" i="30" a="1"/>
  <c r="C78" i="30" s="1"/>
  <c r="D77" i="30"/>
  <c r="C77" i="30" a="1"/>
  <c r="C77" i="30" s="1"/>
  <c r="D76" i="30"/>
  <c r="C76" i="30" a="1"/>
  <c r="C76" i="30" s="1"/>
  <c r="D75" i="30"/>
  <c r="C75" i="30" a="1"/>
  <c r="C75" i="30" s="1"/>
  <c r="D74" i="30"/>
  <c r="C74" i="30" a="1"/>
  <c r="C74" i="30" s="1"/>
  <c r="D73" i="30"/>
  <c r="C73" i="30" a="1"/>
  <c r="C73" i="30" s="1"/>
  <c r="D72" i="30"/>
  <c r="C72" i="30" a="1"/>
  <c r="C72" i="30" s="1"/>
  <c r="D71" i="30"/>
  <c r="C71" i="30" a="1"/>
  <c r="C71" i="30" s="1"/>
  <c r="D70" i="30"/>
  <c r="C70" i="30" a="1"/>
  <c r="C70" i="30" s="1"/>
  <c r="D69" i="30"/>
  <c r="C69" i="30" a="1"/>
  <c r="C69" i="30" s="1"/>
  <c r="D68" i="30"/>
  <c r="C68" i="30" a="1"/>
  <c r="C68" i="30" s="1"/>
  <c r="D67" i="30"/>
  <c r="C67" i="30" a="1"/>
  <c r="C67" i="30" s="1"/>
  <c r="D66" i="30"/>
  <c r="C66" i="30" a="1"/>
  <c r="C66" i="30" s="1"/>
  <c r="D65" i="30"/>
  <c r="C65" i="30" a="1"/>
  <c r="C65" i="30" s="1"/>
  <c r="D64" i="30"/>
  <c r="C64" i="30" a="1"/>
  <c r="C64" i="30" s="1"/>
  <c r="D63" i="30"/>
  <c r="C63" i="30" a="1"/>
  <c r="C63" i="30" s="1"/>
  <c r="D62" i="30"/>
  <c r="C62" i="30" a="1"/>
  <c r="C62" i="30" s="1"/>
  <c r="D61" i="30"/>
  <c r="C61" i="30" a="1"/>
  <c r="C61" i="30" s="1"/>
  <c r="D60" i="30"/>
  <c r="C60" i="30" a="1"/>
  <c r="C60" i="30" s="1"/>
  <c r="D59" i="30"/>
  <c r="C59" i="30" a="1"/>
  <c r="C59" i="30" s="1"/>
  <c r="D58" i="30"/>
  <c r="C58" i="30" a="1"/>
  <c r="C58" i="30" s="1"/>
  <c r="D57" i="30"/>
  <c r="C57" i="30" a="1"/>
  <c r="C57" i="30" s="1"/>
  <c r="D56" i="30"/>
  <c r="C56" i="30" a="1"/>
  <c r="C56" i="30" s="1"/>
  <c r="D55" i="30"/>
  <c r="C55" i="30" a="1"/>
  <c r="C55" i="30" s="1"/>
  <c r="D54" i="30"/>
  <c r="C54" i="30" a="1"/>
  <c r="C54" i="30" s="1"/>
  <c r="D53" i="30"/>
  <c r="C53" i="30" a="1"/>
  <c r="C53" i="30" s="1"/>
  <c r="D52" i="30"/>
  <c r="C52" i="30" a="1"/>
  <c r="C52" i="30" s="1"/>
  <c r="D51" i="30"/>
  <c r="C51" i="30" a="1"/>
  <c r="C51" i="30" s="1"/>
  <c r="D50" i="30"/>
  <c r="C50" i="30" a="1"/>
  <c r="C50" i="30" s="1"/>
  <c r="D49" i="30"/>
  <c r="C49" i="30" a="1"/>
  <c r="C49" i="30" s="1"/>
  <c r="D48" i="30"/>
  <c r="C48" i="30" a="1"/>
  <c r="C48" i="30" s="1"/>
  <c r="D47" i="30"/>
  <c r="C47" i="30" a="1"/>
  <c r="C47" i="30" s="1"/>
  <c r="D46" i="30"/>
  <c r="C46" i="30" a="1"/>
  <c r="C46" i="30" s="1"/>
  <c r="D45" i="30"/>
  <c r="C45" i="30" a="1"/>
  <c r="C45" i="30" s="1"/>
  <c r="D44" i="30"/>
  <c r="C44" i="30" a="1"/>
  <c r="C44" i="30" s="1"/>
  <c r="D43" i="30"/>
  <c r="C43" i="30" a="1"/>
  <c r="C43" i="30" s="1"/>
  <c r="D42" i="30"/>
  <c r="C42" i="30" a="1"/>
  <c r="C42" i="30" s="1"/>
  <c r="D41" i="30"/>
  <c r="C41" i="30" a="1"/>
  <c r="C41" i="30" s="1"/>
  <c r="D40" i="30"/>
  <c r="C40" i="30" a="1"/>
  <c r="C40" i="30" s="1"/>
  <c r="D39" i="30"/>
  <c r="C39" i="30" a="1"/>
  <c r="C39" i="30" s="1"/>
  <c r="D38" i="30"/>
  <c r="C38" i="30" a="1"/>
  <c r="C38" i="30" s="1"/>
  <c r="D37" i="30"/>
  <c r="C37" i="30" a="1"/>
  <c r="C37" i="30" s="1"/>
  <c r="D36" i="30"/>
  <c r="C36" i="30" a="1"/>
  <c r="C36" i="30" s="1"/>
  <c r="D35" i="30"/>
  <c r="C35" i="30" a="1"/>
  <c r="C35" i="30" s="1"/>
  <c r="D34" i="30"/>
  <c r="C34" i="30" a="1"/>
  <c r="C34" i="30" s="1"/>
  <c r="D33" i="30"/>
  <c r="C33" i="30" a="1"/>
  <c r="C33" i="30" s="1"/>
  <c r="D32" i="30"/>
  <c r="C32" i="30" a="1"/>
  <c r="C32" i="30" s="1"/>
  <c r="D31" i="30"/>
  <c r="C31" i="30" a="1"/>
  <c r="C31" i="30" s="1"/>
  <c r="D30" i="30"/>
  <c r="C30" i="30" a="1"/>
  <c r="C30" i="30" s="1"/>
  <c r="D29" i="30"/>
  <c r="C29" i="30" a="1"/>
  <c r="C29" i="30" s="1"/>
  <c r="D28" i="30"/>
  <c r="C28" i="30" a="1"/>
  <c r="C28" i="30" s="1"/>
  <c r="D27" i="30"/>
  <c r="C27" i="30" a="1"/>
  <c r="C27" i="30" s="1"/>
  <c r="D26" i="30"/>
  <c r="C26" i="30" a="1"/>
  <c r="C26" i="30" s="1"/>
  <c r="D25" i="30"/>
  <c r="C25" i="30" a="1"/>
  <c r="C25" i="30" s="1"/>
  <c r="D24" i="30"/>
  <c r="C24" i="30" a="1"/>
  <c r="C24" i="30" s="1"/>
  <c r="D23" i="30"/>
  <c r="C23" i="30" a="1"/>
  <c r="C23" i="30" s="1"/>
  <c r="D22" i="30"/>
  <c r="C22" i="30" a="1"/>
  <c r="C22" i="30" s="1"/>
  <c r="D21" i="30"/>
  <c r="C21" i="30" a="1"/>
  <c r="C21" i="30" s="1"/>
  <c r="D20" i="30"/>
  <c r="C20" i="30" a="1"/>
  <c r="C20" i="30" s="1"/>
  <c r="D19" i="30"/>
  <c r="C19" i="30" a="1"/>
  <c r="C19" i="30" s="1"/>
  <c r="D18" i="30"/>
  <c r="C18" i="30" a="1"/>
  <c r="C18" i="30" s="1"/>
  <c r="D17" i="30"/>
  <c r="C17" i="30" a="1"/>
  <c r="C17" i="30" s="1"/>
  <c r="D16" i="30"/>
  <c r="C16" i="30" a="1"/>
  <c r="C16" i="30" s="1"/>
  <c r="D15" i="30"/>
  <c r="C15" i="30" a="1"/>
  <c r="C15" i="30" s="1"/>
  <c r="D14" i="30"/>
  <c r="C14" i="30" a="1"/>
  <c r="C14" i="30" s="1"/>
  <c r="D13" i="30"/>
  <c r="C13" i="30" a="1"/>
  <c r="C13" i="30" s="1"/>
  <c r="D12" i="30"/>
  <c r="C12" i="30" a="1"/>
  <c r="C12" i="30" s="1"/>
  <c r="D11" i="30"/>
  <c r="C11" i="30" a="1"/>
  <c r="C11" i="30" s="1"/>
  <c r="D10" i="30"/>
  <c r="C10" i="30" a="1"/>
  <c r="C10" i="30" s="1"/>
  <c r="D9" i="30"/>
  <c r="C9" i="30" a="1"/>
  <c r="C9" i="30" s="1"/>
  <c r="D8" i="30"/>
  <c r="C8" i="30" a="1"/>
  <c r="C8" i="30" s="1"/>
  <c r="D7" i="30"/>
  <c r="C7" i="30" a="1"/>
  <c r="C7" i="30" s="1"/>
  <c r="D6" i="30"/>
  <c r="C6" i="30" a="1"/>
  <c r="C6" i="30" s="1"/>
  <c r="D5" i="30"/>
  <c r="C5" i="30" a="1"/>
  <c r="C5" i="30" s="1"/>
  <c r="D4" i="30"/>
  <c r="C4" i="30" a="1"/>
  <c r="C4" i="30" s="1"/>
  <c r="D3" i="30"/>
  <c r="C3" i="30" a="1"/>
  <c r="C3" i="30" s="1"/>
  <c r="D2" i="30"/>
  <c r="C2" i="30" a="1"/>
  <c r="C2" i="30" s="1"/>
  <c r="C71" i="28" a="1"/>
  <c r="C71" i="28" s="1"/>
  <c r="C70" i="28" a="1"/>
  <c r="C70" i="28" s="1"/>
  <c r="C69" i="28" a="1"/>
  <c r="C69" i="28" s="1"/>
  <c r="C68" i="28" a="1"/>
  <c r="C68" i="28" s="1"/>
  <c r="C67" i="28" a="1"/>
  <c r="C67" i="28" s="1"/>
  <c r="C66" i="28" a="1"/>
  <c r="C66" i="28" s="1"/>
  <c r="C65" i="28" a="1"/>
  <c r="C65" i="28" s="1"/>
  <c r="C64" i="28" a="1"/>
  <c r="C64" i="28" s="1"/>
  <c r="C63" i="28" a="1"/>
  <c r="C63" i="28" s="1"/>
  <c r="C62" i="28" a="1"/>
  <c r="C62" i="28" s="1"/>
  <c r="C61" i="28" a="1"/>
  <c r="C61" i="28" s="1"/>
  <c r="C60" i="28" a="1"/>
  <c r="C60" i="28" s="1"/>
  <c r="C59" i="28" a="1"/>
  <c r="C59" i="28" s="1"/>
  <c r="C58" i="28" a="1"/>
  <c r="C58" i="28" s="1"/>
  <c r="C57" i="28" a="1"/>
  <c r="C57" i="28" s="1"/>
  <c r="C56" i="28" a="1"/>
  <c r="C56" i="28" s="1"/>
  <c r="C55" i="28" a="1"/>
  <c r="C55" i="28" s="1"/>
  <c r="C54" i="28" a="1"/>
  <c r="C54" i="28" s="1"/>
  <c r="C53" i="28" a="1"/>
  <c r="C53" i="28" s="1"/>
  <c r="C52" i="28" a="1"/>
  <c r="C52" i="28" s="1"/>
  <c r="C51" i="28" a="1"/>
  <c r="C51" i="28" s="1"/>
  <c r="C50" i="28" a="1"/>
  <c r="C50" i="28" s="1"/>
  <c r="C49" i="28" a="1"/>
  <c r="C49" i="28" s="1"/>
  <c r="C48" i="28" a="1"/>
  <c r="C48" i="28" s="1"/>
  <c r="C47" i="28" a="1"/>
  <c r="C47" i="28" s="1"/>
  <c r="C46" i="28" a="1"/>
  <c r="C46" i="28" s="1"/>
  <c r="C45" i="28" a="1"/>
  <c r="C45" i="28" s="1"/>
  <c r="C44" i="28" a="1"/>
  <c r="C44" i="28" s="1"/>
  <c r="C43" i="28" a="1"/>
  <c r="C43" i="28" s="1"/>
  <c r="C42" i="28" a="1"/>
  <c r="C42" i="28" s="1"/>
  <c r="C41" i="28" a="1"/>
  <c r="C41" i="28" s="1"/>
  <c r="C40" i="28" a="1"/>
  <c r="C40" i="28" s="1"/>
  <c r="C39" i="28" a="1"/>
  <c r="C39" i="28" s="1"/>
  <c r="C38" i="28" a="1"/>
  <c r="C38" i="28" s="1"/>
  <c r="C37" i="28" a="1"/>
  <c r="C37" i="28" s="1"/>
  <c r="C36" i="28" a="1"/>
  <c r="C36" i="28" s="1"/>
  <c r="C35" i="28" a="1"/>
  <c r="C35" i="28" s="1"/>
  <c r="C34" i="28" a="1"/>
  <c r="C34" i="28" s="1"/>
  <c r="C33" i="28" a="1"/>
  <c r="C33" i="28" s="1"/>
  <c r="C32" i="28" a="1"/>
  <c r="C32" i="28" s="1"/>
  <c r="C31" i="28" a="1"/>
  <c r="C31" i="28" s="1"/>
  <c r="C30" i="28" a="1"/>
  <c r="C30" i="28" s="1"/>
  <c r="C29" i="28" a="1"/>
  <c r="C29" i="28" s="1"/>
  <c r="C28" i="28" a="1"/>
  <c r="C28" i="28" s="1"/>
  <c r="C27" i="28" a="1"/>
  <c r="C27" i="28" s="1"/>
  <c r="C26" i="28" a="1"/>
  <c r="C26" i="28" s="1"/>
  <c r="C25" i="28" a="1"/>
  <c r="C25" i="28" s="1"/>
  <c r="C24" i="28" a="1"/>
  <c r="C24" i="28" s="1"/>
  <c r="C23" i="28" a="1"/>
  <c r="C23" i="28" s="1"/>
  <c r="C22" i="28" a="1"/>
  <c r="C22" i="28" s="1"/>
  <c r="C21" i="28" a="1"/>
  <c r="C21" i="28" s="1"/>
  <c r="C20" i="28" a="1"/>
  <c r="C20" i="28" s="1"/>
  <c r="C19" i="28" a="1"/>
  <c r="C19" i="28" s="1"/>
  <c r="C18" i="28" a="1"/>
  <c r="C18" i="28" s="1"/>
  <c r="C17" i="28" a="1"/>
  <c r="C17" i="28" s="1"/>
  <c r="C16" i="28" a="1"/>
  <c r="C16" i="28" s="1"/>
  <c r="C15" i="28" a="1"/>
  <c r="C15" i="28" s="1"/>
  <c r="C14" i="28" a="1"/>
  <c r="C14" i="28" s="1"/>
  <c r="C13" i="28" a="1"/>
  <c r="C13" i="28" s="1"/>
  <c r="C12" i="28" a="1"/>
  <c r="C12" i="28" s="1"/>
  <c r="C11" i="28" a="1"/>
  <c r="C11" i="28" s="1"/>
  <c r="C10" i="28" a="1"/>
  <c r="C10" i="28" s="1"/>
  <c r="C9" i="28" a="1"/>
  <c r="C9" i="28" s="1"/>
  <c r="C8" i="28" a="1"/>
  <c r="C8" i="28" s="1"/>
  <c r="C7" i="28" a="1"/>
  <c r="C7" i="28" s="1"/>
  <c r="C6" i="28" a="1"/>
  <c r="C6" i="28" s="1"/>
  <c r="C5" i="28" a="1"/>
  <c r="C5" i="28" s="1"/>
  <c r="C4" i="28" a="1"/>
  <c r="C4" i="28" s="1"/>
  <c r="C3" i="28" a="1"/>
  <c r="C3" i="28" s="1"/>
  <c r="C2" i="28" a="1"/>
  <c r="C2" i="28" s="1"/>
  <c r="B65" i="27"/>
  <c r="C64" i="27" a="1"/>
  <c r="C64" i="27" s="1"/>
  <c r="C63" i="27" a="1"/>
  <c r="C63" i="27" s="1"/>
  <c r="B62" i="27"/>
  <c r="C61" i="27" a="1"/>
  <c r="C61" i="27" s="1"/>
  <c r="C60" i="27" a="1"/>
  <c r="C60" i="27" s="1"/>
  <c r="C59" i="27" a="1"/>
  <c r="C59" i="27" s="1"/>
  <c r="B58" i="27"/>
  <c r="C57" i="27" a="1"/>
  <c r="C57" i="27" s="1"/>
  <c r="C56" i="27" a="1"/>
  <c r="C56" i="27" s="1"/>
  <c r="B55" i="27"/>
  <c r="C54" i="27" a="1"/>
  <c r="C54" i="27" s="1"/>
  <c r="C53" i="27" a="1"/>
  <c r="C53" i="27" s="1"/>
  <c r="C52" i="27" a="1"/>
  <c r="C52" i="27" s="1"/>
  <c r="B51" i="27"/>
  <c r="C50" i="27" a="1"/>
  <c r="C50" i="27" s="1"/>
  <c r="C49" i="27" a="1"/>
  <c r="C49" i="27" s="1"/>
  <c r="C48" i="27" a="1"/>
  <c r="C48" i="27" s="1"/>
  <c r="C47" i="27" a="1"/>
  <c r="C47" i="27" s="1"/>
  <c r="B46" i="27"/>
  <c r="C45" i="27" a="1"/>
  <c r="C45" i="27" s="1"/>
  <c r="B44" i="27"/>
  <c r="B43" i="27"/>
  <c r="C42" i="27" a="1"/>
  <c r="C42" i="27" s="1"/>
  <c r="C41" i="27" a="1"/>
  <c r="C41" i="27" s="1"/>
  <c r="B40" i="27"/>
  <c r="C39" i="27" a="1"/>
  <c r="C39" i="27" s="1"/>
  <c r="B38" i="27"/>
  <c r="C37" i="27" a="1"/>
  <c r="C37" i="27" s="1"/>
  <c r="B36" i="27"/>
  <c r="C35" i="27" a="1"/>
  <c r="C35" i="27" s="1"/>
  <c r="B34" i="27"/>
  <c r="B33" i="27"/>
  <c r="C32" i="27" a="1"/>
  <c r="C32" i="27" s="1"/>
  <c r="C31" i="27" a="1"/>
  <c r="C31" i="27" s="1"/>
  <c r="C30" i="27" a="1"/>
  <c r="C30" i="27" s="1"/>
  <c r="B29" i="27"/>
  <c r="C28" i="27" a="1"/>
  <c r="C28" i="27" s="1"/>
  <c r="C27" i="27" a="1"/>
  <c r="C27" i="27" s="1"/>
  <c r="C26" i="27" a="1"/>
  <c r="C26" i="27" s="1"/>
  <c r="B25" i="27"/>
  <c r="C24" i="27" a="1"/>
  <c r="C24" i="27" s="1"/>
  <c r="B23" i="27"/>
  <c r="C22" i="27" a="1"/>
  <c r="C22" i="27" s="1"/>
  <c r="C21" i="27" a="1"/>
  <c r="C21" i="27" s="1"/>
  <c r="C20" i="27" a="1"/>
  <c r="C20" i="27" s="1"/>
  <c r="B19" i="27"/>
  <c r="B18" i="27"/>
  <c r="C17" i="27" a="1"/>
  <c r="C17" i="27" s="1"/>
  <c r="C16" i="27" a="1"/>
  <c r="C16" i="27" s="1"/>
  <c r="C15" i="27" a="1"/>
  <c r="C15" i="27" s="1"/>
  <c r="B14" i="27"/>
  <c r="C13" i="27" a="1"/>
  <c r="C13" i="27" s="1"/>
  <c r="B12" i="27"/>
  <c r="C11" i="27" a="1"/>
  <c r="C11" i="27" s="1"/>
  <c r="B10" i="27"/>
  <c r="B9" i="27"/>
  <c r="B8" i="27"/>
  <c r="C7" i="27" a="1"/>
  <c r="C7" i="27" s="1"/>
  <c r="C6" i="27" a="1"/>
  <c r="C6" i="27" s="1"/>
  <c r="C5" i="27" a="1"/>
  <c r="C5" i="27" s="1"/>
  <c r="B4" i="27"/>
  <c r="C3" i="27" a="1"/>
  <c r="C3" i="27" s="1"/>
  <c r="C2" i="27" a="1"/>
  <c r="C2" i="27" s="1"/>
  <c r="C77" i="26" a="1"/>
  <c r="C77" i="26" s="1"/>
  <c r="C76" i="26" a="1"/>
  <c r="C76" i="26" s="1"/>
  <c r="C75" i="26" a="1"/>
  <c r="C75" i="26" s="1"/>
  <c r="C74" i="26" a="1"/>
  <c r="C74" i="26" s="1"/>
  <c r="C73" i="26" a="1"/>
  <c r="C73" i="26" s="1"/>
  <c r="C72" i="26" a="1"/>
  <c r="C72" i="26" s="1"/>
  <c r="C71" i="26" a="1"/>
  <c r="C71" i="26" s="1"/>
  <c r="C70" i="26" a="1"/>
  <c r="C70" i="26" s="1"/>
  <c r="C69" i="26" a="1"/>
  <c r="C69" i="26" s="1"/>
  <c r="C68" i="26" a="1"/>
  <c r="C68" i="26" s="1"/>
  <c r="C67" i="26" a="1"/>
  <c r="C67" i="26" s="1"/>
  <c r="C66" i="26" a="1"/>
  <c r="C66" i="26" s="1"/>
  <c r="C65" i="26" a="1"/>
  <c r="C65" i="26" s="1"/>
  <c r="C64" i="26" a="1"/>
  <c r="C64" i="26" s="1"/>
  <c r="C63" i="26" a="1"/>
  <c r="C63" i="26" s="1"/>
  <c r="C62" i="26" a="1"/>
  <c r="C62" i="26" s="1"/>
  <c r="C61" i="26" a="1"/>
  <c r="C61" i="26" s="1"/>
  <c r="C60" i="26" a="1"/>
  <c r="C60" i="26" s="1"/>
  <c r="C59" i="26" a="1"/>
  <c r="C59" i="26" s="1"/>
  <c r="C58" i="26" a="1"/>
  <c r="C58" i="26" s="1"/>
  <c r="C57" i="26" a="1"/>
  <c r="C57" i="26" s="1"/>
  <c r="C56" i="26" a="1"/>
  <c r="C56" i="26" s="1"/>
  <c r="C55" i="26" a="1"/>
  <c r="C55" i="26" s="1"/>
  <c r="C54" i="26" a="1"/>
  <c r="C54" i="26" s="1"/>
  <c r="C53" i="26" a="1"/>
  <c r="C53" i="26" s="1"/>
  <c r="C52" i="26" a="1"/>
  <c r="C52" i="26" s="1"/>
  <c r="C51" i="26" a="1"/>
  <c r="C51" i="26" s="1"/>
  <c r="C50" i="26" a="1"/>
  <c r="C50" i="26" s="1"/>
  <c r="C49" i="26" a="1"/>
  <c r="C49" i="26" s="1"/>
  <c r="C48" i="26" a="1"/>
  <c r="C48" i="26" s="1"/>
  <c r="C47" i="26" a="1"/>
  <c r="C47" i="26" s="1"/>
  <c r="C46" i="26" a="1"/>
  <c r="C46" i="26" s="1"/>
  <c r="C45" i="26" a="1"/>
  <c r="C45" i="26" s="1"/>
  <c r="C44" i="26" a="1"/>
  <c r="C44" i="26" s="1"/>
  <c r="C43" i="26" a="1"/>
  <c r="C43" i="26" s="1"/>
  <c r="C42" i="26" a="1"/>
  <c r="C42" i="26" s="1"/>
  <c r="C41" i="26" a="1"/>
  <c r="C41" i="26" s="1"/>
  <c r="C40" i="26" a="1"/>
  <c r="C40" i="26" s="1"/>
  <c r="C39" i="26" a="1"/>
  <c r="C39" i="26" s="1"/>
  <c r="C38" i="26" a="1"/>
  <c r="C38" i="26" s="1"/>
  <c r="C37" i="26" a="1"/>
  <c r="C37" i="26" s="1"/>
  <c r="C36" i="26" a="1"/>
  <c r="C36" i="26" s="1"/>
  <c r="C35" i="26" a="1"/>
  <c r="C35" i="26" s="1"/>
  <c r="C34" i="26" a="1"/>
  <c r="C34" i="26" s="1"/>
  <c r="C33" i="26" a="1"/>
  <c r="C33" i="26" s="1"/>
  <c r="C32" i="26" a="1"/>
  <c r="C32" i="26" s="1"/>
  <c r="C31" i="26" a="1"/>
  <c r="C31" i="26" s="1"/>
  <c r="C30" i="26" a="1"/>
  <c r="C30" i="26" s="1"/>
  <c r="C29" i="26" a="1"/>
  <c r="C29" i="26" s="1"/>
  <c r="C28" i="26" a="1"/>
  <c r="C28" i="26" s="1"/>
  <c r="C27" i="26" a="1"/>
  <c r="C27" i="26" s="1"/>
  <c r="C26" i="26" a="1"/>
  <c r="C26" i="26" s="1"/>
  <c r="C25" i="26" a="1"/>
  <c r="C25" i="26" s="1"/>
  <c r="C24" i="26" a="1"/>
  <c r="C24" i="26" s="1"/>
  <c r="C23" i="26" a="1"/>
  <c r="C23" i="26" s="1"/>
  <c r="C22" i="26" a="1"/>
  <c r="C22" i="26" s="1"/>
  <c r="C21" i="26" a="1"/>
  <c r="C21" i="26" s="1"/>
  <c r="C20" i="26" a="1"/>
  <c r="C20" i="26" s="1"/>
  <c r="C19" i="26" a="1"/>
  <c r="C19" i="26" s="1"/>
  <c r="C18" i="26" a="1"/>
  <c r="C18" i="26" s="1"/>
  <c r="C17" i="26" a="1"/>
  <c r="C17" i="26" s="1"/>
  <c r="C16" i="26" a="1"/>
  <c r="C16" i="26" s="1"/>
  <c r="C15" i="26" a="1"/>
  <c r="C15" i="26" s="1"/>
  <c r="C14" i="26" a="1"/>
  <c r="C14" i="26" s="1"/>
  <c r="C13" i="26" a="1"/>
  <c r="C13" i="26" s="1"/>
  <c r="C12" i="26" a="1"/>
  <c r="C12" i="26" s="1"/>
  <c r="C11" i="26" a="1"/>
  <c r="C11" i="26" s="1"/>
  <c r="C10" i="26" a="1"/>
  <c r="C10" i="26" s="1"/>
  <c r="C9" i="26" a="1"/>
  <c r="C9" i="26" s="1"/>
  <c r="C8" i="26" a="1"/>
  <c r="C8" i="26" s="1"/>
  <c r="C7" i="26" a="1"/>
  <c r="C7" i="26" s="1"/>
  <c r="C6" i="26" a="1"/>
  <c r="C6" i="26" s="1"/>
  <c r="C5" i="26" a="1"/>
  <c r="C5" i="26" s="1"/>
  <c r="C4" i="26" a="1"/>
  <c r="C4" i="26" s="1"/>
  <c r="C3" i="26" a="1"/>
  <c r="C3" i="26" s="1"/>
  <c r="C2" i="26" a="1"/>
  <c r="C2" i="26" s="1"/>
  <c r="C141" i="25" a="1"/>
  <c r="C141" i="25" s="1"/>
  <c r="C140" i="25" a="1"/>
  <c r="C140" i="25" s="1"/>
  <c r="C65" i="27" s="1"/>
  <c r="C139" i="25" a="1"/>
  <c r="C139" i="25" s="1"/>
  <c r="C138" i="25" a="1"/>
  <c r="C138" i="25" s="1"/>
  <c r="C137" i="25" a="1"/>
  <c r="C137" i="25" s="1"/>
  <c r="C62" i="27" s="1"/>
  <c r="C136" i="25" a="1"/>
  <c r="C136" i="25" s="1"/>
  <c r="C135" i="25" a="1"/>
  <c r="C135" i="25" s="1"/>
  <c r="C134" i="25" a="1"/>
  <c r="C134" i="25" s="1"/>
  <c r="C133" i="25" a="1"/>
  <c r="C133" i="25" s="1"/>
  <c r="C132" i="25" a="1"/>
  <c r="C132" i="25" s="1"/>
  <c r="C131" i="25" a="1"/>
  <c r="C131" i="25"/>
  <c r="C130" i="25" a="1"/>
  <c r="C130" i="25" s="1"/>
  <c r="C129" i="25" a="1"/>
  <c r="C129" i="25" s="1"/>
  <c r="C128" i="25" a="1"/>
  <c r="C128" i="25" s="1"/>
  <c r="C127" i="25" a="1"/>
  <c r="C127" i="25" s="1"/>
  <c r="C126" i="25" a="1"/>
  <c r="C126" i="25" s="1"/>
  <c r="C125" i="25" a="1"/>
  <c r="C125" i="25" s="1"/>
  <c r="C124" i="25" a="1"/>
  <c r="C124" i="25" s="1"/>
  <c r="C123" i="25" a="1"/>
  <c r="C123" i="25" s="1"/>
  <c r="C58" i="27" s="1"/>
  <c r="C122" i="25" a="1"/>
  <c r="C122" i="25" s="1"/>
  <c r="C121" i="25" a="1"/>
  <c r="C121" i="25" s="1"/>
  <c r="C120" i="25" a="1"/>
  <c r="C120" i="25" s="1"/>
  <c r="C119" i="25" a="1"/>
  <c r="C119" i="25" s="1"/>
  <c r="C118" i="25" a="1"/>
  <c r="C118" i="25" s="1"/>
  <c r="C117" i="25" a="1"/>
  <c r="C117" i="25" s="1"/>
  <c r="C116" i="25" a="1"/>
  <c r="C116" i="25" s="1"/>
  <c r="C115" i="25" a="1"/>
  <c r="C115" i="25" s="1"/>
  <c r="C114" i="25" a="1"/>
  <c r="C114" i="25" s="1"/>
  <c r="C55" i="27" s="1"/>
  <c r="C113" i="25" a="1"/>
  <c r="C113" i="25" s="1"/>
  <c r="C112" i="25" a="1"/>
  <c r="C112" i="25" s="1"/>
  <c r="C111" i="25" a="1"/>
  <c r="C111" i="25" s="1"/>
  <c r="C110" i="25" a="1"/>
  <c r="C110" i="25" s="1"/>
  <c r="C109" i="25" a="1"/>
  <c r="C109" i="25" s="1"/>
  <c r="C108" i="25" a="1"/>
  <c r="C108" i="25" s="1"/>
  <c r="C107" i="25" a="1"/>
  <c r="C107" i="25" s="1"/>
  <c r="C106" i="25" a="1"/>
  <c r="C106" i="25" s="1"/>
  <c r="C51" i="27" s="1"/>
  <c r="C105" i="25" a="1"/>
  <c r="C105" i="25" s="1"/>
  <c r="C104" i="25" a="1"/>
  <c r="C104" i="25" s="1"/>
  <c r="C103" i="25" a="1"/>
  <c r="C103" i="25" s="1"/>
  <c r="C102" i="25" a="1"/>
  <c r="C102" i="25" s="1"/>
  <c r="C101" i="25" a="1"/>
  <c r="C101" i="25" s="1"/>
  <c r="C100" i="25" a="1"/>
  <c r="C100" i="25" s="1"/>
  <c r="C99" i="25" a="1"/>
  <c r="C99" i="25" s="1"/>
  <c r="C98" i="25" a="1"/>
  <c r="C98" i="25" s="1"/>
  <c r="C97" i="25" a="1"/>
  <c r="C97" i="25" s="1"/>
  <c r="C96" i="25" a="1"/>
  <c r="C96" i="25" s="1"/>
  <c r="C95" i="25" a="1"/>
  <c r="C95" i="25" s="1"/>
  <c r="C46" i="27" s="1"/>
  <c r="C94" i="25" a="1"/>
  <c r="C94" i="25" s="1"/>
  <c r="C93" i="25" a="1"/>
  <c r="C93" i="25" s="1"/>
  <c r="C92" i="25" a="1"/>
  <c r="C92" i="25" s="1"/>
  <c r="C91" i="25" a="1"/>
  <c r="C91" i="25" s="1"/>
  <c r="C90" i="25" a="1"/>
  <c r="C90" i="25" s="1"/>
  <c r="C89" i="25" a="1"/>
  <c r="C89" i="25" s="1"/>
  <c r="C44" i="27" s="1"/>
  <c r="C88" i="25" a="1"/>
  <c r="C88" i="25" s="1"/>
  <c r="C87" i="25" a="1"/>
  <c r="C87" i="25" s="1"/>
  <c r="C86" i="25" a="1"/>
  <c r="C86" i="25" s="1"/>
  <c r="C85" i="25" a="1"/>
  <c r="C85" i="25" s="1"/>
  <c r="C43" i="27" s="1"/>
  <c r="C84" i="25" a="1"/>
  <c r="C84" i="25" s="1"/>
  <c r="C83" i="25" a="1"/>
  <c r="C83" i="25" s="1"/>
  <c r="C82" i="25" a="1"/>
  <c r="C82" i="25" s="1"/>
  <c r="C81" i="25" a="1"/>
  <c r="C81" i="25" s="1"/>
  <c r="C80" i="25" a="1"/>
  <c r="C80" i="25" s="1"/>
  <c r="C79" i="25" a="1"/>
  <c r="C79" i="25" s="1"/>
  <c r="C40" i="27" s="1"/>
  <c r="C78" i="25" a="1"/>
  <c r="C78" i="25" s="1"/>
  <c r="C77" i="25" a="1"/>
  <c r="C77" i="25" s="1"/>
  <c r="C76" i="25" a="1"/>
  <c r="C76" i="25" s="1"/>
  <c r="C75" i="25" a="1"/>
  <c r="C75" i="25" s="1"/>
  <c r="C74" i="25" a="1"/>
  <c r="C74" i="25" s="1"/>
  <c r="C38" i="27" s="1"/>
  <c r="C73" i="25" a="1"/>
  <c r="C73" i="25" s="1"/>
  <c r="C72" i="25" a="1"/>
  <c r="C72" i="25" s="1"/>
  <c r="C71" i="25" a="1"/>
  <c r="C71" i="25" s="1"/>
  <c r="C70" i="25" a="1"/>
  <c r="C70" i="25" s="1"/>
  <c r="C69" i="25" a="1"/>
  <c r="C69" i="25" s="1"/>
  <c r="C68" i="25" a="1"/>
  <c r="C68" i="25" s="1"/>
  <c r="C67" i="25" a="1"/>
  <c r="C67" i="25" s="1"/>
  <c r="C66" i="25" a="1"/>
  <c r="C66" i="25" s="1"/>
  <c r="C65" i="25" a="1"/>
  <c r="C65" i="25" s="1"/>
  <c r="C36" i="27" s="1"/>
  <c r="C64" i="25" a="1"/>
  <c r="C64" i="25" s="1"/>
  <c r="C63" i="25" a="1"/>
  <c r="C63" i="25" s="1"/>
  <c r="C62" i="25" a="1"/>
  <c r="C62" i="25" s="1"/>
  <c r="C61" i="25" a="1"/>
  <c r="C61" i="25" s="1"/>
  <c r="C34" i="27" s="1"/>
  <c r="C60" i="25" a="1"/>
  <c r="C60" i="25" s="1"/>
  <c r="C59" i="25" a="1"/>
  <c r="C59" i="25" s="1"/>
  <c r="C33" i="27" s="1"/>
  <c r="C58" i="25" a="1"/>
  <c r="C58" i="25" s="1"/>
  <c r="C57" i="25" a="1"/>
  <c r="C57" i="25" s="1"/>
  <c r="C56" i="25" a="1"/>
  <c r="C56" i="25" s="1"/>
  <c r="C55" i="25" a="1"/>
  <c r="C55" i="25" s="1"/>
  <c r="C54" i="25" a="1"/>
  <c r="C54" i="25" s="1"/>
  <c r="C53" i="25" a="1"/>
  <c r="C53" i="25" s="1"/>
  <c r="C29" i="27" s="1"/>
  <c r="C52" i="25" a="1"/>
  <c r="C52" i="25" s="1"/>
  <c r="C51" i="25" a="1"/>
  <c r="C51" i="25" s="1"/>
  <c r="C50" i="25" a="1"/>
  <c r="C50" i="25" s="1"/>
  <c r="C49" i="25" a="1"/>
  <c r="C49" i="25" s="1"/>
  <c r="C48" i="25" a="1"/>
  <c r="C48" i="25" s="1"/>
  <c r="C47" i="25" a="1"/>
  <c r="C47" i="25" s="1"/>
  <c r="C25" i="27" s="1"/>
  <c r="C46" i="25" a="1"/>
  <c r="C46" i="25" s="1"/>
  <c r="C45" i="25" a="1"/>
  <c r="C45" i="25" s="1"/>
  <c r="C44" i="25" a="1"/>
  <c r="C44" i="25" s="1"/>
  <c r="C43" i="25" a="1"/>
  <c r="C43" i="25" s="1"/>
  <c r="C42" i="25" a="1"/>
  <c r="C42" i="25" s="1"/>
  <c r="C41" i="25" a="1"/>
  <c r="C41" i="25" s="1"/>
  <c r="C40" i="25" a="1"/>
  <c r="C40" i="25" s="1"/>
  <c r="C23" i="27" s="1"/>
  <c r="C39" i="25" a="1"/>
  <c r="C39" i="25" s="1"/>
  <c r="C38" i="25" a="1"/>
  <c r="C38" i="25" s="1"/>
  <c r="C37" i="25" a="1"/>
  <c r="C37" i="25" s="1"/>
  <c r="C36" i="25" a="1"/>
  <c r="C36" i="25" s="1"/>
  <c r="C35" i="25" a="1"/>
  <c r="C35" i="25" s="1"/>
  <c r="C34" i="25" a="1"/>
  <c r="C34" i="25" s="1"/>
  <c r="C33" i="25" a="1"/>
  <c r="C33" i="25" s="1"/>
  <c r="C19" i="27" s="1"/>
  <c r="C32" i="25" a="1"/>
  <c r="C32" i="25" s="1"/>
  <c r="C31" i="25" a="1"/>
  <c r="C31" i="25" s="1"/>
  <c r="C18" i="27" s="1"/>
  <c r="C30" i="25" a="1"/>
  <c r="C30" i="25" s="1"/>
  <c r="C29" i="25" a="1"/>
  <c r="C29" i="25" s="1"/>
  <c r="C28" i="25" a="1"/>
  <c r="C28" i="25" s="1"/>
  <c r="C27" i="25" a="1"/>
  <c r="C27" i="25" s="1"/>
  <c r="C26" i="25" a="1"/>
  <c r="C26" i="25" s="1"/>
  <c r="C25" i="25" a="1"/>
  <c r="C25" i="25" s="1"/>
  <c r="C24" i="25" a="1"/>
  <c r="C24" i="25" s="1"/>
  <c r="C23" i="25" a="1"/>
  <c r="C23" i="25" s="1"/>
  <c r="C22" i="25" a="1"/>
  <c r="C22" i="25" s="1"/>
  <c r="C21" i="25" a="1"/>
  <c r="C21" i="25" s="1"/>
  <c r="C14" i="27" s="1"/>
  <c r="C20" i="25" a="1"/>
  <c r="C20" i="25" s="1"/>
  <c r="C19" i="25" a="1"/>
  <c r="C19" i="25" s="1"/>
  <c r="C12" i="27" s="1"/>
  <c r="C18" i="25" a="1"/>
  <c r="C18" i="25" s="1"/>
  <c r="C17" i="25" a="1"/>
  <c r="C17" i="25" s="1"/>
  <c r="C16" i="25" a="1"/>
  <c r="C16" i="25" s="1"/>
  <c r="C15" i="25" a="1"/>
  <c r="C15" i="25" s="1"/>
  <c r="C10" i="27" s="1"/>
  <c r="C14" i="25" a="1"/>
  <c r="C14" i="25" s="1"/>
  <c r="C13" i="25" a="1"/>
  <c r="C13" i="25" s="1"/>
  <c r="C12" i="25" a="1"/>
  <c r="C12" i="25" s="1"/>
  <c r="C11" i="25" a="1"/>
  <c r="C11" i="25" s="1"/>
  <c r="C9" i="27" s="1"/>
  <c r="C10" i="25" a="1"/>
  <c r="C10" i="25" s="1"/>
  <c r="C8" i="27" s="1"/>
  <c r="C9" i="25" a="1"/>
  <c r="C9" i="25" s="1"/>
  <c r="C8" i="25" a="1"/>
  <c r="C8" i="25" s="1"/>
  <c r="C7" i="25" a="1"/>
  <c r="C7" i="25" s="1"/>
  <c r="C6" i="25" a="1"/>
  <c r="C6" i="25" s="1"/>
  <c r="C5" i="25" a="1"/>
  <c r="C5" i="25" s="1"/>
  <c r="C4" i="25" a="1"/>
  <c r="C4" i="25" s="1"/>
  <c r="C4" i="27" s="1"/>
  <c r="C3" i="25" a="1"/>
  <c r="C3" i="25" s="1"/>
  <c r="C2" i="25" a="1"/>
  <c r="C2" i="25" s="1"/>
  <c r="C72" i="24" a="1"/>
  <c r="C72" i="24" s="1"/>
  <c r="C71" i="24" a="1"/>
  <c r="C71" i="24" s="1"/>
  <c r="C70" i="24" a="1"/>
  <c r="C70" i="24" s="1"/>
  <c r="C69" i="24" a="1"/>
  <c r="C69" i="24" s="1"/>
  <c r="C68" i="24" a="1"/>
  <c r="C68" i="24" s="1"/>
  <c r="C67" i="24" a="1"/>
  <c r="C67" i="24" s="1"/>
  <c r="C66" i="24" a="1"/>
  <c r="C66" i="24" s="1"/>
  <c r="C65" i="24" a="1"/>
  <c r="C65" i="24" s="1"/>
  <c r="C64" i="24" a="1"/>
  <c r="C64" i="24" s="1"/>
  <c r="C63" i="24" a="1"/>
  <c r="C63" i="24" s="1"/>
  <c r="C62" i="24" a="1"/>
  <c r="C62" i="24" s="1"/>
  <c r="C61" i="24" a="1"/>
  <c r="C61" i="24" s="1"/>
  <c r="C60" i="24" a="1"/>
  <c r="C60" i="24" s="1"/>
  <c r="C59" i="24" a="1"/>
  <c r="C59" i="24" s="1"/>
  <c r="C58" i="24" a="1"/>
  <c r="C58" i="24" s="1"/>
  <c r="C57" i="24" a="1"/>
  <c r="C57" i="24" s="1"/>
  <c r="C56" i="24" a="1"/>
  <c r="C56" i="24" s="1"/>
  <c r="C55" i="24" a="1"/>
  <c r="C55" i="24" s="1"/>
  <c r="C54" i="24" a="1"/>
  <c r="C54" i="24" s="1"/>
  <c r="C53" i="24" a="1"/>
  <c r="C53" i="24" s="1"/>
  <c r="C52" i="24" a="1"/>
  <c r="C52" i="24" s="1"/>
  <c r="C51" i="24" a="1"/>
  <c r="C51" i="24" s="1"/>
  <c r="C50" i="24" a="1"/>
  <c r="C50" i="24" s="1"/>
  <c r="C49" i="24" a="1"/>
  <c r="C49" i="24" s="1"/>
  <c r="C48" i="24" a="1"/>
  <c r="C48" i="24" s="1"/>
  <c r="C47" i="24" a="1"/>
  <c r="C47" i="24" s="1"/>
  <c r="C46" i="24" a="1"/>
  <c r="C46" i="24" s="1"/>
  <c r="C45" i="24" a="1"/>
  <c r="C45" i="24" s="1"/>
  <c r="C44" i="24" a="1"/>
  <c r="C44" i="24" s="1"/>
  <c r="C43" i="24" a="1"/>
  <c r="C43" i="24" s="1"/>
  <c r="C42" i="24" a="1"/>
  <c r="C42" i="24" s="1"/>
  <c r="C41" i="24" a="1"/>
  <c r="C41" i="24" s="1"/>
  <c r="C40" i="24" a="1"/>
  <c r="C40" i="24" s="1"/>
  <c r="C39" i="24" a="1"/>
  <c r="C39" i="24" s="1"/>
  <c r="C38" i="24" a="1"/>
  <c r="C38" i="24" s="1"/>
  <c r="C37" i="24" a="1"/>
  <c r="C37" i="24" s="1"/>
  <c r="C36" i="24" a="1"/>
  <c r="C36" i="24" s="1"/>
  <c r="C35" i="24" a="1"/>
  <c r="C35" i="24" s="1"/>
  <c r="C34" i="24" a="1"/>
  <c r="C34" i="24" s="1"/>
  <c r="C33" i="24" a="1"/>
  <c r="C33" i="24" s="1"/>
  <c r="C32" i="24" a="1"/>
  <c r="C32" i="24" s="1"/>
  <c r="C31" i="24" a="1"/>
  <c r="C31" i="24" s="1"/>
  <c r="C30" i="24" a="1"/>
  <c r="C30" i="24" s="1"/>
  <c r="C29" i="24" a="1"/>
  <c r="C29" i="24" s="1"/>
  <c r="C28" i="24" a="1"/>
  <c r="C28" i="24" s="1"/>
  <c r="C27" i="24" a="1"/>
  <c r="C27" i="24" s="1"/>
  <c r="C26" i="24" a="1"/>
  <c r="C26" i="24" s="1"/>
  <c r="C25" i="24" a="1"/>
  <c r="C25" i="24" s="1"/>
  <c r="C24" i="24" a="1"/>
  <c r="C24" i="24" s="1"/>
  <c r="C23" i="24" a="1"/>
  <c r="C23" i="24" s="1"/>
  <c r="C22" i="24" a="1"/>
  <c r="C22" i="24" s="1"/>
  <c r="C21" i="24" a="1"/>
  <c r="C21" i="24" s="1"/>
  <c r="C20" i="24" a="1"/>
  <c r="C20" i="24" s="1"/>
  <c r="C19" i="24" a="1"/>
  <c r="C19" i="24" s="1"/>
  <c r="C18" i="24" a="1"/>
  <c r="C18" i="24" s="1"/>
  <c r="C17" i="24" a="1"/>
  <c r="C17" i="24" s="1"/>
  <c r="C16" i="24" a="1"/>
  <c r="C16" i="24" s="1"/>
  <c r="C15" i="24" a="1"/>
  <c r="C15" i="24" s="1"/>
  <c r="C14" i="24" a="1"/>
  <c r="C14" i="24" s="1"/>
  <c r="C13" i="24" a="1"/>
  <c r="C13" i="24" s="1"/>
  <c r="C12" i="24" a="1"/>
  <c r="C12" i="24" s="1"/>
  <c r="C11" i="24" a="1"/>
  <c r="C11" i="24" s="1"/>
  <c r="C10" i="24" a="1"/>
  <c r="C10" i="24" s="1"/>
  <c r="C9" i="24" a="1"/>
  <c r="C9" i="24" s="1"/>
  <c r="C8" i="24" a="1"/>
  <c r="C8" i="24" s="1"/>
  <c r="C7" i="24" a="1"/>
  <c r="C7" i="24" s="1"/>
  <c r="C6" i="24" a="1"/>
  <c r="C6" i="24" s="1"/>
  <c r="C5" i="24" a="1"/>
  <c r="C5" i="24" s="1"/>
  <c r="C4" i="24" a="1"/>
  <c r="C4" i="24" s="1"/>
  <c r="C3" i="24" a="1"/>
  <c r="C3" i="24" s="1"/>
  <c r="C2" i="24" a="1"/>
  <c r="C2" i="24" s="1"/>
  <c r="C71" i="23" a="1"/>
  <c r="C71" i="23" s="1"/>
  <c r="C70" i="23" a="1"/>
  <c r="C70" i="23" s="1"/>
  <c r="C69" i="23" a="1"/>
  <c r="C69" i="23" s="1"/>
  <c r="C68" i="23" a="1"/>
  <c r="C68" i="23" s="1"/>
  <c r="C67" i="23" a="1"/>
  <c r="C67" i="23" s="1"/>
  <c r="C66" i="23" a="1"/>
  <c r="C66" i="23" s="1"/>
  <c r="C65" i="23" a="1"/>
  <c r="C65" i="23" s="1"/>
  <c r="C64" i="23" a="1"/>
  <c r="C64" i="23" s="1"/>
  <c r="C63" i="23" a="1"/>
  <c r="C63" i="23" s="1"/>
  <c r="C62" i="23" a="1"/>
  <c r="C62" i="23" s="1"/>
  <c r="C61" i="23" a="1"/>
  <c r="C61" i="23" s="1"/>
  <c r="C60" i="23" a="1"/>
  <c r="C60" i="23" s="1"/>
  <c r="C59" i="23" a="1"/>
  <c r="C59" i="23" s="1"/>
  <c r="C58" i="23" a="1"/>
  <c r="C58" i="23" s="1"/>
  <c r="C57" i="23" a="1"/>
  <c r="C57" i="23" s="1"/>
  <c r="C56" i="23" a="1"/>
  <c r="C56" i="23" s="1"/>
  <c r="C55" i="23" a="1"/>
  <c r="C55" i="23" s="1"/>
  <c r="C54" i="23" a="1"/>
  <c r="C54" i="23" s="1"/>
  <c r="C53" i="23" a="1"/>
  <c r="C53" i="23" s="1"/>
  <c r="C52" i="23" a="1"/>
  <c r="C52" i="23" s="1"/>
  <c r="C51" i="23" a="1"/>
  <c r="C51" i="23" s="1"/>
  <c r="C50" i="23" a="1"/>
  <c r="C50" i="23" s="1"/>
  <c r="C49" i="23" a="1"/>
  <c r="C49" i="23" s="1"/>
  <c r="C48" i="23" a="1"/>
  <c r="C48" i="23" s="1"/>
  <c r="C47" i="23" a="1"/>
  <c r="C47" i="23" s="1"/>
  <c r="C46" i="23" a="1"/>
  <c r="C46" i="23" s="1"/>
  <c r="C45" i="23" a="1"/>
  <c r="C45" i="23" s="1"/>
  <c r="C44" i="23" a="1"/>
  <c r="C44" i="23" s="1"/>
  <c r="C43" i="23" a="1"/>
  <c r="C43" i="23" s="1"/>
  <c r="C42" i="23" a="1"/>
  <c r="C42" i="23" s="1"/>
  <c r="C41" i="23" a="1"/>
  <c r="C41" i="23" s="1"/>
  <c r="C40" i="23" a="1"/>
  <c r="C40" i="23" s="1"/>
  <c r="C39" i="23" a="1"/>
  <c r="C39" i="23" s="1"/>
  <c r="C38" i="23" a="1"/>
  <c r="C38" i="23" s="1"/>
  <c r="C37" i="23" a="1"/>
  <c r="C37" i="23" s="1"/>
  <c r="C36" i="23" a="1"/>
  <c r="C36" i="23" s="1"/>
  <c r="C35" i="23" a="1"/>
  <c r="C35" i="23" s="1"/>
  <c r="C34" i="23" a="1"/>
  <c r="C34" i="23" s="1"/>
  <c r="C33" i="23" a="1"/>
  <c r="C33" i="23" s="1"/>
  <c r="C32" i="23" a="1"/>
  <c r="C32" i="23" s="1"/>
  <c r="C31" i="23" a="1"/>
  <c r="C31" i="23" s="1"/>
  <c r="C30" i="23" a="1"/>
  <c r="C30" i="23" s="1"/>
  <c r="C29" i="23" a="1"/>
  <c r="C29" i="23" s="1"/>
  <c r="C28" i="23" a="1"/>
  <c r="C28" i="23" s="1"/>
  <c r="C27" i="23" a="1"/>
  <c r="C27" i="23" s="1"/>
  <c r="C26" i="23" a="1"/>
  <c r="C26" i="23" s="1"/>
  <c r="C25" i="23" a="1"/>
  <c r="C25" i="23" s="1"/>
  <c r="C24" i="23" a="1"/>
  <c r="C24" i="23" s="1"/>
  <c r="C23" i="23" a="1"/>
  <c r="C23" i="23" s="1"/>
  <c r="C22" i="23" a="1"/>
  <c r="C22" i="23" s="1"/>
  <c r="C21" i="23" a="1"/>
  <c r="C21" i="23" s="1"/>
  <c r="C20" i="23" a="1"/>
  <c r="C20" i="23" s="1"/>
  <c r="C19" i="23" a="1"/>
  <c r="C19" i="23" s="1"/>
  <c r="C18" i="23" a="1"/>
  <c r="C18" i="23" s="1"/>
  <c r="C17" i="23" a="1"/>
  <c r="C17" i="23" s="1"/>
  <c r="C16" i="23" a="1"/>
  <c r="C16" i="23" s="1"/>
  <c r="C15" i="23" a="1"/>
  <c r="C15" i="23" s="1"/>
  <c r="C14" i="23" a="1"/>
  <c r="C14" i="23" s="1"/>
  <c r="C13" i="23" a="1"/>
  <c r="C13" i="23" s="1"/>
  <c r="C12" i="23" a="1"/>
  <c r="C12" i="23" s="1"/>
  <c r="C11" i="23" a="1"/>
  <c r="C11" i="23" s="1"/>
  <c r="C10" i="23" a="1"/>
  <c r="C10" i="23" s="1"/>
  <c r="C9" i="23" a="1"/>
  <c r="C9" i="23" s="1"/>
  <c r="C8" i="23" a="1"/>
  <c r="C8" i="23" s="1"/>
  <c r="C7" i="23" a="1"/>
  <c r="C7" i="23" s="1"/>
  <c r="C6" i="23" a="1"/>
  <c r="C6" i="23" s="1"/>
  <c r="C5" i="23" a="1"/>
  <c r="C5" i="23" s="1"/>
  <c r="C4" i="23" a="1"/>
  <c r="C4" i="23" s="1"/>
  <c r="C3" i="23" a="1"/>
  <c r="C3" i="23" s="1"/>
  <c r="C2" i="23" a="1"/>
  <c r="C2" i="23" s="1"/>
  <c r="C73" i="22" a="1"/>
  <c r="C73" i="22" s="1"/>
  <c r="C72" i="22" a="1"/>
  <c r="C72" i="22" s="1"/>
  <c r="C71" i="22" a="1"/>
  <c r="C71" i="22" s="1"/>
  <c r="C70" i="22" a="1"/>
  <c r="C70" i="22" s="1"/>
  <c r="C69" i="22" a="1"/>
  <c r="C69" i="22" s="1"/>
  <c r="C68" i="22" a="1"/>
  <c r="C68" i="22" s="1"/>
  <c r="C67" i="22" a="1"/>
  <c r="C67" i="22" s="1"/>
  <c r="C66" i="22" a="1"/>
  <c r="C66" i="22" s="1"/>
  <c r="C65" i="22" a="1"/>
  <c r="C65" i="22" s="1"/>
  <c r="C64" i="22" a="1"/>
  <c r="C64" i="22" s="1"/>
  <c r="C63" i="22" a="1"/>
  <c r="C63" i="22" s="1"/>
  <c r="C62" i="22" a="1"/>
  <c r="C62" i="22" s="1"/>
  <c r="C61" i="22" a="1"/>
  <c r="C61" i="22" s="1"/>
  <c r="C60" i="22" a="1"/>
  <c r="C60" i="22" s="1"/>
  <c r="C59" i="22" a="1"/>
  <c r="C59" i="22" s="1"/>
  <c r="C58" i="22" a="1"/>
  <c r="C58" i="22" s="1"/>
  <c r="C57" i="22" a="1"/>
  <c r="C57" i="22" s="1"/>
  <c r="C56" i="22" a="1"/>
  <c r="C56" i="22" s="1"/>
  <c r="C55" i="22" a="1"/>
  <c r="C55" i="22" s="1"/>
  <c r="C54" i="22" a="1"/>
  <c r="C54" i="22" s="1"/>
  <c r="C53" i="22" a="1"/>
  <c r="C53" i="22" s="1"/>
  <c r="C52" i="22" a="1"/>
  <c r="C52" i="22" s="1"/>
  <c r="C51" i="22" a="1"/>
  <c r="C51" i="22" s="1"/>
  <c r="C50" i="22" a="1"/>
  <c r="C50" i="22" s="1"/>
  <c r="C49" i="22" a="1"/>
  <c r="C49" i="22" s="1"/>
  <c r="C48" i="22" a="1"/>
  <c r="C48" i="22" s="1"/>
  <c r="C47" i="22" a="1"/>
  <c r="C47" i="22" s="1"/>
  <c r="C46" i="22" a="1"/>
  <c r="C46" i="22" s="1"/>
  <c r="C45" i="22" a="1"/>
  <c r="C45" i="22" s="1"/>
  <c r="C44" i="22" a="1"/>
  <c r="C44" i="22" s="1"/>
  <c r="C43" i="22" a="1"/>
  <c r="C43" i="22" s="1"/>
  <c r="C42" i="22" a="1"/>
  <c r="C42" i="22" s="1"/>
  <c r="C41" i="22" a="1"/>
  <c r="C41" i="22" s="1"/>
  <c r="C40" i="22" a="1"/>
  <c r="C40" i="22" s="1"/>
  <c r="C39" i="22" a="1"/>
  <c r="C39" i="22" s="1"/>
  <c r="C38" i="22" a="1"/>
  <c r="C38" i="22" s="1"/>
  <c r="C37" i="22" a="1"/>
  <c r="C37" i="22" s="1"/>
  <c r="C36" i="22" a="1"/>
  <c r="C36" i="22" s="1"/>
  <c r="C35" i="22" a="1"/>
  <c r="C35" i="22" s="1"/>
  <c r="C34" i="22" a="1"/>
  <c r="C34" i="22" s="1"/>
  <c r="C33" i="22" a="1"/>
  <c r="C33" i="22" s="1"/>
  <c r="C32" i="22" a="1"/>
  <c r="C32" i="22" s="1"/>
  <c r="C31" i="22" a="1"/>
  <c r="C31" i="22" s="1"/>
  <c r="C30" i="22" a="1"/>
  <c r="C30" i="22" s="1"/>
  <c r="C29" i="22" a="1"/>
  <c r="C29" i="22" s="1"/>
  <c r="C28" i="22" a="1"/>
  <c r="C28" i="22" s="1"/>
  <c r="C27" i="22" a="1"/>
  <c r="C27" i="22" s="1"/>
  <c r="C26" i="22" a="1"/>
  <c r="C26" i="22" s="1"/>
  <c r="C25" i="22" a="1"/>
  <c r="C25" i="22" s="1"/>
  <c r="C24" i="22" a="1"/>
  <c r="C24" i="22" s="1"/>
  <c r="C23" i="22" a="1"/>
  <c r="C23" i="22" s="1"/>
  <c r="C22" i="22" a="1"/>
  <c r="C22" i="22" s="1"/>
  <c r="C21" i="22" a="1"/>
  <c r="C21" i="22" s="1"/>
  <c r="C20" i="22" a="1"/>
  <c r="C20" i="22" s="1"/>
  <c r="C19" i="22" a="1"/>
  <c r="C19" i="22" s="1"/>
  <c r="C18" i="22" a="1"/>
  <c r="C18" i="22" s="1"/>
  <c r="C17" i="22" a="1"/>
  <c r="C17" i="22" s="1"/>
  <c r="C16" i="22" a="1"/>
  <c r="C16" i="22" s="1"/>
  <c r="C15" i="22" a="1"/>
  <c r="C15" i="22" s="1"/>
  <c r="C14" i="22" a="1"/>
  <c r="C14" i="22" s="1"/>
  <c r="C13" i="22" a="1"/>
  <c r="C13" i="22" s="1"/>
  <c r="C12" i="22" a="1"/>
  <c r="C12" i="22" s="1"/>
  <c r="C11" i="22" a="1"/>
  <c r="C11" i="22" s="1"/>
  <c r="C10" i="22" a="1"/>
  <c r="C10" i="22" s="1"/>
  <c r="C9" i="22" a="1"/>
  <c r="C9" i="22" s="1"/>
  <c r="C8" i="22" a="1"/>
  <c r="C8" i="22" s="1"/>
  <c r="C7" i="22" a="1"/>
  <c r="C7" i="22" s="1"/>
  <c r="C6" i="22" a="1"/>
  <c r="C6" i="22" s="1"/>
  <c r="C5" i="22" a="1"/>
  <c r="C5" i="22" s="1"/>
  <c r="C4" i="22" a="1"/>
  <c r="C4" i="22" s="1"/>
  <c r="C3" i="22" a="1"/>
  <c r="C3" i="22" s="1"/>
  <c r="C2" i="22" a="1"/>
  <c r="C2" i="22" s="1"/>
  <c r="C62" i="21" a="1"/>
  <c r="C62" i="21" s="1"/>
  <c r="C61" i="21" a="1"/>
  <c r="C61" i="21" s="1"/>
  <c r="C60" i="21" a="1"/>
  <c r="C60" i="21" s="1"/>
  <c r="C59" i="21" a="1"/>
  <c r="C59" i="21" s="1"/>
  <c r="C58" i="21" a="1"/>
  <c r="C58" i="21" s="1"/>
  <c r="C57" i="21" a="1"/>
  <c r="C57" i="21" s="1"/>
  <c r="C56" i="21" a="1"/>
  <c r="C56" i="21" s="1"/>
  <c r="C55" i="21" a="1"/>
  <c r="C55" i="21" s="1"/>
  <c r="C54" i="21" a="1"/>
  <c r="C54" i="21" s="1"/>
  <c r="C53" i="21" a="1"/>
  <c r="C53" i="21" s="1"/>
  <c r="C52" i="21" a="1"/>
  <c r="C52" i="21" s="1"/>
  <c r="C51" i="21" a="1"/>
  <c r="C51" i="21" s="1"/>
  <c r="C50" i="21" a="1"/>
  <c r="C50" i="21" s="1"/>
  <c r="C49" i="21" a="1"/>
  <c r="C49" i="21" s="1"/>
  <c r="C48" i="21" a="1"/>
  <c r="C48" i="21" s="1"/>
  <c r="C47" i="21" a="1"/>
  <c r="C47" i="21" s="1"/>
  <c r="C46" i="21" a="1"/>
  <c r="C46" i="21" s="1"/>
  <c r="C45" i="21" a="1"/>
  <c r="C45" i="21" s="1"/>
  <c r="C44" i="21" a="1"/>
  <c r="C44" i="21" s="1"/>
  <c r="C43" i="21" a="1"/>
  <c r="C43" i="21" s="1"/>
  <c r="C42" i="21" a="1"/>
  <c r="C42" i="21" s="1"/>
  <c r="C41" i="21" a="1"/>
  <c r="C41" i="21" s="1"/>
  <c r="C40" i="21" a="1"/>
  <c r="C40" i="21" s="1"/>
  <c r="C39" i="21" a="1"/>
  <c r="C39" i="21" s="1"/>
  <c r="C38" i="21" a="1"/>
  <c r="C38" i="21" s="1"/>
  <c r="C37" i="21" a="1"/>
  <c r="C37" i="21" s="1"/>
  <c r="C36" i="21" a="1"/>
  <c r="C36" i="21" s="1"/>
  <c r="C35" i="21" a="1"/>
  <c r="C35" i="21" s="1"/>
  <c r="C34" i="21" a="1"/>
  <c r="C34" i="21" s="1"/>
  <c r="C33" i="21" a="1"/>
  <c r="C33" i="21" s="1"/>
  <c r="C32" i="21" a="1"/>
  <c r="C32" i="21" s="1"/>
  <c r="C31" i="21" a="1"/>
  <c r="C31" i="21" s="1"/>
  <c r="C30" i="21" a="1"/>
  <c r="C30" i="21" s="1"/>
  <c r="C29" i="21" a="1"/>
  <c r="C29" i="21" s="1"/>
  <c r="C28" i="21" a="1"/>
  <c r="C28" i="21" s="1"/>
  <c r="C27" i="21" a="1"/>
  <c r="C27" i="21" s="1"/>
  <c r="C26" i="21" a="1"/>
  <c r="C26" i="21" s="1"/>
  <c r="C25" i="21" a="1"/>
  <c r="C25" i="21" s="1"/>
  <c r="C24" i="21" a="1"/>
  <c r="C24" i="21" s="1"/>
  <c r="C23" i="21" a="1"/>
  <c r="C23" i="21" s="1"/>
  <c r="C22" i="21" a="1"/>
  <c r="C22" i="21" s="1"/>
  <c r="C21" i="21" a="1"/>
  <c r="C21" i="21" s="1"/>
  <c r="C20" i="21" a="1"/>
  <c r="C20" i="21" s="1"/>
  <c r="C19" i="21" a="1"/>
  <c r="C19" i="21" s="1"/>
  <c r="C18" i="21" a="1"/>
  <c r="C18" i="21" s="1"/>
  <c r="C17" i="21" a="1"/>
  <c r="C17" i="21" s="1"/>
  <c r="C16" i="21" a="1"/>
  <c r="C16" i="21" s="1"/>
  <c r="C15" i="21" a="1"/>
  <c r="C15" i="21" s="1"/>
  <c r="C14" i="21" a="1"/>
  <c r="C14" i="21" s="1"/>
  <c r="C13" i="21" a="1"/>
  <c r="C13" i="21" s="1"/>
  <c r="C12" i="21" a="1"/>
  <c r="C12" i="21" s="1"/>
  <c r="C11" i="21" a="1"/>
  <c r="C11" i="21" s="1"/>
  <c r="C10" i="21" a="1"/>
  <c r="C10" i="21" s="1"/>
  <c r="C9" i="21" a="1"/>
  <c r="C9" i="21" s="1"/>
  <c r="C8" i="21" a="1"/>
  <c r="C8" i="21" s="1"/>
  <c r="C7" i="21" a="1"/>
  <c r="C7" i="21" s="1"/>
  <c r="C6" i="21" a="1"/>
  <c r="C6" i="21" s="1"/>
  <c r="C5" i="21" a="1"/>
  <c r="C5" i="21" s="1"/>
  <c r="C4" i="21" a="1"/>
  <c r="C4" i="21" s="1"/>
  <c r="C3" i="21" a="1"/>
  <c r="C3" i="21" s="1"/>
  <c r="C2" i="21" a="1"/>
  <c r="C2" i="21" s="1"/>
  <c r="C47" i="20" a="1"/>
  <c r="C47" i="20" s="1"/>
  <c r="C46" i="20" a="1"/>
  <c r="C46" i="20" s="1"/>
  <c r="C45" i="20" a="1"/>
  <c r="C45" i="20" s="1"/>
  <c r="C44" i="20" a="1"/>
  <c r="C44" i="20" s="1"/>
  <c r="C43" i="20" a="1"/>
  <c r="C43" i="20" s="1"/>
  <c r="C42" i="20" a="1"/>
  <c r="C42" i="20" s="1"/>
  <c r="C41" i="20" a="1"/>
  <c r="C41" i="20" s="1"/>
  <c r="C40" i="20" a="1"/>
  <c r="C40" i="20" s="1"/>
  <c r="C39" i="20" a="1"/>
  <c r="C39" i="20" s="1"/>
  <c r="C38" i="20" a="1"/>
  <c r="C38" i="20" s="1"/>
  <c r="C37" i="20" a="1"/>
  <c r="C37" i="20" s="1"/>
  <c r="C36" i="20" a="1"/>
  <c r="C36" i="20" s="1"/>
  <c r="C35" i="20" a="1"/>
  <c r="C35" i="20" s="1"/>
  <c r="C34" i="20" a="1"/>
  <c r="C34" i="20" s="1"/>
  <c r="C33" i="20" a="1"/>
  <c r="C33" i="20" s="1"/>
  <c r="C32" i="20" a="1"/>
  <c r="C32" i="20" s="1"/>
  <c r="C31" i="20" a="1"/>
  <c r="C31" i="20" s="1"/>
  <c r="C30" i="20" a="1"/>
  <c r="C30" i="20" s="1"/>
  <c r="C29" i="20" a="1"/>
  <c r="C29" i="20" s="1"/>
  <c r="C28" i="20" a="1"/>
  <c r="C28" i="20" s="1"/>
  <c r="C27" i="20" a="1"/>
  <c r="C27" i="20" s="1"/>
  <c r="C26" i="20" a="1"/>
  <c r="C26" i="20" s="1"/>
  <c r="C25" i="20" a="1"/>
  <c r="C25" i="20" s="1"/>
  <c r="C24" i="20" a="1"/>
  <c r="C24" i="20" s="1"/>
  <c r="C23" i="20" a="1"/>
  <c r="C23" i="20" s="1"/>
  <c r="C22" i="20" a="1"/>
  <c r="C22" i="20" s="1"/>
  <c r="C21" i="20" a="1"/>
  <c r="C21" i="20" s="1"/>
  <c r="C20" i="20" a="1"/>
  <c r="C20" i="20" s="1"/>
  <c r="C19" i="20" a="1"/>
  <c r="C19" i="20" s="1"/>
  <c r="C18" i="20" a="1"/>
  <c r="C18" i="20" s="1"/>
  <c r="C17" i="20" a="1"/>
  <c r="C17" i="20" s="1"/>
  <c r="C16" i="20" a="1"/>
  <c r="C16" i="20" s="1"/>
  <c r="C15" i="20" a="1"/>
  <c r="C15" i="20" s="1"/>
  <c r="C14" i="20" a="1"/>
  <c r="C14" i="20" s="1"/>
  <c r="C13" i="20" a="1"/>
  <c r="C13" i="20" s="1"/>
  <c r="C12" i="20" a="1"/>
  <c r="C12" i="20" s="1"/>
  <c r="C11" i="20" a="1"/>
  <c r="C11" i="20" s="1"/>
  <c r="C10" i="20" a="1"/>
  <c r="C10" i="20" s="1"/>
  <c r="C9" i="20" a="1"/>
  <c r="C9" i="20" s="1"/>
  <c r="C8" i="20" a="1"/>
  <c r="C8" i="20" s="1"/>
  <c r="C7" i="20" a="1"/>
  <c r="C7" i="20" s="1"/>
  <c r="C6" i="20" a="1"/>
  <c r="C6" i="20" s="1"/>
  <c r="C5" i="20" a="1"/>
  <c r="C5" i="20" s="1"/>
  <c r="C4" i="20" a="1"/>
  <c r="C4" i="20" s="1"/>
  <c r="C3" i="20" a="1"/>
  <c r="C3" i="20" s="1"/>
  <c r="C2" i="20" a="1"/>
  <c r="C2" i="20" s="1"/>
  <c r="C103" i="19" a="1"/>
  <c r="C103" i="19" s="1"/>
  <c r="C102" i="19" a="1"/>
  <c r="C102" i="19" s="1"/>
  <c r="C101" i="19" a="1"/>
  <c r="C101" i="19" s="1"/>
  <c r="C100" i="19" a="1"/>
  <c r="C100" i="19" s="1"/>
  <c r="C99" i="19" a="1"/>
  <c r="C99" i="19" s="1"/>
  <c r="C98" i="19" a="1"/>
  <c r="C98" i="19" s="1"/>
  <c r="C97" i="19" a="1"/>
  <c r="C97" i="19" s="1"/>
  <c r="C96" i="19" a="1"/>
  <c r="C96" i="19" s="1"/>
  <c r="C95" i="19" a="1"/>
  <c r="C95" i="19" s="1"/>
  <c r="C94" i="19" a="1"/>
  <c r="C94" i="19" s="1"/>
  <c r="C93" i="19" a="1"/>
  <c r="C93" i="19" s="1"/>
  <c r="C92" i="19" a="1"/>
  <c r="C92" i="19" s="1"/>
  <c r="C91" i="19" a="1"/>
  <c r="C91" i="19" s="1"/>
  <c r="C90" i="19" a="1"/>
  <c r="C90" i="19" s="1"/>
  <c r="C89" i="19" a="1"/>
  <c r="C89" i="19" s="1"/>
  <c r="C88" i="19" a="1"/>
  <c r="C88" i="19" s="1"/>
  <c r="C87" i="19" a="1"/>
  <c r="C87" i="19" s="1"/>
  <c r="C86" i="19" a="1"/>
  <c r="C86" i="19" s="1"/>
  <c r="C85" i="19" a="1"/>
  <c r="C85" i="19" s="1"/>
  <c r="C84" i="19" a="1"/>
  <c r="C84" i="19" s="1"/>
  <c r="C83" i="19" a="1"/>
  <c r="C83" i="19" s="1"/>
  <c r="C82" i="19" a="1"/>
  <c r="C82" i="19" s="1"/>
  <c r="C81" i="19" a="1"/>
  <c r="C81" i="19" s="1"/>
  <c r="C80" i="19" a="1"/>
  <c r="C80" i="19" s="1"/>
  <c r="C79" i="19" a="1"/>
  <c r="C79" i="19" s="1"/>
  <c r="C78" i="19" a="1"/>
  <c r="C78" i="19" s="1"/>
  <c r="C77" i="19" a="1"/>
  <c r="C77" i="19" s="1"/>
  <c r="C76" i="19" a="1"/>
  <c r="C76" i="19" s="1"/>
  <c r="C75" i="19" a="1"/>
  <c r="C75" i="19" s="1"/>
  <c r="C74" i="19" a="1"/>
  <c r="C74" i="19" s="1"/>
  <c r="C73" i="19" a="1"/>
  <c r="C73" i="19" s="1"/>
  <c r="C72" i="19" a="1"/>
  <c r="C72" i="19" s="1"/>
  <c r="C71" i="19" a="1"/>
  <c r="C71" i="19" s="1"/>
  <c r="C70" i="19" a="1"/>
  <c r="C70" i="19" s="1"/>
  <c r="C69" i="19" a="1"/>
  <c r="C69" i="19" s="1"/>
  <c r="C68" i="19" a="1"/>
  <c r="C68" i="19" s="1"/>
  <c r="C67" i="19" a="1"/>
  <c r="C67" i="19" s="1"/>
  <c r="C66" i="19" a="1"/>
  <c r="C66" i="19" s="1"/>
  <c r="C65" i="19" a="1"/>
  <c r="C65" i="19" s="1"/>
  <c r="C64" i="19" a="1"/>
  <c r="C64" i="19" s="1"/>
  <c r="C63" i="19" a="1"/>
  <c r="C63" i="19" s="1"/>
  <c r="C62" i="19" a="1"/>
  <c r="C62" i="19" s="1"/>
  <c r="C61" i="19" a="1"/>
  <c r="C61" i="19" s="1"/>
  <c r="C60" i="19" a="1"/>
  <c r="C60" i="19" s="1"/>
  <c r="C59" i="19" a="1"/>
  <c r="C59" i="19" s="1"/>
  <c r="C58" i="19" a="1"/>
  <c r="C58" i="19" s="1"/>
  <c r="B58" i="19" a="1"/>
  <c r="B58" i="19" s="1"/>
  <c r="C57" i="19" a="1"/>
  <c r="C57" i="19" s="1"/>
  <c r="C56" i="19" a="1"/>
  <c r="C56" i="19" s="1"/>
  <c r="C55" i="19" a="1"/>
  <c r="C55" i="19" s="1"/>
  <c r="C54" i="19" a="1"/>
  <c r="C54" i="19" s="1"/>
  <c r="C53" i="19" a="1"/>
  <c r="C53" i="19" s="1"/>
  <c r="C52" i="19" a="1"/>
  <c r="C52" i="19" s="1"/>
  <c r="C51" i="19" a="1"/>
  <c r="C51" i="19" s="1"/>
  <c r="B51" i="19" a="1"/>
  <c r="B51" i="19" s="1"/>
  <c r="C50" i="19" a="1"/>
  <c r="C50" i="19" s="1"/>
  <c r="C49" i="19" a="1"/>
  <c r="C49" i="19" s="1"/>
  <c r="C48" i="19" a="1"/>
  <c r="C48" i="19" s="1"/>
  <c r="B48" i="19" a="1"/>
  <c r="B48" i="19" s="1"/>
  <c r="C47" i="19" a="1"/>
  <c r="C47" i="19" s="1"/>
  <c r="C46" i="19" a="1"/>
  <c r="C46" i="19" s="1"/>
  <c r="C45" i="19" a="1"/>
  <c r="C45" i="19" s="1"/>
  <c r="B45" i="19" a="1"/>
  <c r="B45" i="19" s="1"/>
  <c r="C44" i="19" a="1"/>
  <c r="C44" i="19" s="1"/>
  <c r="C43" i="19" a="1"/>
  <c r="C43" i="19" s="1"/>
  <c r="B43" i="19" a="1"/>
  <c r="B43" i="19" s="1"/>
  <c r="C42" i="19" a="1"/>
  <c r="C42" i="19" s="1"/>
  <c r="C41" i="19" a="1"/>
  <c r="C41" i="19" s="1"/>
  <c r="C40" i="19" a="1"/>
  <c r="C40" i="19" s="1"/>
  <c r="C39" i="19" a="1"/>
  <c r="C39" i="19" s="1"/>
  <c r="C38" i="19" a="1"/>
  <c r="C38" i="19" s="1"/>
  <c r="B38" i="19" a="1"/>
  <c r="B38" i="19" s="1"/>
  <c r="C37" i="19" a="1"/>
  <c r="C37" i="19" s="1"/>
  <c r="C36" i="19" a="1"/>
  <c r="C36" i="19" s="1"/>
  <c r="C35" i="19" a="1"/>
  <c r="C35" i="19" s="1"/>
  <c r="C34" i="19" a="1"/>
  <c r="C34" i="19" s="1"/>
  <c r="C33" i="19" a="1"/>
  <c r="C33" i="19" s="1"/>
  <c r="C32" i="19" a="1"/>
  <c r="C32" i="19" s="1"/>
  <c r="C31" i="19" a="1"/>
  <c r="C31" i="19" s="1"/>
  <c r="B31" i="19" a="1"/>
  <c r="B31" i="19" s="1"/>
  <c r="C30" i="19" a="1"/>
  <c r="C30" i="19" s="1"/>
  <c r="C29" i="19" a="1"/>
  <c r="C29" i="19" s="1"/>
  <c r="C28" i="19" a="1"/>
  <c r="C28" i="19" s="1"/>
  <c r="C27" i="19" a="1"/>
  <c r="C27" i="19" s="1"/>
  <c r="C26" i="19" a="1"/>
  <c r="C26" i="19" s="1"/>
  <c r="C25" i="19" a="1"/>
  <c r="C25" i="19" s="1"/>
  <c r="B25" i="19" a="1"/>
  <c r="B25" i="19" s="1"/>
  <c r="C24" i="19" a="1"/>
  <c r="C24" i="19" s="1"/>
  <c r="C23" i="19" a="1"/>
  <c r="C23" i="19" s="1"/>
  <c r="C22" i="19" a="1"/>
  <c r="C22" i="19" s="1"/>
  <c r="C21" i="19" a="1"/>
  <c r="C21" i="19" s="1"/>
  <c r="C20" i="19" a="1"/>
  <c r="C20" i="19" s="1"/>
  <c r="C19" i="19" a="1"/>
  <c r="C19" i="19" s="1"/>
  <c r="C18" i="19" a="1"/>
  <c r="C18" i="19" s="1"/>
  <c r="C17" i="19" a="1"/>
  <c r="C17" i="19" s="1"/>
  <c r="C16" i="19" a="1"/>
  <c r="C16" i="19" s="1"/>
  <c r="C15" i="19" a="1"/>
  <c r="C15" i="19" s="1"/>
  <c r="C14" i="19" a="1"/>
  <c r="C14" i="19" s="1"/>
  <c r="C13" i="19" a="1"/>
  <c r="C13" i="19" s="1"/>
  <c r="C12" i="19" a="1"/>
  <c r="C12" i="19" s="1"/>
  <c r="C11" i="19" a="1"/>
  <c r="C11" i="19" s="1"/>
  <c r="C10" i="19" a="1"/>
  <c r="C10" i="19" s="1"/>
  <c r="C9" i="19" a="1"/>
  <c r="C9" i="19" s="1"/>
  <c r="C8" i="19" a="1"/>
  <c r="C8" i="19" s="1"/>
  <c r="B8" i="19" a="1"/>
  <c r="B8" i="19" s="1"/>
  <c r="C7" i="19" a="1"/>
  <c r="C7" i="19" s="1"/>
  <c r="C6" i="19" a="1"/>
  <c r="C6" i="19" s="1"/>
  <c r="C5" i="19" a="1"/>
  <c r="C5" i="19" s="1"/>
  <c r="B5" i="19" a="1"/>
  <c r="B5" i="19" s="1"/>
  <c r="C4" i="19" a="1"/>
  <c r="C4" i="19" s="1"/>
  <c r="B4" i="19" a="1"/>
  <c r="B4" i="19" s="1"/>
  <c r="C3" i="19" a="1"/>
  <c r="C3" i="19" s="1"/>
  <c r="B3" i="19" a="1"/>
  <c r="B3" i="19" s="1"/>
  <c r="C2" i="19" a="1"/>
  <c r="C2" i="19" s="1"/>
  <c r="B2" i="19" a="1"/>
  <c r="B2" i="19" s="1"/>
  <c r="C107" i="18" a="1"/>
  <c r="C107" i="18" s="1"/>
  <c r="C106" i="18" a="1"/>
  <c r="C106" i="18" s="1"/>
  <c r="C105" i="18" a="1"/>
  <c r="C105" i="18" s="1"/>
  <c r="C104" i="18" a="1"/>
  <c r="C104" i="18" s="1"/>
  <c r="C103" i="18" a="1"/>
  <c r="C103" i="18" s="1"/>
  <c r="C102" i="18" a="1"/>
  <c r="C102" i="18" s="1"/>
  <c r="C101" i="18" a="1"/>
  <c r="C101" i="18" s="1"/>
  <c r="C100" i="18" a="1"/>
  <c r="C100" i="18" s="1"/>
  <c r="C99" i="18" a="1"/>
  <c r="C99" i="18" s="1"/>
  <c r="C98" i="18" a="1"/>
  <c r="C98" i="18" s="1"/>
  <c r="C97" i="18" a="1"/>
  <c r="C97" i="18" s="1"/>
  <c r="C96" i="18" a="1"/>
  <c r="C96" i="18" s="1"/>
  <c r="C95" i="18" a="1"/>
  <c r="C95" i="18" s="1"/>
  <c r="C94" i="18" a="1"/>
  <c r="C94" i="18" s="1"/>
  <c r="C93" i="18" a="1"/>
  <c r="C93" i="18" s="1"/>
  <c r="C92" i="18" a="1"/>
  <c r="C92" i="18" s="1"/>
  <c r="C91" i="18" a="1"/>
  <c r="C91" i="18" s="1"/>
  <c r="C90" i="18" a="1"/>
  <c r="C90" i="18" s="1"/>
  <c r="C89" i="18" a="1"/>
  <c r="C89" i="18" s="1"/>
  <c r="C88" i="18" a="1"/>
  <c r="C88" i="18" s="1"/>
  <c r="C87" i="18" a="1"/>
  <c r="C87" i="18" s="1"/>
  <c r="C86" i="18" a="1"/>
  <c r="C86" i="18" s="1"/>
  <c r="C85" i="18" a="1"/>
  <c r="C85" i="18" s="1"/>
  <c r="C84" i="18" a="1"/>
  <c r="C84" i="18" s="1"/>
  <c r="C83" i="18" a="1"/>
  <c r="C83" i="18" s="1"/>
  <c r="C82" i="18" a="1"/>
  <c r="C82" i="18" s="1"/>
  <c r="C81" i="18" a="1"/>
  <c r="C81" i="18" s="1"/>
  <c r="C80" i="18" a="1"/>
  <c r="C80" i="18" s="1"/>
  <c r="C79" i="18" a="1"/>
  <c r="C79" i="18" s="1"/>
  <c r="C78" i="18" a="1"/>
  <c r="C78" i="18" s="1"/>
  <c r="C77" i="18" a="1"/>
  <c r="C77" i="18" s="1"/>
  <c r="C76" i="18" a="1"/>
  <c r="C76" i="18" s="1"/>
  <c r="C75" i="18" a="1"/>
  <c r="C75" i="18" s="1"/>
  <c r="C74" i="18" a="1"/>
  <c r="C74" i="18" s="1"/>
  <c r="C73" i="18" a="1"/>
  <c r="C73" i="18" s="1"/>
  <c r="C72" i="18" a="1"/>
  <c r="C72" i="18" s="1"/>
  <c r="C71" i="18" a="1"/>
  <c r="C71" i="18" s="1"/>
  <c r="C70" i="18" a="1"/>
  <c r="C70" i="18" s="1"/>
  <c r="C69" i="18" a="1"/>
  <c r="C69" i="18" s="1"/>
  <c r="C68" i="18" a="1"/>
  <c r="C68" i="18" s="1"/>
  <c r="C67" i="18" a="1"/>
  <c r="C67" i="18" s="1"/>
  <c r="C66" i="18" a="1"/>
  <c r="C66" i="18" s="1"/>
  <c r="C65" i="18" a="1"/>
  <c r="C65" i="18" s="1"/>
  <c r="C64" i="18" a="1"/>
  <c r="C64" i="18" s="1"/>
  <c r="C63" i="18" a="1"/>
  <c r="C63" i="18" s="1"/>
  <c r="C62" i="18" a="1"/>
  <c r="C62" i="18" s="1"/>
  <c r="C61" i="18" a="1"/>
  <c r="C61" i="18" s="1"/>
  <c r="C60" i="18" a="1"/>
  <c r="C60" i="18" s="1"/>
  <c r="C59" i="18" a="1"/>
  <c r="C59" i="18" s="1"/>
  <c r="C58" i="18" a="1"/>
  <c r="C58" i="18" s="1"/>
  <c r="C57" i="18" a="1"/>
  <c r="C57" i="18" s="1"/>
  <c r="C56" i="18" a="1"/>
  <c r="C56" i="18" s="1"/>
  <c r="C55" i="18" a="1"/>
  <c r="C55" i="18" s="1"/>
  <c r="C54" i="18" a="1"/>
  <c r="C54" i="18" s="1"/>
  <c r="C53" i="18" a="1"/>
  <c r="C53" i="18" s="1"/>
  <c r="C52" i="18" a="1"/>
  <c r="C52" i="18" s="1"/>
  <c r="C51" i="18" a="1"/>
  <c r="C51" i="18" s="1"/>
  <c r="C50" i="18" a="1"/>
  <c r="C50" i="18" s="1"/>
  <c r="C49" i="18" a="1"/>
  <c r="C49" i="18" s="1"/>
  <c r="C48" i="18" a="1"/>
  <c r="C48" i="18" s="1"/>
  <c r="C47" i="18" a="1"/>
  <c r="C47" i="18" s="1"/>
  <c r="C46" i="18" a="1"/>
  <c r="C46" i="18" s="1"/>
  <c r="C45" i="18" a="1"/>
  <c r="C45" i="18" s="1"/>
  <c r="C44" i="18" a="1"/>
  <c r="C44" i="18" s="1"/>
  <c r="C43" i="18" a="1"/>
  <c r="C43" i="18" s="1"/>
  <c r="C42" i="18" a="1"/>
  <c r="C42" i="18" s="1"/>
  <c r="C41" i="18" a="1"/>
  <c r="C41" i="18" s="1"/>
  <c r="C40" i="18" a="1"/>
  <c r="C40" i="18" s="1"/>
  <c r="C39" i="18" a="1"/>
  <c r="C39" i="18" s="1"/>
  <c r="C38" i="18" a="1"/>
  <c r="C38" i="18" s="1"/>
  <c r="C37" i="18" a="1"/>
  <c r="C37" i="18" s="1"/>
  <c r="C36" i="18" a="1"/>
  <c r="C36" i="18" s="1"/>
  <c r="C35" i="18" a="1"/>
  <c r="C35" i="18" s="1"/>
  <c r="C34" i="18" a="1"/>
  <c r="C34" i="18" s="1"/>
  <c r="C33" i="18" a="1"/>
  <c r="C33" i="18" s="1"/>
  <c r="C32" i="18" a="1"/>
  <c r="C32" i="18" s="1"/>
  <c r="C31" i="18" a="1"/>
  <c r="C31" i="18" s="1"/>
  <c r="C30" i="18" a="1"/>
  <c r="C30" i="18" s="1"/>
  <c r="C29" i="18" a="1"/>
  <c r="C29" i="18" s="1"/>
  <c r="C28" i="18" a="1"/>
  <c r="C28" i="18" s="1"/>
  <c r="C27" i="18" a="1"/>
  <c r="C27" i="18" s="1"/>
  <c r="C26" i="18" a="1"/>
  <c r="C26" i="18" s="1"/>
  <c r="C25" i="18" a="1"/>
  <c r="C25" i="18" s="1"/>
  <c r="C24" i="18" a="1"/>
  <c r="C24" i="18" s="1"/>
  <c r="C23" i="18" a="1"/>
  <c r="C23" i="18" s="1"/>
  <c r="C22" i="18" a="1"/>
  <c r="C22" i="18" s="1"/>
  <c r="C21" i="18" a="1"/>
  <c r="C21" i="18" s="1"/>
  <c r="C20" i="18" a="1"/>
  <c r="C20" i="18" s="1"/>
  <c r="C19" i="18" a="1"/>
  <c r="C19" i="18" s="1"/>
  <c r="C18" i="18" a="1"/>
  <c r="C18" i="18" s="1"/>
  <c r="C17" i="18" a="1"/>
  <c r="C17" i="18" s="1"/>
  <c r="C16" i="18" a="1"/>
  <c r="C16" i="18" s="1"/>
  <c r="C15" i="18" a="1"/>
  <c r="C15" i="18" s="1"/>
  <c r="C14" i="18" a="1"/>
  <c r="C14" i="18" s="1"/>
  <c r="C13" i="18" a="1"/>
  <c r="C13" i="18" s="1"/>
  <c r="C12" i="18" a="1"/>
  <c r="C12" i="18" s="1"/>
  <c r="C11" i="18" a="1"/>
  <c r="C11" i="18" s="1"/>
  <c r="C10" i="18" a="1"/>
  <c r="C10" i="18" s="1"/>
  <c r="C9" i="18" a="1"/>
  <c r="C9" i="18" s="1"/>
  <c r="C8" i="18" a="1"/>
  <c r="C8" i="18" s="1"/>
  <c r="C7" i="18" a="1"/>
  <c r="C7" i="18" s="1"/>
  <c r="C6" i="18" a="1"/>
  <c r="C6" i="18" s="1"/>
  <c r="C5" i="18" a="1"/>
  <c r="C5" i="18" s="1"/>
  <c r="C4" i="18" a="1"/>
  <c r="C4" i="18" s="1"/>
  <c r="C3" i="18" a="1"/>
  <c r="C3" i="18" s="1"/>
  <c r="C2" i="18" a="1"/>
  <c r="C2" i="18" s="1"/>
  <c r="C56" i="17" a="1"/>
  <c r="C56" i="17" s="1"/>
  <c r="C55" i="17" a="1"/>
  <c r="C55" i="17" s="1"/>
  <c r="C54" i="17" a="1"/>
  <c r="C54" i="17" s="1"/>
  <c r="C53" i="17" a="1"/>
  <c r="C53" i="17" s="1"/>
  <c r="B52" i="17"/>
  <c r="B51" i="17"/>
  <c r="B50" i="17"/>
  <c r="C49" i="17" a="1"/>
  <c r="C49" i="17" s="1"/>
  <c r="C48" i="17" a="1"/>
  <c r="C48" i="17" s="1"/>
  <c r="C47" i="17" a="1"/>
  <c r="C47" i="17" s="1"/>
  <c r="C46" i="17" a="1"/>
  <c r="C46" i="17" s="1"/>
  <c r="B45" i="17"/>
  <c r="B44" i="17"/>
  <c r="C43" i="17" a="1"/>
  <c r="C43" i="17" s="1"/>
  <c r="C42" i="17" a="1"/>
  <c r="C42" i="17" s="1"/>
  <c r="C41" i="17" a="1"/>
  <c r="C41" i="17" s="1"/>
  <c r="C40" i="17" a="1"/>
  <c r="C40" i="17" s="1"/>
  <c r="C39" i="17" a="1"/>
  <c r="C39" i="17" s="1"/>
  <c r="B38" i="17"/>
  <c r="C37" i="17" a="1"/>
  <c r="C37" i="17" s="1"/>
  <c r="C36" i="17" a="1"/>
  <c r="C36" i="17" s="1"/>
  <c r="C35" i="17" a="1"/>
  <c r="C35" i="17" s="1"/>
  <c r="C34" i="17" a="1"/>
  <c r="C34" i="17" s="1"/>
  <c r="C33" i="17" a="1"/>
  <c r="C33" i="17" s="1"/>
  <c r="B32" i="17"/>
  <c r="B31" i="17"/>
  <c r="C30" i="17" a="1"/>
  <c r="C30" i="17" s="1"/>
  <c r="C29" i="17" a="1"/>
  <c r="C29" i="17" s="1"/>
  <c r="C28" i="17" a="1"/>
  <c r="C28" i="17" s="1"/>
  <c r="C27" i="17" a="1"/>
  <c r="C27" i="17" s="1"/>
  <c r="B26" i="17"/>
  <c r="C25" i="17" a="1"/>
  <c r="C25" i="17" s="1"/>
  <c r="C24" i="17" a="1"/>
  <c r="C24" i="17" s="1"/>
  <c r="C23" i="17" a="1"/>
  <c r="C23" i="17" s="1"/>
  <c r="C22" i="17" a="1"/>
  <c r="C22" i="17" s="1"/>
  <c r="C21" i="17" a="1"/>
  <c r="C21" i="17" s="1"/>
  <c r="C20" i="17" a="1"/>
  <c r="C20" i="17" s="1"/>
  <c r="B19" i="17"/>
  <c r="C18" i="17" a="1"/>
  <c r="C18" i="17" s="1"/>
  <c r="B17" i="17"/>
  <c r="B16" i="17"/>
  <c r="B15" i="17"/>
  <c r="C14" i="17" a="1"/>
  <c r="C14" i="17" s="1"/>
  <c r="B13" i="17"/>
  <c r="C12" i="17" a="1"/>
  <c r="C12" i="17" s="1"/>
  <c r="C11" i="17" a="1"/>
  <c r="C11" i="17" s="1"/>
  <c r="C10" i="17" a="1"/>
  <c r="C10" i="17" s="1"/>
  <c r="C9" i="17" a="1"/>
  <c r="C9" i="17" s="1"/>
  <c r="C8" i="17" a="1"/>
  <c r="C8" i="17" s="1"/>
  <c r="C7" i="17" a="1"/>
  <c r="C7" i="17" s="1"/>
  <c r="C6" i="17" a="1"/>
  <c r="C6" i="17" s="1"/>
  <c r="C5" i="17" a="1"/>
  <c r="C5" i="17" s="1"/>
  <c r="C4" i="17" a="1"/>
  <c r="C4" i="17" s="1"/>
  <c r="B3" i="17"/>
  <c r="C2" i="17" a="1"/>
  <c r="C2" i="17" s="1"/>
  <c r="C63" i="16" a="1"/>
  <c r="C63" i="16" s="1"/>
  <c r="C62" i="16" a="1"/>
  <c r="C62" i="16" s="1"/>
  <c r="C61" i="16" a="1"/>
  <c r="C61" i="16" s="1"/>
  <c r="C60" i="16" a="1"/>
  <c r="C60" i="16" s="1"/>
  <c r="C59" i="16" a="1"/>
  <c r="C59" i="16" s="1"/>
  <c r="C58" i="16" a="1"/>
  <c r="C58" i="16" s="1"/>
  <c r="C57" i="16" a="1"/>
  <c r="C57" i="16" s="1"/>
  <c r="C56" i="16" a="1"/>
  <c r="C56" i="16" s="1"/>
  <c r="C55" i="16" a="1"/>
  <c r="C55" i="16" s="1"/>
  <c r="C54" i="16" a="1"/>
  <c r="C54" i="16" s="1"/>
  <c r="C53" i="16" a="1"/>
  <c r="C53" i="16" s="1"/>
  <c r="C52" i="16" a="1"/>
  <c r="C52" i="16" s="1"/>
  <c r="C51" i="16" a="1"/>
  <c r="C51" i="16" s="1"/>
  <c r="C50" i="16" a="1"/>
  <c r="C50" i="16" s="1"/>
  <c r="C49" i="16" a="1"/>
  <c r="C49" i="16" s="1"/>
  <c r="C48" i="16" a="1"/>
  <c r="C48" i="16" s="1"/>
  <c r="C47" i="16" a="1"/>
  <c r="C47" i="16" s="1"/>
  <c r="C46" i="16" a="1"/>
  <c r="C46" i="16" s="1"/>
  <c r="C45" i="16" a="1"/>
  <c r="C45" i="16" s="1"/>
  <c r="C44" i="16" a="1"/>
  <c r="C44" i="16" s="1"/>
  <c r="C43" i="16" a="1"/>
  <c r="C43" i="16" s="1"/>
  <c r="C42" i="16" a="1"/>
  <c r="C42" i="16" s="1"/>
  <c r="C41" i="16" a="1"/>
  <c r="C41" i="16" s="1"/>
  <c r="C40" i="16" a="1"/>
  <c r="C40" i="16" s="1"/>
  <c r="C39" i="16" a="1"/>
  <c r="C39" i="16" s="1"/>
  <c r="C38" i="16" a="1"/>
  <c r="C38" i="16" s="1"/>
  <c r="C37" i="16" a="1"/>
  <c r="C37" i="16" s="1"/>
  <c r="C36" i="16" a="1"/>
  <c r="C36" i="16" s="1"/>
  <c r="C35" i="16" a="1"/>
  <c r="C35" i="16" s="1"/>
  <c r="C34" i="16" a="1"/>
  <c r="C34" i="16" s="1"/>
  <c r="C33" i="16" a="1"/>
  <c r="C33" i="16" s="1"/>
  <c r="C32" i="16" a="1"/>
  <c r="C32" i="16" s="1"/>
  <c r="C31" i="16" a="1"/>
  <c r="C31" i="16" s="1"/>
  <c r="C30" i="16" a="1"/>
  <c r="C30" i="16" s="1"/>
  <c r="C29" i="16" a="1"/>
  <c r="C29" i="16" s="1"/>
  <c r="C28" i="16" a="1"/>
  <c r="C28" i="16" s="1"/>
  <c r="C27" i="16" a="1"/>
  <c r="C27" i="16" s="1"/>
  <c r="C26" i="16" a="1"/>
  <c r="C26" i="16" s="1"/>
  <c r="C25" i="16" a="1"/>
  <c r="C25" i="16" s="1"/>
  <c r="C24" i="16" a="1"/>
  <c r="C24" i="16" s="1"/>
  <c r="C23" i="16" a="1"/>
  <c r="C23" i="16" s="1"/>
  <c r="C22" i="16" a="1"/>
  <c r="C22" i="16" s="1"/>
  <c r="C21" i="16" a="1"/>
  <c r="C21" i="16" s="1"/>
  <c r="C20" i="16" a="1"/>
  <c r="C20" i="16" s="1"/>
  <c r="C19" i="16" a="1"/>
  <c r="C19" i="16" s="1"/>
  <c r="B18" i="16"/>
  <c r="C17" i="16" a="1"/>
  <c r="C17" i="16" s="1"/>
  <c r="C16" i="16" a="1"/>
  <c r="C16" i="16" s="1"/>
  <c r="C15" i="16" a="1"/>
  <c r="C15" i="16" s="1"/>
  <c r="C14" i="16" a="1"/>
  <c r="C14" i="16" s="1"/>
  <c r="C13" i="16" a="1"/>
  <c r="C13" i="16" s="1"/>
  <c r="C12" i="16" a="1"/>
  <c r="C12" i="16" s="1"/>
  <c r="C11" i="16" a="1"/>
  <c r="C11" i="16" s="1"/>
  <c r="C10" i="16" a="1"/>
  <c r="C10" i="16" s="1"/>
  <c r="C9" i="16" a="1"/>
  <c r="C9" i="16" s="1"/>
  <c r="B8" i="16"/>
  <c r="C7" i="16" a="1"/>
  <c r="C7" i="16" s="1"/>
  <c r="C6" i="16" a="1"/>
  <c r="C6" i="16" s="1"/>
  <c r="C5" i="16" a="1"/>
  <c r="C5" i="16" s="1"/>
  <c r="C4" i="16" a="1"/>
  <c r="C4" i="16" s="1"/>
  <c r="C3" i="16" a="1"/>
  <c r="C3" i="16" s="1"/>
  <c r="C2" i="16" a="1"/>
  <c r="C2" i="16" s="1"/>
  <c r="C118" i="15" a="1"/>
  <c r="C118" i="15" s="1"/>
  <c r="C117" i="15" a="1"/>
  <c r="C117" i="15" s="1"/>
  <c r="F116" i="15"/>
  <c r="C116" i="15" a="1"/>
  <c r="C116" i="15" s="1"/>
  <c r="C115" i="15" a="1"/>
  <c r="C115" i="15" s="1"/>
  <c r="F114" i="15"/>
  <c r="C114" i="15" a="1"/>
  <c r="C114" i="15" s="1"/>
  <c r="F113" i="15"/>
  <c r="C113" i="15" a="1"/>
  <c r="C113" i="15" s="1"/>
  <c r="C112" i="15" a="1"/>
  <c r="C112" i="15" s="1"/>
  <c r="F111" i="15"/>
  <c r="C111" i="15" a="1"/>
  <c r="C111" i="15" s="1"/>
  <c r="C110" i="15" a="1"/>
  <c r="C110" i="15" s="1"/>
  <c r="F109" i="15"/>
  <c r="C109" i="15" a="1"/>
  <c r="C109" i="15" s="1"/>
  <c r="C108" i="15" a="1"/>
  <c r="C108" i="15" s="1"/>
  <c r="F107" i="15"/>
  <c r="C107" i="15" a="1"/>
  <c r="C107" i="15" s="1"/>
  <c r="F106" i="15"/>
  <c r="C106" i="15" a="1"/>
  <c r="C106" i="15" s="1"/>
  <c r="C105" i="15" a="1"/>
  <c r="C105" i="15" s="1"/>
  <c r="C104" i="15" a="1"/>
  <c r="C104" i="15" s="1"/>
  <c r="C103" i="15" a="1"/>
  <c r="C103" i="15" s="1"/>
  <c r="F102" i="15"/>
  <c r="C102" i="15" a="1"/>
  <c r="C102" i="15" s="1"/>
  <c r="C101" i="15" a="1"/>
  <c r="C101" i="15" s="1"/>
  <c r="F100" i="15"/>
  <c r="C100" i="15" a="1"/>
  <c r="C100" i="15" s="1"/>
  <c r="C99" i="15" a="1"/>
  <c r="C99" i="15" s="1"/>
  <c r="F98" i="15"/>
  <c r="C98" i="15" a="1"/>
  <c r="C98" i="15" s="1"/>
  <c r="F97" i="15"/>
  <c r="C97" i="15" a="1"/>
  <c r="C97" i="15" s="1"/>
  <c r="C96" i="15" a="1"/>
  <c r="C96" i="15" s="1"/>
  <c r="F95" i="15"/>
  <c r="C95" i="15" a="1"/>
  <c r="C95" i="15" s="1"/>
  <c r="C94" i="15" a="1"/>
  <c r="C94" i="15" s="1"/>
  <c r="C93" i="15" a="1"/>
  <c r="C93" i="15" s="1"/>
  <c r="F92" i="15"/>
  <c r="C92" i="15" a="1"/>
  <c r="C92" i="15" s="1"/>
  <c r="F91" i="15"/>
  <c r="C91" i="15" a="1"/>
  <c r="C91" i="15" s="1"/>
  <c r="F90" i="15"/>
  <c r="C90" i="15" a="1"/>
  <c r="C90" i="15" s="1"/>
  <c r="F89" i="15"/>
  <c r="C89" i="15" a="1"/>
  <c r="C89" i="15" s="1"/>
  <c r="F88" i="15"/>
  <c r="C88" i="15" a="1"/>
  <c r="C88" i="15" s="1"/>
  <c r="C87" i="15" a="1"/>
  <c r="C87" i="15" s="1"/>
  <c r="C86" i="15" a="1"/>
  <c r="C86" i="15" s="1"/>
  <c r="C85" i="15" a="1"/>
  <c r="C85" i="15" s="1"/>
  <c r="F84" i="15"/>
  <c r="C84" i="15" a="1"/>
  <c r="C84" i="15" s="1"/>
  <c r="C83" i="15" a="1"/>
  <c r="C83" i="15" s="1"/>
  <c r="C82" i="15" a="1"/>
  <c r="C82" i="15" s="1"/>
  <c r="C81" i="15" a="1"/>
  <c r="C81" i="15" s="1"/>
  <c r="C80" i="15" a="1"/>
  <c r="C80" i="15" s="1"/>
  <c r="C79" i="15" a="1"/>
  <c r="C79" i="15" s="1"/>
  <c r="F78" i="15"/>
  <c r="C78" i="15" a="1"/>
  <c r="C78" i="15" s="1"/>
  <c r="C77" i="15" a="1"/>
  <c r="C77" i="15" s="1"/>
  <c r="C76" i="15" a="1"/>
  <c r="C76" i="15" s="1"/>
  <c r="F75" i="15"/>
  <c r="C75" i="15" a="1"/>
  <c r="C75" i="15" s="1"/>
  <c r="F74" i="15"/>
  <c r="C74" i="15" a="1"/>
  <c r="C74" i="15" s="1"/>
  <c r="C73" i="15" a="1"/>
  <c r="C73" i="15" s="1"/>
  <c r="C72" i="15" a="1"/>
  <c r="C72" i="15" s="1"/>
  <c r="C71" i="15" a="1"/>
  <c r="C71" i="15" s="1"/>
  <c r="C70" i="15" a="1"/>
  <c r="C70" i="15" s="1"/>
  <c r="F69" i="15"/>
  <c r="C69" i="15" a="1"/>
  <c r="C69" i="15" s="1"/>
  <c r="C68" i="15" a="1"/>
  <c r="C68" i="15" s="1"/>
  <c r="C67" i="15" a="1"/>
  <c r="C67" i="15" s="1"/>
  <c r="C66" i="15" a="1"/>
  <c r="C66" i="15" s="1"/>
  <c r="F65" i="15"/>
  <c r="C65" i="15" a="1"/>
  <c r="C65" i="15" s="1"/>
  <c r="F64" i="15"/>
  <c r="C64" i="15" a="1"/>
  <c r="C64" i="15" s="1"/>
  <c r="F63" i="15"/>
  <c r="C63" i="15" a="1"/>
  <c r="C63" i="15" s="1"/>
  <c r="C62" i="15" a="1"/>
  <c r="C62" i="15" s="1"/>
  <c r="C61" i="15" a="1"/>
  <c r="C61" i="15" s="1"/>
  <c r="F60" i="15"/>
  <c r="C60" i="15" a="1"/>
  <c r="C60" i="15" s="1"/>
  <c r="F59" i="15"/>
  <c r="C59" i="15" a="1"/>
  <c r="C59" i="15" s="1"/>
  <c r="F58" i="15"/>
  <c r="C58" i="15" a="1"/>
  <c r="C58" i="15" s="1"/>
  <c r="F57" i="15"/>
  <c r="C57" i="15" a="1"/>
  <c r="C57" i="15" s="1"/>
  <c r="C56" i="15" a="1"/>
  <c r="C56" i="15" s="1"/>
  <c r="F55" i="15"/>
  <c r="C55" i="15" a="1"/>
  <c r="C55" i="15" s="1"/>
  <c r="C54" i="15" a="1"/>
  <c r="C54" i="15" s="1"/>
  <c r="F53" i="15"/>
  <c r="C53" i="15" a="1"/>
  <c r="C53" i="15" s="1"/>
  <c r="F52" i="15"/>
  <c r="C52" i="15" a="1"/>
  <c r="C52" i="15" s="1"/>
  <c r="C51" i="15" a="1"/>
  <c r="C51" i="15" s="1"/>
  <c r="C50" i="15" a="1"/>
  <c r="C50" i="15" s="1"/>
  <c r="C49" i="15" a="1"/>
  <c r="C49" i="15" s="1"/>
  <c r="F48" i="15"/>
  <c r="C48" i="15" a="1"/>
  <c r="C48" i="15" s="1"/>
  <c r="C47" i="15" a="1"/>
  <c r="C47" i="15" s="1"/>
  <c r="F46" i="15"/>
  <c r="C46" i="15" a="1"/>
  <c r="C46" i="15" s="1"/>
  <c r="F45" i="15"/>
  <c r="C45" i="15" a="1"/>
  <c r="C45" i="15" s="1"/>
  <c r="F44" i="15"/>
  <c r="C44" i="15" a="1"/>
  <c r="C44" i="15" s="1"/>
  <c r="C43" i="15" a="1"/>
  <c r="C43" i="15" s="1"/>
  <c r="C42" i="15" a="1"/>
  <c r="C42" i="15" s="1"/>
  <c r="C41" i="15" a="1"/>
  <c r="C41" i="15" s="1"/>
  <c r="F40" i="15"/>
  <c r="C40" i="15" a="1"/>
  <c r="C40" i="15" s="1"/>
  <c r="F39" i="15"/>
  <c r="C39" i="15" a="1"/>
  <c r="C39" i="15" s="1"/>
  <c r="C38" i="15" a="1"/>
  <c r="C38" i="15" s="1"/>
  <c r="F37" i="15"/>
  <c r="C37" i="15" a="1"/>
  <c r="C37" i="15" s="1"/>
  <c r="C36" i="15" a="1"/>
  <c r="C36" i="15" s="1"/>
  <c r="C35" i="15" a="1"/>
  <c r="C35" i="15" s="1"/>
  <c r="F34" i="15"/>
  <c r="C34" i="15" a="1"/>
  <c r="C34" i="15" s="1"/>
  <c r="F33" i="15"/>
  <c r="C33" i="15" a="1"/>
  <c r="C33" i="15" s="1"/>
  <c r="F32" i="15"/>
  <c r="C32" i="15" a="1"/>
  <c r="C32" i="15" s="1"/>
  <c r="C31" i="15" a="1"/>
  <c r="C31" i="15" s="1"/>
  <c r="C30" i="15" a="1"/>
  <c r="C30" i="15" s="1"/>
  <c r="C29" i="15" a="1"/>
  <c r="C29" i="15" s="1"/>
  <c r="F28" i="15"/>
  <c r="C28" i="15" a="1"/>
  <c r="C28" i="15" s="1"/>
  <c r="C27" i="15" a="1"/>
  <c r="C27" i="15" s="1"/>
  <c r="C26" i="15" a="1"/>
  <c r="C26" i="15" s="1"/>
  <c r="C25" i="15" a="1"/>
  <c r="C25" i="15" s="1"/>
  <c r="F24" i="15"/>
  <c r="C24" i="15" a="1"/>
  <c r="C24" i="15" s="1"/>
  <c r="F23" i="15"/>
  <c r="C23" i="15" a="1"/>
  <c r="C23" i="15" s="1"/>
  <c r="F22" i="15"/>
  <c r="C22" i="15" a="1"/>
  <c r="C22" i="15" s="1"/>
  <c r="F21" i="15"/>
  <c r="C21" i="15" a="1"/>
  <c r="C21" i="15" s="1"/>
  <c r="C20" i="15" a="1"/>
  <c r="C20" i="15" s="1"/>
  <c r="F19" i="15"/>
  <c r="C19" i="15" a="1"/>
  <c r="C19" i="15" s="1"/>
  <c r="C18" i="15" a="1"/>
  <c r="C18" i="15" s="1"/>
  <c r="C17" i="15" a="1"/>
  <c r="C17" i="15" s="1"/>
  <c r="F16" i="15"/>
  <c r="C16" i="15" a="1"/>
  <c r="C16" i="15" s="1"/>
  <c r="C15" i="15" a="1"/>
  <c r="C15" i="15" s="1"/>
  <c r="F14" i="15"/>
  <c r="C14" i="15" a="1"/>
  <c r="C14" i="15" s="1"/>
  <c r="F13" i="15"/>
  <c r="C13" i="15" a="1"/>
  <c r="C13" i="15" s="1"/>
  <c r="F12" i="15"/>
  <c r="C12" i="15" a="1"/>
  <c r="C12" i="15" s="1"/>
  <c r="F11" i="15"/>
  <c r="C11" i="15" a="1"/>
  <c r="C11" i="15" s="1"/>
  <c r="C10" i="15" a="1"/>
  <c r="C10" i="15" s="1"/>
  <c r="C9" i="15" a="1"/>
  <c r="C9" i="15" s="1"/>
  <c r="F8" i="15"/>
  <c r="C8" i="15" a="1"/>
  <c r="C8" i="15" s="1"/>
  <c r="F7" i="15"/>
  <c r="C7" i="15" a="1"/>
  <c r="C7" i="15" s="1"/>
  <c r="C6" i="15" a="1"/>
  <c r="C6" i="15" s="1"/>
  <c r="F5" i="15"/>
  <c r="C5" i="15" a="1"/>
  <c r="C5" i="15" s="1"/>
  <c r="C4" i="15" a="1"/>
  <c r="C4" i="15" s="1"/>
  <c r="F3" i="15"/>
  <c r="C3" i="15" a="1"/>
  <c r="C3" i="15" s="1"/>
  <c r="C2" i="15" a="1"/>
  <c r="C2" i="15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B42" i="14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B15" i="14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C4" i="14" a="1"/>
  <c r="C4" i="14" s="1"/>
  <c r="C3" i="14" a="1"/>
  <c r="C3" i="14" s="1"/>
  <c r="C2" i="14" a="1"/>
  <c r="C2" i="14" s="1"/>
  <c r="C45" i="13" a="1"/>
  <c r="C45" i="13" s="1"/>
  <c r="C44" i="13" a="1"/>
  <c r="C44" i="13" s="1"/>
  <c r="C43" i="13" a="1"/>
  <c r="C43" i="13" s="1"/>
  <c r="C42" i="13" a="1"/>
  <c r="C42" i="13" s="1"/>
  <c r="C41" i="13" a="1"/>
  <c r="C41" i="13" s="1"/>
  <c r="C40" i="13" a="1"/>
  <c r="C40" i="13" s="1"/>
  <c r="B39" i="13"/>
  <c r="B38" i="13"/>
  <c r="B37" i="13"/>
  <c r="C36" i="13" a="1"/>
  <c r="C36" i="13" s="1"/>
  <c r="C35" i="13" a="1"/>
  <c r="C35" i="13" s="1"/>
  <c r="C34" i="13" a="1"/>
  <c r="C34" i="13" s="1"/>
  <c r="C33" i="13" a="1"/>
  <c r="C33" i="13" s="1"/>
  <c r="B32" i="13"/>
  <c r="C31" i="13" a="1"/>
  <c r="C31" i="13" s="1"/>
  <c r="C30" i="13" a="1"/>
  <c r="C30" i="13" s="1"/>
  <c r="C29" i="13" a="1"/>
  <c r="C29" i="13" s="1"/>
  <c r="C28" i="13" a="1"/>
  <c r="C28" i="13" s="1"/>
  <c r="B27" i="13"/>
  <c r="C26" i="13" a="1"/>
  <c r="C26" i="13" s="1"/>
  <c r="C25" i="13" a="1"/>
  <c r="C25" i="13" s="1"/>
  <c r="B24" i="13"/>
  <c r="C23" i="13" a="1"/>
  <c r="C23" i="13" s="1"/>
  <c r="C22" i="13" a="1"/>
  <c r="C22" i="13" s="1"/>
  <c r="B21" i="13"/>
  <c r="C20" i="13" a="1"/>
  <c r="C20" i="13" s="1"/>
  <c r="B19" i="13"/>
  <c r="C18" i="13" a="1"/>
  <c r="C18" i="13" s="1"/>
  <c r="C17" i="13" a="1"/>
  <c r="C17" i="13" s="1"/>
  <c r="C16" i="13" a="1"/>
  <c r="C16" i="13" s="1"/>
  <c r="C15" i="13" a="1"/>
  <c r="C15" i="13" s="1"/>
  <c r="B14" i="13"/>
  <c r="B13" i="13"/>
  <c r="B12" i="13"/>
  <c r="C11" i="13" a="1"/>
  <c r="C11" i="13" s="1"/>
  <c r="C10" i="13" a="1"/>
  <c r="C10" i="13" s="1"/>
  <c r="C9" i="13" a="1"/>
  <c r="C9" i="13" s="1"/>
  <c r="C8" i="13" a="1"/>
  <c r="C8" i="13" s="1"/>
  <c r="B7" i="13"/>
  <c r="C6" i="13" a="1"/>
  <c r="C6" i="13" s="1"/>
  <c r="B5" i="13"/>
  <c r="B4" i="13"/>
  <c r="C3" i="13" a="1"/>
  <c r="C3" i="13" s="1"/>
  <c r="B2" i="13"/>
  <c r="C66" i="12" a="1"/>
  <c r="C66" i="12" s="1"/>
  <c r="C65" i="12" a="1"/>
  <c r="C65" i="12" s="1"/>
  <c r="C64" i="12" a="1"/>
  <c r="C64" i="12" s="1"/>
  <c r="C63" i="12" a="1"/>
  <c r="C63" i="12" s="1"/>
  <c r="C62" i="12" a="1"/>
  <c r="C62" i="12" s="1"/>
  <c r="C61" i="12" a="1"/>
  <c r="C61" i="12" s="1"/>
  <c r="C60" i="12" a="1"/>
  <c r="C60" i="12" s="1"/>
  <c r="C59" i="12" a="1"/>
  <c r="C59" i="12" s="1"/>
  <c r="C58" i="12" a="1"/>
  <c r="C58" i="12" s="1"/>
  <c r="C57" i="12" a="1"/>
  <c r="C57" i="12" s="1"/>
  <c r="C56" i="12" a="1"/>
  <c r="C56" i="12" s="1"/>
  <c r="C55" i="12" a="1"/>
  <c r="C55" i="12" s="1"/>
  <c r="C54" i="12" a="1"/>
  <c r="C54" i="12" s="1"/>
  <c r="C53" i="12" a="1"/>
  <c r="C53" i="12" s="1"/>
  <c r="C52" i="12" a="1"/>
  <c r="C52" i="12" s="1"/>
  <c r="C51" i="12" a="1"/>
  <c r="C51" i="12" s="1"/>
  <c r="C50" i="12" a="1"/>
  <c r="C50" i="12" s="1"/>
  <c r="C49" i="12" a="1"/>
  <c r="C49" i="12" s="1"/>
  <c r="C48" i="12" a="1"/>
  <c r="C48" i="12" s="1"/>
  <c r="C47" i="12" a="1"/>
  <c r="C47" i="12" s="1"/>
  <c r="C46" i="12" a="1"/>
  <c r="C46" i="12" s="1"/>
  <c r="C45" i="12" a="1"/>
  <c r="C45" i="12" s="1"/>
  <c r="C44" i="12" a="1"/>
  <c r="C44" i="12" s="1"/>
  <c r="C43" i="12" a="1"/>
  <c r="C43" i="12" s="1"/>
  <c r="C42" i="12" a="1"/>
  <c r="C42" i="12" s="1"/>
  <c r="C41" i="12" a="1"/>
  <c r="C41" i="12" s="1"/>
  <c r="C40" i="12" a="1"/>
  <c r="C40" i="12" s="1"/>
  <c r="C39" i="12" a="1"/>
  <c r="C39" i="12" s="1"/>
  <c r="C38" i="12" a="1"/>
  <c r="C38" i="12" s="1"/>
  <c r="C37" i="12" a="1"/>
  <c r="C37" i="12" s="1"/>
  <c r="C36" i="12" a="1"/>
  <c r="C36" i="12" s="1"/>
  <c r="C35" i="12" a="1"/>
  <c r="C35" i="12" s="1"/>
  <c r="C34" i="12" a="1"/>
  <c r="C34" i="12" s="1"/>
  <c r="C33" i="12" a="1"/>
  <c r="C33" i="12" s="1"/>
  <c r="C32" i="12" a="1"/>
  <c r="C32" i="12" s="1"/>
  <c r="C31" i="12" a="1"/>
  <c r="C31" i="12" s="1"/>
  <c r="C30" i="12" a="1"/>
  <c r="C30" i="12" s="1"/>
  <c r="C29" i="12" a="1"/>
  <c r="C29" i="12" s="1"/>
  <c r="C28" i="12" a="1"/>
  <c r="C28" i="12" s="1"/>
  <c r="C27" i="12" a="1"/>
  <c r="C27" i="12" s="1"/>
  <c r="C26" i="12" a="1"/>
  <c r="C26" i="12" s="1"/>
  <c r="C25" i="12" a="1"/>
  <c r="C25" i="12" s="1"/>
  <c r="C24" i="12" a="1"/>
  <c r="C24" i="12" s="1"/>
  <c r="C23" i="12" a="1"/>
  <c r="C23" i="12" s="1"/>
  <c r="B23" i="12" a="1"/>
  <c r="B23" i="12" s="1"/>
  <c r="C22" i="12" a="1"/>
  <c r="C22" i="12" s="1"/>
  <c r="B22" i="12" a="1"/>
  <c r="B22" i="12" s="1"/>
  <c r="C21" i="12" a="1"/>
  <c r="C21" i="12" s="1"/>
  <c r="B21" i="12" a="1"/>
  <c r="B21" i="12" s="1"/>
  <c r="C20" i="12" a="1"/>
  <c r="C20" i="12" s="1"/>
  <c r="C19" i="12" a="1"/>
  <c r="C19" i="12" s="1"/>
  <c r="C18" i="12" a="1"/>
  <c r="C18" i="12" s="1"/>
  <c r="C17" i="12" a="1"/>
  <c r="C17" i="12" s="1"/>
  <c r="B17" i="12" a="1"/>
  <c r="B17" i="12" s="1"/>
  <c r="C16" i="12" a="1"/>
  <c r="C16" i="12" s="1"/>
  <c r="B16" i="12" a="1"/>
  <c r="B16" i="12" s="1"/>
  <c r="C15" i="12" a="1"/>
  <c r="C15" i="12" s="1"/>
  <c r="B15" i="12" a="1"/>
  <c r="B15" i="12" s="1"/>
  <c r="C14" i="12" a="1"/>
  <c r="C14" i="12" s="1"/>
  <c r="C13" i="12" a="1"/>
  <c r="C13" i="12" s="1"/>
  <c r="C12" i="12" a="1"/>
  <c r="C12" i="12" s="1"/>
  <c r="C11" i="12" a="1"/>
  <c r="C11" i="12" s="1"/>
  <c r="C10" i="12" a="1"/>
  <c r="C10" i="12" s="1"/>
  <c r="C9" i="12" a="1"/>
  <c r="C9" i="12" s="1"/>
  <c r="C8" i="12" a="1"/>
  <c r="C8" i="12" s="1"/>
  <c r="C7" i="12" a="1"/>
  <c r="C7" i="12" s="1"/>
  <c r="C6" i="12" a="1"/>
  <c r="C6" i="12" s="1"/>
  <c r="C5" i="12" a="1"/>
  <c r="C5" i="12" s="1"/>
  <c r="C4" i="12" a="1"/>
  <c r="C4" i="12" s="1"/>
  <c r="C3" i="12" a="1"/>
  <c r="C3" i="12" s="1"/>
  <c r="C2" i="12" a="1"/>
  <c r="C2" i="12" s="1"/>
  <c r="C93" i="11" a="1"/>
  <c r="C93" i="11" s="1"/>
  <c r="C92" i="11" a="1"/>
  <c r="C92" i="11" s="1"/>
  <c r="C91" i="11" a="1"/>
  <c r="C91" i="11" s="1"/>
  <c r="C90" i="11" a="1"/>
  <c r="C90" i="11" s="1"/>
  <c r="C89" i="11" a="1"/>
  <c r="C89" i="11" s="1"/>
  <c r="C88" i="11" a="1"/>
  <c r="C88" i="11" s="1"/>
  <c r="C87" i="11" a="1"/>
  <c r="C87" i="11" s="1"/>
  <c r="C86" i="11" a="1"/>
  <c r="C86" i="11" s="1"/>
  <c r="C85" i="11" a="1"/>
  <c r="C85" i="11" s="1"/>
  <c r="C84" i="11" a="1"/>
  <c r="C84" i="11" s="1"/>
  <c r="C39" i="13" s="1"/>
  <c r="C83" i="11" a="1"/>
  <c r="C83" i="11" s="1"/>
  <c r="C82" i="11" a="1"/>
  <c r="C82" i="11" s="1"/>
  <c r="C81" i="11" a="1"/>
  <c r="C81" i="11" s="1"/>
  <c r="C80" i="11" a="1"/>
  <c r="C80" i="11" s="1"/>
  <c r="C79" i="11" a="1"/>
  <c r="C79" i="11" s="1"/>
  <c r="C50" i="17" s="1"/>
  <c r="C78" i="11" a="1"/>
  <c r="C78" i="11" s="1"/>
  <c r="C77" i="11" a="1"/>
  <c r="C77" i="11" s="1"/>
  <c r="C76" i="11" a="1"/>
  <c r="C76" i="11" s="1"/>
  <c r="C75" i="11" a="1"/>
  <c r="C75" i="11" s="1"/>
  <c r="C74" i="11" a="1"/>
  <c r="C74" i="11" s="1"/>
  <c r="C73" i="11" a="1"/>
  <c r="C73" i="11" s="1"/>
  <c r="C45" i="17" s="1"/>
  <c r="C72" i="11" a="1"/>
  <c r="C72" i="11" s="1"/>
  <c r="C42" i="14" s="1"/>
  <c r="C71" i="11" a="1"/>
  <c r="C71" i="11" s="1"/>
  <c r="C70" i="11" a="1"/>
  <c r="C70" i="11" s="1"/>
  <c r="C69" i="11" a="1"/>
  <c r="C69" i="11" s="1"/>
  <c r="C68" i="11" a="1"/>
  <c r="C68" i="11" s="1"/>
  <c r="C67" i="11" a="1"/>
  <c r="C67" i="11" s="1"/>
  <c r="C66" i="11" a="1"/>
  <c r="C66" i="11" s="1"/>
  <c r="C65" i="11" a="1"/>
  <c r="C65" i="11" s="1"/>
  <c r="C64" i="11" a="1"/>
  <c r="C64" i="11" s="1"/>
  <c r="C63" i="11" a="1"/>
  <c r="C63" i="11" s="1"/>
  <c r="C62" i="11" a="1"/>
  <c r="C62" i="11" s="1"/>
  <c r="C61" i="11" a="1"/>
  <c r="C61" i="11" s="1"/>
  <c r="C60" i="11" a="1"/>
  <c r="C60" i="11" s="1"/>
  <c r="C59" i="11" a="1"/>
  <c r="C59" i="11" s="1"/>
  <c r="C58" i="11" a="1"/>
  <c r="C58" i="11" s="1"/>
  <c r="C57" i="11" a="1"/>
  <c r="C57" i="11" s="1"/>
  <c r="C56" i="11" a="1"/>
  <c r="C56" i="11" s="1"/>
  <c r="C55" i="11" a="1"/>
  <c r="C55" i="11" s="1"/>
  <c r="C54" i="11" a="1"/>
  <c r="C54" i="11" s="1"/>
  <c r="C53" i="11" a="1"/>
  <c r="C53" i="11" s="1"/>
  <c r="C52" i="11" a="1"/>
  <c r="C52" i="11" s="1"/>
  <c r="C51" i="11" a="1"/>
  <c r="C51" i="11" s="1"/>
  <c r="C50" i="11" a="1"/>
  <c r="C50" i="11" s="1"/>
  <c r="C49" i="11" a="1"/>
  <c r="C49" i="11" s="1"/>
  <c r="C48" i="11" a="1"/>
  <c r="C48" i="11" s="1"/>
  <c r="C26" i="17" s="1"/>
  <c r="C47" i="11" a="1"/>
  <c r="C47" i="11" s="1"/>
  <c r="C46" i="11" a="1"/>
  <c r="C46" i="11" s="1"/>
  <c r="C45" i="11" a="1"/>
  <c r="C45" i="11" s="1"/>
  <c r="C44" i="11" a="1"/>
  <c r="C44" i="11" s="1"/>
  <c r="C43" i="11" a="1"/>
  <c r="C43" i="11" s="1"/>
  <c r="C42" i="11" a="1"/>
  <c r="C42" i="11" s="1"/>
  <c r="C41" i="11" a="1"/>
  <c r="C41" i="11" s="1"/>
  <c r="C40" i="11" a="1"/>
  <c r="C40" i="11" s="1"/>
  <c r="C39" i="11" a="1"/>
  <c r="C39" i="11" s="1"/>
  <c r="C38" i="11" a="1"/>
  <c r="C38" i="11" s="1"/>
  <c r="C37" i="11" a="1"/>
  <c r="C37" i="11" s="1"/>
  <c r="C36" i="11" a="1"/>
  <c r="C36" i="11" s="1"/>
  <c r="C35" i="11" a="1"/>
  <c r="C35" i="11" s="1"/>
  <c r="C34" i="11" a="1"/>
  <c r="C34" i="11" s="1"/>
  <c r="C33" i="11" a="1"/>
  <c r="C33" i="11" s="1"/>
  <c r="C32" i="11" a="1"/>
  <c r="C32" i="11" s="1"/>
  <c r="C31" i="11" a="1"/>
  <c r="C31" i="11" s="1"/>
  <c r="C30" i="11" a="1"/>
  <c r="C30" i="11" s="1"/>
  <c r="C29" i="11" a="1"/>
  <c r="C29" i="11" s="1"/>
  <c r="C28" i="11" a="1"/>
  <c r="C28" i="11" s="1"/>
  <c r="C27" i="11" a="1"/>
  <c r="C27" i="11" s="1"/>
  <c r="C26" i="11" a="1"/>
  <c r="C26" i="11" s="1"/>
  <c r="C25" i="11" a="1"/>
  <c r="C25" i="11" s="1"/>
  <c r="C24" i="11" a="1"/>
  <c r="C24" i="11" s="1"/>
  <c r="C23" i="11" a="1"/>
  <c r="C23" i="11" s="1"/>
  <c r="C17" i="17" s="1"/>
  <c r="C22" i="11" a="1"/>
  <c r="C22" i="11" s="1"/>
  <c r="C21" i="11" a="1"/>
  <c r="C21" i="11" s="1"/>
  <c r="C20" i="11" a="1"/>
  <c r="C20" i="11" s="1"/>
  <c r="C19" i="11" a="1"/>
  <c r="C19" i="11" s="1"/>
  <c r="C18" i="11" a="1"/>
  <c r="C18" i="11" s="1"/>
  <c r="C17" i="11" a="1"/>
  <c r="C17" i="11" s="1"/>
  <c r="C16" i="11" a="1"/>
  <c r="C16" i="11" s="1"/>
  <c r="C15" i="11" a="1"/>
  <c r="C15" i="11" s="1"/>
  <c r="C14" i="11" a="1"/>
  <c r="C14" i="11" s="1"/>
  <c r="C13" i="11" a="1"/>
  <c r="C13" i="11" s="1"/>
  <c r="C12" i="11" a="1"/>
  <c r="C12" i="11" s="1"/>
  <c r="C15" i="17" s="1"/>
  <c r="C11" i="11" a="1"/>
  <c r="C11" i="11" s="1"/>
  <c r="C10" i="11" a="1"/>
  <c r="C10" i="11" s="1"/>
  <c r="C9" i="11" a="1"/>
  <c r="C9" i="11" s="1"/>
  <c r="C8" i="11" a="1"/>
  <c r="C8" i="11" s="1"/>
  <c r="C8" i="16" s="1"/>
  <c r="C7" i="11" a="1"/>
  <c r="C7" i="11" s="1"/>
  <c r="C6" i="11" a="1"/>
  <c r="C6" i="11" s="1"/>
  <c r="C5" i="11" a="1"/>
  <c r="C5" i="11" s="1"/>
  <c r="C4" i="11" a="1"/>
  <c r="C4" i="11" s="1"/>
  <c r="C3" i="11" a="1"/>
  <c r="C3" i="11" s="1"/>
  <c r="C2" i="11" a="1"/>
  <c r="C2" i="11" s="1"/>
  <c r="C65" i="10" a="1"/>
  <c r="C65" i="10" s="1"/>
  <c r="B65" i="10" a="1"/>
  <c r="B65" i="10" s="1"/>
  <c r="C64" i="10" a="1"/>
  <c r="C64" i="10" s="1"/>
  <c r="B64" i="10" a="1"/>
  <c r="B64" i="10" s="1"/>
  <c r="C63" i="10" a="1"/>
  <c r="C63" i="10" s="1"/>
  <c r="B63" i="10" a="1"/>
  <c r="B63" i="10" s="1"/>
  <c r="C62" i="10" a="1"/>
  <c r="C62" i="10" s="1"/>
  <c r="B62" i="10" a="1"/>
  <c r="B62" i="10" s="1"/>
  <c r="C61" i="10" a="1"/>
  <c r="C61" i="10" s="1"/>
  <c r="B61" i="10" a="1"/>
  <c r="B61" i="10" s="1"/>
  <c r="C60" i="10" a="1"/>
  <c r="C60" i="10" s="1"/>
  <c r="B60" i="10" a="1"/>
  <c r="B60" i="10" s="1"/>
  <c r="C59" i="10" a="1"/>
  <c r="C59" i="10" s="1"/>
  <c r="B59" i="10" a="1"/>
  <c r="B59" i="10" s="1"/>
  <c r="C58" i="10" a="1"/>
  <c r="C58" i="10" s="1"/>
  <c r="B58" i="10" a="1"/>
  <c r="B58" i="10" s="1"/>
  <c r="C57" i="10" a="1"/>
  <c r="C57" i="10" s="1"/>
  <c r="B57" i="10" a="1"/>
  <c r="B57" i="10" s="1"/>
  <c r="C56" i="10" a="1"/>
  <c r="C56" i="10" s="1"/>
  <c r="B56" i="10" a="1"/>
  <c r="B56" i="10" s="1"/>
  <c r="C55" i="10" a="1"/>
  <c r="C55" i="10" s="1"/>
  <c r="B55" i="10" a="1"/>
  <c r="B55" i="10" s="1"/>
  <c r="C54" i="10" a="1"/>
  <c r="C54" i="10" s="1"/>
  <c r="B54" i="10" a="1"/>
  <c r="B54" i="10" s="1"/>
  <c r="C53" i="10" a="1"/>
  <c r="C53" i="10" s="1"/>
  <c r="B53" i="10" a="1"/>
  <c r="B53" i="10" s="1"/>
  <c r="C52" i="10" a="1"/>
  <c r="C52" i="10" s="1"/>
  <c r="B52" i="10" a="1"/>
  <c r="B52" i="10" s="1"/>
  <c r="C51" i="10" a="1"/>
  <c r="C51" i="10" s="1"/>
  <c r="B51" i="10" a="1"/>
  <c r="B51" i="10" s="1"/>
  <c r="C50" i="10" a="1"/>
  <c r="C50" i="10" s="1"/>
  <c r="B50" i="10" a="1"/>
  <c r="B50" i="10" s="1"/>
  <c r="C49" i="10" a="1"/>
  <c r="C49" i="10" s="1"/>
  <c r="B49" i="10" a="1"/>
  <c r="B49" i="10" s="1"/>
  <c r="C48" i="10" a="1"/>
  <c r="C48" i="10" s="1"/>
  <c r="C47" i="10" a="1"/>
  <c r="C47" i="10" s="1"/>
  <c r="C46" i="10" a="1"/>
  <c r="C46" i="10" s="1"/>
  <c r="C45" i="10" a="1"/>
  <c r="C45" i="10" s="1"/>
  <c r="B45" i="10" a="1"/>
  <c r="B45" i="10" s="1"/>
  <c r="C44" i="10" a="1"/>
  <c r="C44" i="10" s="1"/>
  <c r="C43" i="10" a="1"/>
  <c r="C43" i="10" s="1"/>
  <c r="C42" i="10" a="1"/>
  <c r="C42" i="10" s="1"/>
  <c r="C41" i="10" a="1"/>
  <c r="C41" i="10" s="1"/>
  <c r="B41" i="10" a="1"/>
  <c r="B41" i="10" s="1"/>
  <c r="C40" i="10" a="1"/>
  <c r="C40" i="10" s="1"/>
  <c r="C39" i="10" a="1"/>
  <c r="C39" i="10" s="1"/>
  <c r="C38" i="10" a="1"/>
  <c r="C38" i="10" s="1"/>
  <c r="B38" i="10" a="1"/>
  <c r="B38" i="10" s="1"/>
  <c r="C37" i="10" a="1"/>
  <c r="C37" i="10" s="1"/>
  <c r="B37" i="10" a="1"/>
  <c r="B37" i="10" s="1"/>
  <c r="C36" i="10" a="1"/>
  <c r="C36" i="10" s="1"/>
  <c r="B36" i="10" a="1"/>
  <c r="B36" i="10" s="1"/>
  <c r="C35" i="10" a="1"/>
  <c r="C35" i="10" s="1"/>
  <c r="B35" i="10" a="1"/>
  <c r="B35" i="10" s="1"/>
  <c r="C34" i="10" a="1"/>
  <c r="C34" i="10" s="1"/>
  <c r="B34" i="10" a="1"/>
  <c r="B34" i="10" s="1"/>
  <c r="C33" i="10" a="1"/>
  <c r="C33" i="10" s="1"/>
  <c r="B33" i="10" a="1"/>
  <c r="B33" i="10" s="1"/>
  <c r="C32" i="10" a="1"/>
  <c r="C32" i="10" s="1"/>
  <c r="B32" i="10" a="1"/>
  <c r="B32" i="10" s="1"/>
  <c r="C31" i="10" a="1"/>
  <c r="C31" i="10" s="1"/>
  <c r="B31" i="10" a="1"/>
  <c r="B31" i="10" s="1"/>
  <c r="C30" i="10" a="1"/>
  <c r="C30" i="10" s="1"/>
  <c r="B30" i="10" a="1"/>
  <c r="B30" i="10" s="1"/>
  <c r="C29" i="10" a="1"/>
  <c r="C29" i="10" s="1"/>
  <c r="B29" i="10" a="1"/>
  <c r="B29" i="10" s="1"/>
  <c r="C28" i="10" a="1"/>
  <c r="C28" i="10" s="1"/>
  <c r="B28" i="10" a="1"/>
  <c r="B28" i="10" s="1"/>
  <c r="C27" i="10" a="1"/>
  <c r="C27" i="10" s="1"/>
  <c r="B27" i="10" a="1"/>
  <c r="B27" i="10" s="1"/>
  <c r="C26" i="10" a="1"/>
  <c r="C26" i="10" s="1"/>
  <c r="B26" i="10" a="1"/>
  <c r="B26" i="10" s="1"/>
  <c r="C25" i="10" a="1"/>
  <c r="C25" i="10" s="1"/>
  <c r="B25" i="10" a="1"/>
  <c r="B25" i="10" s="1"/>
  <c r="C24" i="10" a="1"/>
  <c r="C24" i="10" s="1"/>
  <c r="B24" i="10" a="1"/>
  <c r="B24" i="10" s="1"/>
  <c r="C23" i="10" a="1"/>
  <c r="C23" i="10" s="1"/>
  <c r="B23" i="10" a="1"/>
  <c r="B23" i="10" s="1"/>
  <c r="C22" i="10" a="1"/>
  <c r="C22" i="10" s="1"/>
  <c r="B22" i="10" a="1"/>
  <c r="B22" i="10" s="1"/>
  <c r="C21" i="10" a="1"/>
  <c r="C21" i="10" s="1"/>
  <c r="B21" i="10" a="1"/>
  <c r="B21" i="10" s="1"/>
  <c r="C20" i="10" a="1"/>
  <c r="C20" i="10" s="1"/>
  <c r="B20" i="10" a="1"/>
  <c r="B20" i="10" s="1"/>
  <c r="C19" i="10" a="1"/>
  <c r="C19" i="10" s="1"/>
  <c r="C18" i="10" a="1"/>
  <c r="C18" i="10" s="1"/>
  <c r="B18" i="10" a="1"/>
  <c r="B18" i="10" s="1"/>
  <c r="C17" i="10" a="1"/>
  <c r="C17" i="10" s="1"/>
  <c r="B17" i="10" a="1"/>
  <c r="B17" i="10" s="1"/>
  <c r="C16" i="10" a="1"/>
  <c r="C16" i="10" s="1"/>
  <c r="C15" i="10" a="1"/>
  <c r="C15" i="10" s="1"/>
  <c r="C14" i="10" a="1"/>
  <c r="C14" i="10" s="1"/>
  <c r="B14" i="10" a="1"/>
  <c r="B14" i="10" s="1"/>
  <c r="C13" i="10" a="1"/>
  <c r="C13" i="10" s="1"/>
  <c r="B13" i="10" a="1"/>
  <c r="B13" i="10" s="1"/>
  <c r="C12" i="10" a="1"/>
  <c r="C12" i="10" s="1"/>
  <c r="C11" i="10" a="1"/>
  <c r="C11" i="10" s="1"/>
  <c r="B11" i="10" a="1"/>
  <c r="B11" i="10" s="1"/>
  <c r="C10" i="10" a="1"/>
  <c r="C10" i="10" s="1"/>
  <c r="B10" i="10" a="1"/>
  <c r="B10" i="10" s="1"/>
  <c r="C9" i="10" a="1"/>
  <c r="C9" i="10" s="1"/>
  <c r="B9" i="10" a="1"/>
  <c r="B9" i="10" s="1"/>
  <c r="C8" i="10" a="1"/>
  <c r="C8" i="10" s="1"/>
  <c r="B8" i="10" a="1"/>
  <c r="B8" i="10" s="1"/>
  <c r="C7" i="10" a="1"/>
  <c r="C7" i="10" s="1"/>
  <c r="B7" i="10" a="1"/>
  <c r="B7" i="10" s="1"/>
  <c r="C6" i="10" a="1"/>
  <c r="C6" i="10" s="1"/>
  <c r="B6" i="10" a="1"/>
  <c r="B6" i="10" s="1"/>
  <c r="C5" i="10" a="1"/>
  <c r="C5" i="10" s="1"/>
  <c r="C4" i="10" a="1"/>
  <c r="C4" i="10" s="1"/>
  <c r="B4" i="10" a="1"/>
  <c r="B4" i="10" s="1"/>
  <c r="C3" i="10" a="1"/>
  <c r="C3" i="10" s="1"/>
  <c r="C2" i="10" a="1"/>
  <c r="C2" i="10" s="1"/>
  <c r="B2" i="10" a="1"/>
  <c r="B2" i="10" s="1"/>
  <c r="C130" i="9" a="1"/>
  <c r="C130" i="9" s="1"/>
  <c r="C129" i="9" a="1"/>
  <c r="C129" i="9" s="1"/>
  <c r="C128" i="9" a="1"/>
  <c r="C128" i="9" s="1"/>
  <c r="C127" i="9" a="1"/>
  <c r="C127" i="9" s="1"/>
  <c r="C126" i="9" a="1"/>
  <c r="C126" i="9" s="1"/>
  <c r="C125" i="9" a="1"/>
  <c r="C125" i="9" s="1"/>
  <c r="C124" i="9" a="1"/>
  <c r="C124" i="9" s="1"/>
  <c r="C123" i="9" a="1"/>
  <c r="C123" i="9" s="1"/>
  <c r="C122" i="9" a="1"/>
  <c r="C122" i="9" s="1"/>
  <c r="C121" i="9" a="1"/>
  <c r="C121" i="9" s="1"/>
  <c r="C120" i="9" a="1"/>
  <c r="C120" i="9" s="1"/>
  <c r="C119" i="9" a="1"/>
  <c r="C119" i="9" s="1"/>
  <c r="C118" i="9" a="1"/>
  <c r="C118" i="9" s="1"/>
  <c r="C117" i="9" a="1"/>
  <c r="C117" i="9" s="1"/>
  <c r="C116" i="9" a="1"/>
  <c r="C116" i="9" s="1"/>
  <c r="C115" i="9" a="1"/>
  <c r="C115" i="9" s="1"/>
  <c r="C114" i="9" a="1"/>
  <c r="C114" i="9" s="1"/>
  <c r="C113" i="9" a="1"/>
  <c r="C113" i="9" s="1"/>
  <c r="C112" i="9" a="1"/>
  <c r="C112" i="9" s="1"/>
  <c r="C111" i="9" a="1"/>
  <c r="C111" i="9" s="1"/>
  <c r="C110" i="9" a="1"/>
  <c r="C110" i="9" s="1"/>
  <c r="C109" i="9" a="1"/>
  <c r="C109" i="9" s="1"/>
  <c r="C108" i="9" a="1"/>
  <c r="C108" i="9" s="1"/>
  <c r="C107" i="9" a="1"/>
  <c r="C107" i="9" s="1"/>
  <c r="C106" i="9" a="1"/>
  <c r="C106" i="9" s="1"/>
  <c r="C105" i="9" a="1"/>
  <c r="C105" i="9" s="1"/>
  <c r="C104" i="9" a="1"/>
  <c r="C104" i="9" s="1"/>
  <c r="C103" i="9" a="1"/>
  <c r="C103" i="9" s="1"/>
  <c r="C102" i="9" a="1"/>
  <c r="C102" i="9" s="1"/>
  <c r="C101" i="9" a="1"/>
  <c r="C101" i="9" s="1"/>
  <c r="C100" i="9" a="1"/>
  <c r="C100" i="9" s="1"/>
  <c r="C99" i="9" a="1"/>
  <c r="C99" i="9" s="1"/>
  <c r="C98" i="9" a="1"/>
  <c r="C98" i="9" s="1"/>
  <c r="C97" i="9" a="1"/>
  <c r="C97" i="9" s="1"/>
  <c r="C96" i="9" a="1"/>
  <c r="C96" i="9" s="1"/>
  <c r="C95" i="9" a="1"/>
  <c r="C95" i="9" s="1"/>
  <c r="C94" i="9" a="1"/>
  <c r="C94" i="9" s="1"/>
  <c r="C93" i="9" a="1"/>
  <c r="C93" i="9" s="1"/>
  <c r="C92" i="9" a="1"/>
  <c r="C92" i="9" s="1"/>
  <c r="C91" i="9" a="1"/>
  <c r="C91" i="9" s="1"/>
  <c r="C90" i="9" a="1"/>
  <c r="C90" i="9" s="1"/>
  <c r="C89" i="9" a="1"/>
  <c r="C89" i="9" s="1"/>
  <c r="C88" i="9" a="1"/>
  <c r="C88" i="9" s="1"/>
  <c r="C87" i="9" a="1"/>
  <c r="C87" i="9" s="1"/>
  <c r="C86" i="9" a="1"/>
  <c r="C86" i="9" s="1"/>
  <c r="C85" i="9" a="1"/>
  <c r="C85" i="9" s="1"/>
  <c r="C84" i="9" a="1"/>
  <c r="C84" i="9" s="1"/>
  <c r="C83" i="9" a="1"/>
  <c r="C83" i="9" s="1"/>
  <c r="C82" i="9" a="1"/>
  <c r="C82" i="9" s="1"/>
  <c r="C81" i="9" a="1"/>
  <c r="C81" i="9" s="1"/>
  <c r="C80" i="9" a="1"/>
  <c r="C80" i="9" s="1"/>
  <c r="C79" i="9" a="1"/>
  <c r="C79" i="9" s="1"/>
  <c r="C78" i="9" a="1"/>
  <c r="C78" i="9" s="1"/>
  <c r="C77" i="9" a="1"/>
  <c r="C77" i="9" s="1"/>
  <c r="C76" i="9" a="1"/>
  <c r="C76" i="9" s="1"/>
  <c r="C75" i="9" a="1"/>
  <c r="C75" i="9" s="1"/>
  <c r="C74" i="9" a="1"/>
  <c r="C74" i="9" s="1"/>
  <c r="C73" i="9" a="1"/>
  <c r="C73" i="9" s="1"/>
  <c r="C72" i="9" a="1"/>
  <c r="C72" i="9" s="1"/>
  <c r="C71" i="9" a="1"/>
  <c r="C71" i="9" s="1"/>
  <c r="C70" i="9" a="1"/>
  <c r="C70" i="9" s="1"/>
  <c r="C69" i="9" a="1"/>
  <c r="C69" i="9" s="1"/>
  <c r="C68" i="9" a="1"/>
  <c r="C68" i="9" s="1"/>
  <c r="C67" i="9" a="1"/>
  <c r="C67" i="9" s="1"/>
  <c r="C66" i="9" a="1"/>
  <c r="C66" i="9" s="1"/>
  <c r="C65" i="9" a="1"/>
  <c r="C65" i="9" s="1"/>
  <c r="C64" i="9" a="1"/>
  <c r="C64" i="9" s="1"/>
  <c r="C63" i="9" a="1"/>
  <c r="C63" i="9" s="1"/>
  <c r="C62" i="9" a="1"/>
  <c r="C62" i="9" s="1"/>
  <c r="C61" i="9" a="1"/>
  <c r="C61" i="9" s="1"/>
  <c r="C60" i="9" a="1"/>
  <c r="C60" i="9" s="1"/>
  <c r="C59" i="9" a="1"/>
  <c r="C59" i="9" s="1"/>
  <c r="C58" i="9" a="1"/>
  <c r="C58" i="9" s="1"/>
  <c r="C57" i="9" a="1"/>
  <c r="C57" i="9" s="1"/>
  <c r="C56" i="9" a="1"/>
  <c r="C56" i="9" s="1"/>
  <c r="C55" i="9" a="1"/>
  <c r="C55" i="9" s="1"/>
  <c r="C54" i="9" a="1"/>
  <c r="C54" i="9" s="1"/>
  <c r="C53" i="9" a="1"/>
  <c r="C53" i="9" s="1"/>
  <c r="C52" i="9" a="1"/>
  <c r="C52" i="9" s="1"/>
  <c r="C51" i="9" a="1"/>
  <c r="C51" i="9" s="1"/>
  <c r="C50" i="9" a="1"/>
  <c r="C50" i="9" s="1"/>
  <c r="C49" i="9" a="1"/>
  <c r="C49" i="9" s="1"/>
  <c r="C48" i="9" a="1"/>
  <c r="C48" i="9" s="1"/>
  <c r="C47" i="9" a="1"/>
  <c r="C47" i="9" s="1"/>
  <c r="C46" i="9" a="1"/>
  <c r="C46" i="9" s="1"/>
  <c r="C45" i="9" a="1"/>
  <c r="C45" i="9" s="1"/>
  <c r="C44" i="9" a="1"/>
  <c r="C44" i="9" s="1"/>
  <c r="C43" i="9" a="1"/>
  <c r="C43" i="9" s="1"/>
  <c r="C42" i="9" a="1"/>
  <c r="C42" i="9" s="1"/>
  <c r="C41" i="9" a="1"/>
  <c r="C41" i="9" s="1"/>
  <c r="C40" i="9" a="1"/>
  <c r="C40" i="9" s="1"/>
  <c r="C39" i="9" a="1"/>
  <c r="C39" i="9" s="1"/>
  <c r="C38" i="9" a="1"/>
  <c r="C38" i="9" s="1"/>
  <c r="C37" i="9" a="1"/>
  <c r="C37" i="9" s="1"/>
  <c r="C36" i="9" a="1"/>
  <c r="C36" i="9" s="1"/>
  <c r="C35" i="9" a="1"/>
  <c r="C35" i="9" s="1"/>
  <c r="C34" i="9" a="1"/>
  <c r="C34" i="9" s="1"/>
  <c r="C33" i="9" a="1"/>
  <c r="C33" i="9" s="1"/>
  <c r="C32" i="9" a="1"/>
  <c r="C32" i="9" s="1"/>
  <c r="C31" i="9" a="1"/>
  <c r="C31" i="9" s="1"/>
  <c r="C30" i="9" a="1"/>
  <c r="C30" i="9" s="1"/>
  <c r="C29" i="9" a="1"/>
  <c r="C29" i="9" s="1"/>
  <c r="C28" i="9" a="1"/>
  <c r="C28" i="9" s="1"/>
  <c r="C27" i="9" a="1"/>
  <c r="C27" i="9" s="1"/>
  <c r="C26" i="9" a="1"/>
  <c r="C26" i="9" s="1"/>
  <c r="C25" i="9" a="1"/>
  <c r="C25" i="9" s="1"/>
  <c r="C24" i="9" a="1"/>
  <c r="C24" i="9" s="1"/>
  <c r="C23" i="9" a="1"/>
  <c r="C23" i="9" s="1"/>
  <c r="C22" i="9" a="1"/>
  <c r="C22" i="9" s="1"/>
  <c r="C21" i="9" a="1"/>
  <c r="C21" i="9" s="1"/>
  <c r="C20" i="9" a="1"/>
  <c r="C20" i="9" s="1"/>
  <c r="C19" i="9" a="1"/>
  <c r="C19" i="9" s="1"/>
  <c r="C18" i="9" a="1"/>
  <c r="C18" i="9" s="1"/>
  <c r="C17" i="9" a="1"/>
  <c r="C17" i="9" s="1"/>
  <c r="C16" i="9" a="1"/>
  <c r="C16" i="9" s="1"/>
  <c r="C15" i="9" a="1"/>
  <c r="C15" i="9" s="1"/>
  <c r="C14" i="9" a="1"/>
  <c r="C14" i="9" s="1"/>
  <c r="C13" i="9" a="1"/>
  <c r="C13" i="9" s="1"/>
  <c r="C12" i="9" a="1"/>
  <c r="C12" i="9" s="1"/>
  <c r="C11" i="9" a="1"/>
  <c r="C11" i="9" s="1"/>
  <c r="C10" i="9" a="1"/>
  <c r="C10" i="9" s="1"/>
  <c r="C9" i="9" a="1"/>
  <c r="C9" i="9" s="1"/>
  <c r="C8" i="9" a="1"/>
  <c r="C8" i="9" s="1"/>
  <c r="C7" i="9" a="1"/>
  <c r="C7" i="9" s="1"/>
  <c r="C6" i="9" a="1"/>
  <c r="C6" i="9" s="1"/>
  <c r="C5" i="9" a="1"/>
  <c r="C5" i="9" s="1"/>
  <c r="C4" i="9" a="1"/>
  <c r="C4" i="9" s="1"/>
  <c r="C3" i="9" a="1"/>
  <c r="C3" i="9" s="1"/>
  <c r="C2" i="9" a="1"/>
  <c r="C2" i="9" s="1"/>
  <c r="AL438" i="8"/>
  <c r="AK438" i="8"/>
  <c r="AJ438" i="8"/>
  <c r="AI438" i="8"/>
  <c r="AH438" i="8"/>
  <c r="AG438" i="8"/>
  <c r="AF438" i="8"/>
  <c r="AE438" i="8"/>
  <c r="AD438" i="8"/>
  <c r="AC438" i="8"/>
  <c r="Z438" i="8"/>
  <c r="Y438" i="8"/>
  <c r="X438" i="8"/>
  <c r="W438" i="8"/>
  <c r="U438" i="8"/>
  <c r="T438" i="8"/>
  <c r="S438" i="8"/>
  <c r="R438" i="8"/>
  <c r="Q438" i="8"/>
  <c r="P438" i="8"/>
  <c r="K438" i="8"/>
  <c r="J438" i="8"/>
  <c r="I438" i="8"/>
  <c r="H438" i="8"/>
  <c r="G438" i="8"/>
  <c r="AL437" i="8"/>
  <c r="AK437" i="8"/>
  <c r="AJ437" i="8"/>
  <c r="AI437" i="8"/>
  <c r="AH437" i="8"/>
  <c r="AG437" i="8"/>
  <c r="AF437" i="8"/>
  <c r="AE437" i="8"/>
  <c r="AD437" i="8"/>
  <c r="AB437" i="8"/>
  <c r="Z437" i="8"/>
  <c r="Y437" i="8"/>
  <c r="X437" i="8"/>
  <c r="W437" i="8"/>
  <c r="V437" i="8"/>
  <c r="U437" i="8"/>
  <c r="S437" i="8"/>
  <c r="R437" i="8"/>
  <c r="Q437" i="8"/>
  <c r="P437" i="8"/>
  <c r="K437" i="8"/>
  <c r="J437" i="8"/>
  <c r="I437" i="8"/>
  <c r="H437" i="8"/>
  <c r="G437" i="8"/>
  <c r="AL436" i="8"/>
  <c r="AJ436" i="8"/>
  <c r="AI436" i="8"/>
  <c r="AH436" i="8"/>
  <c r="AG436" i="8"/>
  <c r="AF436" i="8"/>
  <c r="AE436" i="8"/>
  <c r="AD436" i="8"/>
  <c r="AC436" i="8"/>
  <c r="AB436" i="8"/>
  <c r="AA436" i="8"/>
  <c r="Z436" i="8"/>
  <c r="Y436" i="8"/>
  <c r="X436" i="8"/>
  <c r="W436" i="8"/>
  <c r="U436" i="8"/>
  <c r="S436" i="8"/>
  <c r="R436" i="8"/>
  <c r="Q436" i="8"/>
  <c r="P436" i="8"/>
  <c r="K436" i="8"/>
  <c r="J436" i="8"/>
  <c r="I436" i="8"/>
  <c r="H436" i="8"/>
  <c r="G436" i="8"/>
  <c r="AL435" i="8"/>
  <c r="AK435" i="8"/>
  <c r="AJ435" i="8"/>
  <c r="AI435" i="8"/>
  <c r="AH435" i="8"/>
  <c r="AG435" i="8"/>
  <c r="AF435" i="8"/>
  <c r="AE435" i="8"/>
  <c r="AD435" i="8"/>
  <c r="AC435" i="8"/>
  <c r="AA435" i="8"/>
  <c r="Z435" i="8"/>
  <c r="Y435" i="8"/>
  <c r="X435" i="8"/>
  <c r="W435" i="8"/>
  <c r="T435" i="8"/>
  <c r="S435" i="8"/>
  <c r="R435" i="8"/>
  <c r="Q435" i="8"/>
  <c r="P435" i="8"/>
  <c r="K435" i="8"/>
  <c r="J435" i="8"/>
  <c r="I435" i="8"/>
  <c r="H435" i="8"/>
  <c r="G435" i="8"/>
  <c r="AL434" i="8"/>
  <c r="AK434" i="8"/>
  <c r="AJ434" i="8"/>
  <c r="AI434" i="8"/>
  <c r="AH434" i="8"/>
  <c r="AG434" i="8"/>
  <c r="AF434" i="8"/>
  <c r="AE434" i="8"/>
  <c r="AD434" i="8"/>
  <c r="AC434" i="8"/>
  <c r="Z434" i="8"/>
  <c r="Y434" i="8"/>
  <c r="X434" i="8"/>
  <c r="W434" i="8"/>
  <c r="U434" i="8"/>
  <c r="T434" i="8"/>
  <c r="S434" i="8"/>
  <c r="R434" i="8"/>
  <c r="Q434" i="8"/>
  <c r="P434" i="8"/>
  <c r="K434" i="8"/>
  <c r="J434" i="8"/>
  <c r="I434" i="8"/>
  <c r="H434" i="8"/>
  <c r="G434" i="8"/>
  <c r="AL433" i="8"/>
  <c r="AK433" i="8"/>
  <c r="AJ433" i="8"/>
  <c r="AI433" i="8"/>
  <c r="AH433" i="8"/>
  <c r="AG433" i="8"/>
  <c r="AF433" i="8"/>
  <c r="AE433" i="8"/>
  <c r="AD433" i="8"/>
  <c r="AC433" i="8"/>
  <c r="AB433" i="8"/>
  <c r="Z433" i="8"/>
  <c r="Y433" i="8"/>
  <c r="X433" i="8"/>
  <c r="W433" i="8"/>
  <c r="V433" i="8"/>
  <c r="U433" i="8"/>
  <c r="S433" i="8"/>
  <c r="Q433" i="8"/>
  <c r="P433" i="8"/>
  <c r="K433" i="8"/>
  <c r="J433" i="8"/>
  <c r="I433" i="8"/>
  <c r="H433" i="8"/>
  <c r="G433" i="8"/>
  <c r="AL432" i="8"/>
  <c r="AK432" i="8"/>
  <c r="AJ432" i="8"/>
  <c r="AI432" i="8"/>
  <c r="AH432" i="8"/>
  <c r="AG432" i="8"/>
  <c r="AF432" i="8"/>
  <c r="AE432" i="8"/>
  <c r="AD432" i="8"/>
  <c r="AC432" i="8"/>
  <c r="AB432" i="8"/>
  <c r="Z432" i="8"/>
  <c r="Y432" i="8"/>
  <c r="X432" i="8"/>
  <c r="W432" i="8"/>
  <c r="U432" i="8"/>
  <c r="S432" i="8"/>
  <c r="R432" i="8"/>
  <c r="Q432" i="8"/>
  <c r="P432" i="8"/>
  <c r="K432" i="8"/>
  <c r="J432" i="8"/>
  <c r="I432" i="8"/>
  <c r="H432" i="8"/>
  <c r="G432" i="8"/>
  <c r="AL431" i="8"/>
  <c r="AK431" i="8"/>
  <c r="AJ431" i="8"/>
  <c r="AI431" i="8"/>
  <c r="AH431" i="8"/>
  <c r="AG431" i="8"/>
  <c r="AF431" i="8"/>
  <c r="AE431" i="8"/>
  <c r="AD431" i="8"/>
  <c r="AC431" i="8"/>
  <c r="AB431" i="8"/>
  <c r="AA431" i="8"/>
  <c r="Z431" i="8"/>
  <c r="X431" i="8"/>
  <c r="V431" i="8"/>
  <c r="U431" i="8"/>
  <c r="S431" i="8"/>
  <c r="R431" i="8"/>
  <c r="Q431" i="8"/>
  <c r="P431" i="8"/>
  <c r="K431" i="8"/>
  <c r="J431" i="8"/>
  <c r="I431" i="8"/>
  <c r="H431" i="8"/>
  <c r="G431" i="8"/>
  <c r="AL430" i="8"/>
  <c r="AK430" i="8"/>
  <c r="AJ430" i="8"/>
  <c r="AI430" i="8"/>
  <c r="AH430" i="8"/>
  <c r="AG430" i="8"/>
  <c r="AF430" i="8"/>
  <c r="AE430" i="8"/>
  <c r="AD430" i="8"/>
  <c r="AC430" i="8"/>
  <c r="Z430" i="8"/>
  <c r="Y430" i="8"/>
  <c r="X430" i="8"/>
  <c r="V430" i="8"/>
  <c r="T430" i="8"/>
  <c r="S430" i="8"/>
  <c r="Q430" i="8"/>
  <c r="P430" i="8"/>
  <c r="K430" i="8"/>
  <c r="J430" i="8"/>
  <c r="I430" i="8"/>
  <c r="H430" i="8"/>
  <c r="G430" i="8"/>
  <c r="AL429" i="8"/>
  <c r="AK429" i="8"/>
  <c r="AJ429" i="8"/>
  <c r="AI429" i="8"/>
  <c r="AH429" i="8"/>
  <c r="AG429" i="8"/>
  <c r="AF429" i="8"/>
  <c r="AD429" i="8"/>
  <c r="AC429" i="8"/>
  <c r="AA429" i="8"/>
  <c r="Z429" i="8"/>
  <c r="Y429" i="8"/>
  <c r="W429" i="8"/>
  <c r="V429" i="8"/>
  <c r="U429" i="8"/>
  <c r="T429" i="8"/>
  <c r="S429" i="8"/>
  <c r="R429" i="8"/>
  <c r="Q429" i="8"/>
  <c r="P429" i="8"/>
  <c r="K429" i="8"/>
  <c r="J429" i="8"/>
  <c r="I429" i="8"/>
  <c r="H429" i="8"/>
  <c r="G429" i="8"/>
  <c r="AL428" i="8"/>
  <c r="AK428" i="8"/>
  <c r="AJ428" i="8"/>
  <c r="AI428" i="8"/>
  <c r="AH428" i="8"/>
  <c r="AG428" i="8"/>
  <c r="AF428" i="8"/>
  <c r="AD428" i="8"/>
  <c r="AC428" i="8"/>
  <c r="AB428" i="8"/>
  <c r="Z428" i="8"/>
  <c r="Y428" i="8"/>
  <c r="X428" i="8"/>
  <c r="W428" i="8"/>
  <c r="V428" i="8"/>
  <c r="T428" i="8"/>
  <c r="S428" i="8"/>
  <c r="R428" i="8"/>
  <c r="Q428" i="8"/>
  <c r="P428" i="8"/>
  <c r="K428" i="8"/>
  <c r="J428" i="8"/>
  <c r="I428" i="8"/>
  <c r="H428" i="8"/>
  <c r="G428" i="8"/>
  <c r="AL427" i="8"/>
  <c r="AK427" i="8"/>
  <c r="AJ427" i="8"/>
  <c r="AI427" i="8"/>
  <c r="AH427" i="8"/>
  <c r="AG427" i="8"/>
  <c r="AF427" i="8"/>
  <c r="AD427" i="8"/>
  <c r="AC427" i="8"/>
  <c r="AB427" i="8"/>
  <c r="Z427" i="8"/>
  <c r="Y427" i="8"/>
  <c r="X427" i="8"/>
  <c r="V427" i="8"/>
  <c r="U427" i="8"/>
  <c r="T427" i="8"/>
  <c r="S427" i="8"/>
  <c r="R427" i="8"/>
  <c r="Q427" i="8"/>
  <c r="P427" i="8"/>
  <c r="K427" i="8"/>
  <c r="J427" i="8"/>
  <c r="I427" i="8"/>
  <c r="H427" i="8"/>
  <c r="G427" i="8"/>
  <c r="AL426" i="8"/>
  <c r="AK426" i="8"/>
  <c r="AJ426" i="8"/>
  <c r="AI426" i="8"/>
  <c r="AH426" i="8"/>
  <c r="AG426" i="8"/>
  <c r="AF426" i="8"/>
  <c r="AD426" i="8"/>
  <c r="AC426" i="8"/>
  <c r="AB426" i="8"/>
  <c r="Z426" i="8"/>
  <c r="Y426" i="8"/>
  <c r="X426" i="8"/>
  <c r="W426" i="8"/>
  <c r="V426" i="8"/>
  <c r="T426" i="8"/>
  <c r="S426" i="8"/>
  <c r="R426" i="8"/>
  <c r="Q426" i="8"/>
  <c r="P426" i="8"/>
  <c r="K426" i="8"/>
  <c r="J426" i="8"/>
  <c r="I426" i="8"/>
  <c r="H426" i="8"/>
  <c r="G426" i="8"/>
  <c r="AL425" i="8"/>
  <c r="AK425" i="8"/>
  <c r="AJ425" i="8"/>
  <c r="AI425" i="8"/>
  <c r="AH425" i="8"/>
  <c r="AG425" i="8"/>
  <c r="AF425" i="8"/>
  <c r="AD425" i="8"/>
  <c r="AB425" i="8"/>
  <c r="Z425" i="8"/>
  <c r="Y425" i="8"/>
  <c r="X425" i="8"/>
  <c r="W425" i="8"/>
  <c r="V425" i="8"/>
  <c r="U425" i="8"/>
  <c r="T425" i="8"/>
  <c r="S425" i="8"/>
  <c r="R425" i="8"/>
  <c r="Q425" i="8"/>
  <c r="P425" i="8"/>
  <c r="K425" i="8"/>
  <c r="J425" i="8"/>
  <c r="I425" i="8"/>
  <c r="H425" i="8"/>
  <c r="G425" i="8"/>
  <c r="AL424" i="8"/>
  <c r="AK424" i="8"/>
  <c r="AJ424" i="8"/>
  <c r="AI424" i="8"/>
  <c r="AH424" i="8"/>
  <c r="AG424" i="8"/>
  <c r="AF424" i="8"/>
  <c r="AE424" i="8"/>
  <c r="AD424" i="8"/>
  <c r="AB424" i="8"/>
  <c r="Z424" i="8"/>
  <c r="Y424" i="8"/>
  <c r="W424" i="8"/>
  <c r="V424" i="8"/>
  <c r="U424" i="8"/>
  <c r="T424" i="8"/>
  <c r="S424" i="8"/>
  <c r="R424" i="8"/>
  <c r="Q424" i="8"/>
  <c r="P424" i="8"/>
  <c r="K424" i="8"/>
  <c r="J424" i="8"/>
  <c r="I424" i="8"/>
  <c r="H424" i="8"/>
  <c r="G424" i="8"/>
  <c r="AL423" i="8"/>
  <c r="AK423" i="8"/>
  <c r="AJ423" i="8"/>
  <c r="AI423" i="8"/>
  <c r="AH423" i="8"/>
  <c r="AG423" i="8"/>
  <c r="AF423" i="8"/>
  <c r="AE423" i="8"/>
  <c r="AD423" i="8"/>
  <c r="AC423" i="8"/>
  <c r="AB423" i="8"/>
  <c r="AA423" i="8"/>
  <c r="Y423" i="8"/>
  <c r="V423" i="8"/>
  <c r="U423" i="8"/>
  <c r="T423" i="8"/>
  <c r="S423" i="8"/>
  <c r="R423" i="8"/>
  <c r="Q423" i="8"/>
  <c r="P423" i="8"/>
  <c r="K423" i="8"/>
  <c r="J423" i="8"/>
  <c r="I423" i="8"/>
  <c r="H423" i="8"/>
  <c r="G423" i="8"/>
  <c r="AL422" i="8"/>
  <c r="AK422" i="8"/>
  <c r="AJ422" i="8"/>
  <c r="AI422" i="8"/>
  <c r="AH422" i="8"/>
  <c r="AG422" i="8"/>
  <c r="AF422" i="8"/>
  <c r="AE422" i="8"/>
  <c r="AD422" i="8"/>
  <c r="AC422" i="8"/>
  <c r="AB422" i="8"/>
  <c r="Z422" i="8"/>
  <c r="X422" i="8"/>
  <c r="W422" i="8"/>
  <c r="V422" i="8"/>
  <c r="U422" i="8"/>
  <c r="S422" i="8"/>
  <c r="R422" i="8"/>
  <c r="Q422" i="8"/>
  <c r="P422" i="8"/>
  <c r="K422" i="8"/>
  <c r="J422" i="8"/>
  <c r="I422" i="8"/>
  <c r="H422" i="8"/>
  <c r="G422" i="8"/>
  <c r="AL421" i="8"/>
  <c r="AK421" i="8"/>
  <c r="AJ421" i="8"/>
  <c r="AI421" i="8"/>
  <c r="AH421" i="8"/>
  <c r="AG421" i="8"/>
  <c r="AF421" i="8"/>
  <c r="AE421" i="8"/>
  <c r="AD421" i="8"/>
  <c r="AC421" i="8"/>
  <c r="AB421" i="8"/>
  <c r="AA421" i="8"/>
  <c r="Y421" i="8"/>
  <c r="V421" i="8"/>
  <c r="U421" i="8"/>
  <c r="T421" i="8"/>
  <c r="S421" i="8"/>
  <c r="R421" i="8"/>
  <c r="Q421" i="8"/>
  <c r="P421" i="8"/>
  <c r="K421" i="8"/>
  <c r="J421" i="8"/>
  <c r="I421" i="8"/>
  <c r="H421" i="8"/>
  <c r="G421" i="8"/>
  <c r="AL420" i="8"/>
  <c r="AK420" i="8"/>
  <c r="AJ420" i="8"/>
  <c r="AI420" i="8"/>
  <c r="AH420" i="8"/>
  <c r="AG420" i="8"/>
  <c r="AF420" i="8"/>
  <c r="AD420" i="8"/>
  <c r="AC420" i="8"/>
  <c r="AB420" i="8"/>
  <c r="Z420" i="8"/>
  <c r="Y420" i="8"/>
  <c r="X420" i="8"/>
  <c r="W420" i="8"/>
  <c r="V420" i="8"/>
  <c r="T420" i="8"/>
  <c r="S420" i="8"/>
  <c r="R420" i="8"/>
  <c r="Q420" i="8"/>
  <c r="P420" i="8"/>
  <c r="K420" i="8"/>
  <c r="J420" i="8"/>
  <c r="I420" i="8"/>
  <c r="H420" i="8"/>
  <c r="G420" i="8"/>
  <c r="AL419" i="8"/>
  <c r="AK419" i="8"/>
  <c r="AJ419" i="8"/>
  <c r="AI419" i="8"/>
  <c r="AH419" i="8"/>
  <c r="AG419" i="8"/>
  <c r="AF419" i="8"/>
  <c r="AD419" i="8"/>
  <c r="AC419" i="8"/>
  <c r="Z419" i="8"/>
  <c r="Y419" i="8"/>
  <c r="X419" i="8"/>
  <c r="W419" i="8"/>
  <c r="V419" i="8"/>
  <c r="U419" i="8"/>
  <c r="T419" i="8"/>
  <c r="S419" i="8"/>
  <c r="R419" i="8"/>
  <c r="Q419" i="8"/>
  <c r="P419" i="8"/>
  <c r="K419" i="8"/>
  <c r="J419" i="8"/>
  <c r="I419" i="8"/>
  <c r="H419" i="8"/>
  <c r="G419" i="8"/>
  <c r="AL418" i="8"/>
  <c r="AK418" i="8"/>
  <c r="AJ418" i="8"/>
  <c r="AI418" i="8"/>
  <c r="AH418" i="8"/>
  <c r="AG418" i="8"/>
  <c r="AF418" i="8"/>
  <c r="AE418" i="8"/>
  <c r="AD418" i="8"/>
  <c r="AC418" i="8"/>
  <c r="AB418" i="8"/>
  <c r="Z418" i="8"/>
  <c r="X418" i="8"/>
  <c r="W418" i="8"/>
  <c r="V418" i="8"/>
  <c r="U418" i="8"/>
  <c r="S418" i="8"/>
  <c r="R418" i="8"/>
  <c r="Q418" i="8"/>
  <c r="P418" i="8"/>
  <c r="K418" i="8"/>
  <c r="J418" i="8"/>
  <c r="I418" i="8"/>
  <c r="H418" i="8"/>
  <c r="G418" i="8"/>
  <c r="AL417" i="8"/>
  <c r="AK417" i="8"/>
  <c r="AJ417" i="8"/>
  <c r="AI417" i="8"/>
  <c r="AH417" i="8"/>
  <c r="AG417" i="8"/>
  <c r="AD417" i="8"/>
  <c r="AC417" i="8"/>
  <c r="AB417" i="8"/>
  <c r="Z417" i="8"/>
  <c r="Y417" i="8"/>
  <c r="X417" i="8"/>
  <c r="W417" i="8"/>
  <c r="V417" i="8"/>
  <c r="U417" i="8"/>
  <c r="R417" i="8"/>
  <c r="Q417" i="8"/>
  <c r="P417" i="8"/>
  <c r="K417" i="8"/>
  <c r="J417" i="8"/>
  <c r="I417" i="8"/>
  <c r="H417" i="8"/>
  <c r="G417" i="8"/>
  <c r="AL416" i="8"/>
  <c r="AK416" i="8"/>
  <c r="AJ416" i="8"/>
  <c r="AH416" i="8"/>
  <c r="AG416" i="8"/>
  <c r="AF416" i="8"/>
  <c r="AE416" i="8"/>
  <c r="AD416" i="8"/>
  <c r="AC416" i="8"/>
  <c r="AB416" i="8"/>
  <c r="AA416" i="8"/>
  <c r="Z416" i="8"/>
  <c r="W416" i="8"/>
  <c r="V416" i="8"/>
  <c r="U416" i="8"/>
  <c r="T416" i="8"/>
  <c r="S416" i="8"/>
  <c r="R416" i="8"/>
  <c r="Q416" i="8"/>
  <c r="P416" i="8"/>
  <c r="K416" i="8"/>
  <c r="J416" i="8"/>
  <c r="I416" i="8"/>
  <c r="H416" i="8"/>
  <c r="G416" i="8"/>
  <c r="AL415" i="8"/>
  <c r="AK415" i="8"/>
  <c r="AJ415" i="8"/>
  <c r="AI415" i="8"/>
  <c r="AH415" i="8"/>
  <c r="AG415" i="8"/>
  <c r="AF415" i="8"/>
  <c r="AD415" i="8"/>
  <c r="AB415" i="8"/>
  <c r="Z415" i="8"/>
  <c r="Y415" i="8"/>
  <c r="X415" i="8"/>
  <c r="W415" i="8"/>
  <c r="V415" i="8"/>
  <c r="U415" i="8"/>
  <c r="T415" i="8"/>
  <c r="S415" i="8"/>
  <c r="R415" i="8"/>
  <c r="Q415" i="8"/>
  <c r="P415" i="8"/>
  <c r="K415" i="8"/>
  <c r="J415" i="8"/>
  <c r="I415" i="8"/>
  <c r="H415" i="8"/>
  <c r="G415" i="8"/>
  <c r="AL414" i="8"/>
  <c r="AK414" i="8"/>
  <c r="AJ414" i="8"/>
  <c r="AI414" i="8"/>
  <c r="AH414" i="8"/>
  <c r="AG414" i="8"/>
  <c r="AF414" i="8"/>
  <c r="AD414" i="8"/>
  <c r="AC414" i="8"/>
  <c r="AB414" i="8"/>
  <c r="Z414" i="8"/>
  <c r="Y414" i="8"/>
  <c r="X414" i="8"/>
  <c r="W414" i="8"/>
  <c r="V414" i="8"/>
  <c r="T414" i="8"/>
  <c r="S414" i="8"/>
  <c r="R414" i="8"/>
  <c r="Q414" i="8"/>
  <c r="P414" i="8"/>
  <c r="K414" i="8"/>
  <c r="J414" i="8"/>
  <c r="I414" i="8"/>
  <c r="H414" i="8"/>
  <c r="G414" i="8"/>
  <c r="AL413" i="8"/>
  <c r="AK413" i="8"/>
  <c r="AJ413" i="8"/>
  <c r="AI413" i="8"/>
  <c r="AH413" i="8"/>
  <c r="AG413" i="8"/>
  <c r="AF413" i="8"/>
  <c r="AD413" i="8"/>
  <c r="AB413" i="8"/>
  <c r="AA413" i="8"/>
  <c r="Z413" i="8"/>
  <c r="Y413" i="8"/>
  <c r="W413" i="8"/>
  <c r="V413" i="8"/>
  <c r="U413" i="8"/>
  <c r="T413" i="8"/>
  <c r="S413" i="8"/>
  <c r="R413" i="8"/>
  <c r="Q413" i="8"/>
  <c r="P413" i="8"/>
  <c r="K413" i="8"/>
  <c r="J413" i="8"/>
  <c r="I413" i="8"/>
  <c r="H413" i="8"/>
  <c r="G413" i="8"/>
  <c r="AL412" i="8"/>
  <c r="AK412" i="8"/>
  <c r="AJ412" i="8"/>
  <c r="AI412" i="8"/>
  <c r="AH412" i="8"/>
  <c r="AG412" i="8"/>
  <c r="AF412" i="8"/>
  <c r="AE412" i="8"/>
  <c r="AD412" i="8"/>
  <c r="AB412" i="8"/>
  <c r="Z412" i="8"/>
  <c r="Y412" i="8"/>
  <c r="X412" i="8"/>
  <c r="W412" i="8"/>
  <c r="V412" i="8"/>
  <c r="T412" i="8"/>
  <c r="S412" i="8"/>
  <c r="R412" i="8"/>
  <c r="Q412" i="8"/>
  <c r="P412" i="8"/>
  <c r="K412" i="8"/>
  <c r="J412" i="8"/>
  <c r="I412" i="8"/>
  <c r="H412" i="8"/>
  <c r="G412" i="8"/>
  <c r="AL411" i="8"/>
  <c r="AK411" i="8"/>
  <c r="AJ411" i="8"/>
  <c r="AI411" i="8"/>
  <c r="AH411" i="8"/>
  <c r="AG411" i="8"/>
  <c r="AF411" i="8"/>
  <c r="AD411" i="8"/>
  <c r="AC411" i="8"/>
  <c r="AB411" i="8"/>
  <c r="Z411" i="8"/>
  <c r="Y411" i="8"/>
  <c r="X411" i="8"/>
  <c r="W411" i="8"/>
  <c r="V411" i="8"/>
  <c r="T411" i="8"/>
  <c r="S411" i="8"/>
  <c r="R411" i="8"/>
  <c r="Q411" i="8"/>
  <c r="P411" i="8"/>
  <c r="K411" i="8"/>
  <c r="J411" i="8"/>
  <c r="I411" i="8"/>
  <c r="H411" i="8"/>
  <c r="G411" i="8"/>
  <c r="AL410" i="8"/>
  <c r="AK410" i="8"/>
  <c r="AJ410" i="8"/>
  <c r="AH410" i="8"/>
  <c r="AG410" i="8"/>
  <c r="AF410" i="8"/>
  <c r="AE410" i="8"/>
  <c r="AD410" i="8"/>
  <c r="AC410" i="8"/>
  <c r="AA410" i="8"/>
  <c r="Z410" i="8"/>
  <c r="Y410" i="8"/>
  <c r="X410" i="8"/>
  <c r="W410" i="8"/>
  <c r="U410" i="8"/>
  <c r="T410" i="8"/>
  <c r="S410" i="8"/>
  <c r="R410" i="8"/>
  <c r="Q410" i="8"/>
  <c r="P410" i="8"/>
  <c r="K410" i="8"/>
  <c r="J410" i="8"/>
  <c r="I410" i="8"/>
  <c r="H410" i="8"/>
  <c r="G410" i="8"/>
  <c r="AL409" i="8"/>
  <c r="AK409" i="8"/>
  <c r="AJ409" i="8"/>
  <c r="AH409" i="8"/>
  <c r="AG409" i="8"/>
  <c r="AF409" i="8"/>
  <c r="AE409" i="8"/>
  <c r="AD409" i="8"/>
  <c r="AC409" i="8"/>
  <c r="AB409" i="8"/>
  <c r="AA409" i="8"/>
  <c r="Z409" i="8"/>
  <c r="W409" i="8"/>
  <c r="V409" i="8"/>
  <c r="U409" i="8"/>
  <c r="T409" i="8"/>
  <c r="S409" i="8"/>
  <c r="R409" i="8"/>
  <c r="Q409" i="8"/>
  <c r="P409" i="8"/>
  <c r="K409" i="8"/>
  <c r="J409" i="8"/>
  <c r="I409" i="8"/>
  <c r="H409" i="8"/>
  <c r="G409" i="8"/>
  <c r="AL408" i="8"/>
  <c r="AK408" i="8"/>
  <c r="AJ408" i="8"/>
  <c r="AI408" i="8"/>
  <c r="AH408" i="8"/>
  <c r="AG408" i="8"/>
  <c r="AF408" i="8"/>
  <c r="AD408" i="8"/>
  <c r="AC408" i="8"/>
  <c r="AB408" i="8"/>
  <c r="Z408" i="8"/>
  <c r="Y408" i="8"/>
  <c r="X408" i="8"/>
  <c r="W408" i="8"/>
  <c r="U408" i="8"/>
  <c r="T408" i="8"/>
  <c r="S408" i="8"/>
  <c r="R408" i="8"/>
  <c r="Q408" i="8"/>
  <c r="P408" i="8"/>
  <c r="K408" i="8"/>
  <c r="J408" i="8"/>
  <c r="I408" i="8"/>
  <c r="H408" i="8"/>
  <c r="G408" i="8"/>
  <c r="AL407" i="8"/>
  <c r="AK407" i="8"/>
  <c r="AJ407" i="8"/>
  <c r="AH407" i="8"/>
  <c r="AG407" i="8"/>
  <c r="AF407" i="8"/>
  <c r="AD407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K407" i="8"/>
  <c r="J407" i="8"/>
  <c r="I407" i="8"/>
  <c r="H407" i="8"/>
  <c r="G407" i="8"/>
  <c r="AL406" i="8"/>
  <c r="AK406" i="8"/>
  <c r="AJ406" i="8"/>
  <c r="AI406" i="8"/>
  <c r="AH406" i="8"/>
  <c r="AG406" i="8"/>
  <c r="AF406" i="8"/>
  <c r="AE406" i="8"/>
  <c r="AD406" i="8"/>
  <c r="AB406" i="8"/>
  <c r="Z406" i="8"/>
  <c r="Y406" i="8"/>
  <c r="X406" i="8"/>
  <c r="W406" i="8"/>
  <c r="V406" i="8"/>
  <c r="U406" i="8"/>
  <c r="S406" i="8"/>
  <c r="R406" i="8"/>
  <c r="Q406" i="8"/>
  <c r="P406" i="8"/>
  <c r="K406" i="8"/>
  <c r="J406" i="8"/>
  <c r="I406" i="8"/>
  <c r="H406" i="8"/>
  <c r="G406" i="8"/>
  <c r="AL405" i="8"/>
  <c r="AK405" i="8"/>
  <c r="AJ405" i="8"/>
  <c r="AI405" i="8"/>
  <c r="AH405" i="8"/>
  <c r="AG405" i="8"/>
  <c r="AF405" i="8"/>
  <c r="AE405" i="8"/>
  <c r="AD405" i="8"/>
  <c r="AC405" i="8"/>
  <c r="AB405" i="8"/>
  <c r="Y405" i="8"/>
  <c r="X405" i="8"/>
  <c r="W405" i="8"/>
  <c r="V405" i="8"/>
  <c r="U405" i="8"/>
  <c r="S405" i="8"/>
  <c r="R405" i="8"/>
  <c r="Q405" i="8"/>
  <c r="P405" i="8"/>
  <c r="K405" i="8"/>
  <c r="J405" i="8"/>
  <c r="I405" i="8"/>
  <c r="H405" i="8"/>
  <c r="G405" i="8"/>
  <c r="AL404" i="8"/>
  <c r="AK404" i="8"/>
  <c r="AI404" i="8"/>
  <c r="AH404" i="8"/>
  <c r="AG404" i="8"/>
  <c r="AF404" i="8"/>
  <c r="AE404" i="8"/>
  <c r="AD404" i="8"/>
  <c r="AC404" i="8"/>
  <c r="AB404" i="8"/>
  <c r="AA404" i="8"/>
  <c r="Z404" i="8"/>
  <c r="Y404" i="8"/>
  <c r="X404" i="8"/>
  <c r="W404" i="8"/>
  <c r="U404" i="8"/>
  <c r="T404" i="8"/>
  <c r="S404" i="8"/>
  <c r="Q404" i="8"/>
  <c r="P404" i="8"/>
  <c r="K404" i="8"/>
  <c r="J404" i="8"/>
  <c r="I404" i="8"/>
  <c r="H404" i="8"/>
  <c r="G404" i="8"/>
  <c r="AL403" i="8"/>
  <c r="AK403" i="8"/>
  <c r="AJ403" i="8"/>
  <c r="AI403" i="8"/>
  <c r="AH403" i="8"/>
  <c r="AG403" i="8"/>
  <c r="AF403" i="8"/>
  <c r="AE403" i="8"/>
  <c r="AD403" i="8"/>
  <c r="AC403" i="8"/>
  <c r="Z403" i="8"/>
  <c r="Y403" i="8"/>
  <c r="X403" i="8"/>
  <c r="W403" i="8"/>
  <c r="V403" i="8"/>
  <c r="T403" i="8"/>
  <c r="S403" i="8"/>
  <c r="R403" i="8"/>
  <c r="Q403" i="8"/>
  <c r="P403" i="8"/>
  <c r="K403" i="8"/>
  <c r="J403" i="8"/>
  <c r="I403" i="8"/>
  <c r="H403" i="8"/>
  <c r="G403" i="8"/>
  <c r="AL402" i="8"/>
  <c r="AK402" i="8"/>
  <c r="AJ402" i="8"/>
  <c r="AI402" i="8"/>
  <c r="AH402" i="8"/>
  <c r="AG402" i="8"/>
  <c r="AF402" i="8"/>
  <c r="AD402" i="8"/>
  <c r="AC402" i="8"/>
  <c r="AB402" i="8"/>
  <c r="Z402" i="8"/>
  <c r="Y402" i="8"/>
  <c r="X402" i="8"/>
  <c r="V402" i="8"/>
  <c r="U402" i="8"/>
  <c r="T402" i="8"/>
  <c r="S402" i="8"/>
  <c r="R402" i="8"/>
  <c r="Q402" i="8"/>
  <c r="P402" i="8"/>
  <c r="K402" i="8"/>
  <c r="J402" i="8"/>
  <c r="I402" i="8"/>
  <c r="H402" i="8"/>
  <c r="G402" i="8"/>
  <c r="AL401" i="8"/>
  <c r="AK401" i="8"/>
  <c r="AJ401" i="8"/>
  <c r="AI401" i="8"/>
  <c r="AH401" i="8"/>
  <c r="AG401" i="8"/>
  <c r="AF401" i="8"/>
  <c r="AE401" i="8"/>
  <c r="AD401" i="8"/>
  <c r="AC401" i="8"/>
  <c r="AB401" i="8"/>
  <c r="Z401" i="8"/>
  <c r="Y401" i="8"/>
  <c r="X401" i="8"/>
  <c r="V401" i="8"/>
  <c r="T401" i="8"/>
  <c r="S401" i="8"/>
  <c r="R401" i="8"/>
  <c r="Q401" i="8"/>
  <c r="P401" i="8"/>
  <c r="K401" i="8"/>
  <c r="J401" i="8"/>
  <c r="I401" i="8"/>
  <c r="H401" i="8"/>
  <c r="G401" i="8"/>
  <c r="AL400" i="8"/>
  <c r="AK400" i="8"/>
  <c r="AJ400" i="8"/>
  <c r="AI400" i="8"/>
  <c r="AH400" i="8"/>
  <c r="AG400" i="8"/>
  <c r="AF400" i="8"/>
  <c r="AE400" i="8"/>
  <c r="AD400" i="8"/>
  <c r="AC400" i="8"/>
  <c r="AA400" i="8"/>
  <c r="Z400" i="8"/>
  <c r="Y400" i="8"/>
  <c r="V400" i="8"/>
  <c r="U400" i="8"/>
  <c r="T400" i="8"/>
  <c r="S400" i="8"/>
  <c r="R400" i="8"/>
  <c r="Q400" i="8"/>
  <c r="P400" i="8"/>
  <c r="K400" i="8"/>
  <c r="J400" i="8"/>
  <c r="I400" i="8"/>
  <c r="H400" i="8"/>
  <c r="G400" i="8"/>
  <c r="AL399" i="8"/>
  <c r="AK399" i="8"/>
  <c r="AJ399" i="8"/>
  <c r="AI399" i="8"/>
  <c r="AH399" i="8"/>
  <c r="AG399" i="8"/>
  <c r="AF399" i="8"/>
  <c r="AD399" i="8"/>
  <c r="AC399" i="8"/>
  <c r="AB399" i="8"/>
  <c r="Z399" i="8"/>
  <c r="Y399" i="8"/>
  <c r="X399" i="8"/>
  <c r="W399" i="8"/>
  <c r="V399" i="8"/>
  <c r="T399" i="8"/>
  <c r="S399" i="8"/>
  <c r="R399" i="8"/>
  <c r="Q399" i="8"/>
  <c r="P399" i="8"/>
  <c r="K399" i="8"/>
  <c r="J399" i="8"/>
  <c r="I399" i="8"/>
  <c r="H399" i="8"/>
  <c r="G399" i="8"/>
  <c r="AL398" i="8"/>
  <c r="AK398" i="8"/>
  <c r="AJ398" i="8"/>
  <c r="AI398" i="8"/>
  <c r="AH398" i="8"/>
  <c r="AG398" i="8"/>
  <c r="AF398" i="8"/>
  <c r="AE398" i="8"/>
  <c r="AD398" i="8"/>
  <c r="AC398" i="8"/>
  <c r="AB398" i="8"/>
  <c r="AA398" i="8"/>
  <c r="Y398" i="8"/>
  <c r="V398" i="8"/>
  <c r="U398" i="8"/>
  <c r="T398" i="8"/>
  <c r="S398" i="8"/>
  <c r="R398" i="8"/>
  <c r="Q398" i="8"/>
  <c r="P398" i="8"/>
  <c r="K398" i="8"/>
  <c r="J398" i="8"/>
  <c r="I398" i="8"/>
  <c r="H398" i="8"/>
  <c r="G398" i="8"/>
  <c r="AL397" i="8"/>
  <c r="AK397" i="8"/>
  <c r="AJ397" i="8"/>
  <c r="AI397" i="8"/>
  <c r="AH397" i="8"/>
  <c r="AG397" i="8"/>
  <c r="AF397" i="8"/>
  <c r="AD397" i="8"/>
  <c r="AC397" i="8"/>
  <c r="AB397" i="8"/>
  <c r="Z397" i="8"/>
  <c r="Y397" i="8"/>
  <c r="X397" i="8"/>
  <c r="W397" i="8"/>
  <c r="V397" i="8"/>
  <c r="T397" i="8"/>
  <c r="S397" i="8"/>
  <c r="R397" i="8"/>
  <c r="Q397" i="8"/>
  <c r="P397" i="8"/>
  <c r="K397" i="8"/>
  <c r="J397" i="8"/>
  <c r="I397" i="8"/>
  <c r="H397" i="8"/>
  <c r="G397" i="8"/>
  <c r="AL396" i="8"/>
  <c r="AK396" i="8"/>
  <c r="AJ396" i="8"/>
  <c r="AI396" i="8"/>
  <c r="AH396" i="8"/>
  <c r="AG396" i="8"/>
  <c r="AF396" i="8"/>
  <c r="AD396" i="8"/>
  <c r="AC396" i="8"/>
  <c r="AB396" i="8"/>
  <c r="AA396" i="8"/>
  <c r="Z396" i="8"/>
  <c r="X396" i="8"/>
  <c r="W396" i="8"/>
  <c r="V396" i="8"/>
  <c r="U396" i="8"/>
  <c r="S396" i="8"/>
  <c r="R396" i="8"/>
  <c r="Q396" i="8"/>
  <c r="P396" i="8"/>
  <c r="K396" i="8"/>
  <c r="J396" i="8"/>
  <c r="I396" i="8"/>
  <c r="H396" i="8"/>
  <c r="G396" i="8"/>
  <c r="AL395" i="8"/>
  <c r="AK395" i="8"/>
  <c r="AJ395" i="8"/>
  <c r="AI395" i="8"/>
  <c r="AH395" i="8"/>
  <c r="AG395" i="8"/>
  <c r="AF395" i="8"/>
  <c r="AD395" i="8"/>
  <c r="AB395" i="8"/>
  <c r="AA395" i="8"/>
  <c r="Z395" i="8"/>
  <c r="Y395" i="8"/>
  <c r="W395" i="8"/>
  <c r="V395" i="8"/>
  <c r="U395" i="8"/>
  <c r="T395" i="8"/>
  <c r="S395" i="8"/>
  <c r="R395" i="8"/>
  <c r="Q395" i="8"/>
  <c r="P395" i="8"/>
  <c r="K395" i="8"/>
  <c r="J395" i="8"/>
  <c r="I395" i="8"/>
  <c r="H395" i="8"/>
  <c r="G395" i="8"/>
  <c r="AL394" i="8"/>
  <c r="AK394" i="8"/>
  <c r="AJ394" i="8"/>
  <c r="AI394" i="8"/>
  <c r="AH394" i="8"/>
  <c r="AG394" i="8"/>
  <c r="AF394" i="8"/>
  <c r="AD394" i="8"/>
  <c r="AC394" i="8"/>
  <c r="AA394" i="8"/>
  <c r="Z394" i="8"/>
  <c r="Y394" i="8"/>
  <c r="X394" i="8"/>
  <c r="W394" i="8"/>
  <c r="U394" i="8"/>
  <c r="T394" i="8"/>
  <c r="S394" i="8"/>
  <c r="R394" i="8"/>
  <c r="Q394" i="8"/>
  <c r="P394" i="8"/>
  <c r="K394" i="8"/>
  <c r="J394" i="8"/>
  <c r="I394" i="8"/>
  <c r="H394" i="8"/>
  <c r="G394" i="8"/>
  <c r="AL393" i="8"/>
  <c r="AK393" i="8"/>
  <c r="AJ393" i="8"/>
  <c r="AI393" i="8"/>
  <c r="AH393" i="8"/>
  <c r="AG393" i="8"/>
  <c r="AF393" i="8"/>
  <c r="AD393" i="8"/>
  <c r="AC393" i="8"/>
  <c r="AA393" i="8"/>
  <c r="Z393" i="8"/>
  <c r="Y393" i="8"/>
  <c r="X393" i="8"/>
  <c r="W393" i="8"/>
  <c r="U393" i="8"/>
  <c r="T393" i="8"/>
  <c r="S393" i="8"/>
  <c r="R393" i="8"/>
  <c r="Q393" i="8"/>
  <c r="P393" i="8"/>
  <c r="K393" i="8"/>
  <c r="J393" i="8"/>
  <c r="I393" i="8"/>
  <c r="H393" i="8"/>
  <c r="G393" i="8"/>
  <c r="AL392" i="8"/>
  <c r="AK392" i="8"/>
  <c r="AJ392" i="8"/>
  <c r="AI392" i="8"/>
  <c r="AH392" i="8"/>
  <c r="AG392" i="8"/>
  <c r="AF392" i="8"/>
  <c r="AE392" i="8"/>
  <c r="AD392" i="8"/>
  <c r="AC392" i="8"/>
  <c r="AB392" i="8"/>
  <c r="Z392" i="8"/>
  <c r="X392" i="8"/>
  <c r="W392" i="8"/>
  <c r="V392" i="8"/>
  <c r="U392" i="8"/>
  <c r="S392" i="8"/>
  <c r="R392" i="8"/>
  <c r="Q392" i="8"/>
  <c r="P392" i="8"/>
  <c r="K392" i="8"/>
  <c r="J392" i="8"/>
  <c r="I392" i="8"/>
  <c r="H392" i="8"/>
  <c r="G392" i="8"/>
  <c r="AL391" i="8"/>
  <c r="AK391" i="8"/>
  <c r="AJ391" i="8"/>
  <c r="AI391" i="8"/>
  <c r="AH391" i="8"/>
  <c r="AG391" i="8"/>
  <c r="AF391" i="8"/>
  <c r="AE391" i="8"/>
  <c r="AC391" i="8"/>
  <c r="AB391" i="8"/>
  <c r="Z391" i="8"/>
  <c r="Y391" i="8"/>
  <c r="X391" i="8"/>
  <c r="W391" i="8"/>
  <c r="V391" i="8"/>
  <c r="U391" i="8"/>
  <c r="S391" i="8"/>
  <c r="R391" i="8"/>
  <c r="Q391" i="8"/>
  <c r="P391" i="8"/>
  <c r="K391" i="8"/>
  <c r="J391" i="8"/>
  <c r="I391" i="8"/>
  <c r="H391" i="8"/>
  <c r="G391" i="8"/>
  <c r="AL390" i="8"/>
  <c r="AK390" i="8"/>
  <c r="AJ390" i="8"/>
  <c r="AI390" i="8"/>
  <c r="AH390" i="8"/>
  <c r="AG390" i="8"/>
  <c r="AF390" i="8"/>
  <c r="AE390" i="8"/>
  <c r="AD390" i="8"/>
  <c r="AC390" i="8"/>
  <c r="AB390" i="8"/>
  <c r="AA390" i="8"/>
  <c r="Y390" i="8"/>
  <c r="V390" i="8"/>
  <c r="U390" i="8"/>
  <c r="T390" i="8"/>
  <c r="S390" i="8"/>
  <c r="R390" i="8"/>
  <c r="Q390" i="8"/>
  <c r="P390" i="8"/>
  <c r="K390" i="8"/>
  <c r="J390" i="8"/>
  <c r="I390" i="8"/>
  <c r="H390" i="8"/>
  <c r="G390" i="8"/>
  <c r="AL389" i="8"/>
  <c r="AK389" i="8"/>
  <c r="AJ389" i="8"/>
  <c r="AI389" i="8"/>
  <c r="AH389" i="8"/>
  <c r="AG389" i="8"/>
  <c r="AF389" i="8"/>
  <c r="AE389" i="8"/>
  <c r="AD389" i="8"/>
  <c r="AC389" i="8"/>
  <c r="AB389" i="8"/>
  <c r="Z389" i="8"/>
  <c r="Y389" i="8"/>
  <c r="X389" i="8"/>
  <c r="V389" i="8"/>
  <c r="U389" i="8"/>
  <c r="S389" i="8"/>
  <c r="R389" i="8"/>
  <c r="Q389" i="8"/>
  <c r="P389" i="8"/>
  <c r="K389" i="8"/>
  <c r="J389" i="8"/>
  <c r="I389" i="8"/>
  <c r="H389" i="8"/>
  <c r="G389" i="8"/>
  <c r="AL388" i="8"/>
  <c r="AK388" i="8"/>
  <c r="AJ388" i="8"/>
  <c r="AH388" i="8"/>
  <c r="AG388" i="8"/>
  <c r="AF388" i="8"/>
  <c r="AD388" i="8"/>
  <c r="AC388" i="8"/>
  <c r="AA388" i="8"/>
  <c r="Z388" i="8"/>
  <c r="Y388" i="8"/>
  <c r="X388" i="8"/>
  <c r="W388" i="8"/>
  <c r="V388" i="8"/>
  <c r="U388" i="8"/>
  <c r="T388" i="8"/>
  <c r="S388" i="8"/>
  <c r="R388" i="8"/>
  <c r="Q388" i="8"/>
  <c r="P388" i="8"/>
  <c r="K388" i="8"/>
  <c r="J388" i="8"/>
  <c r="I388" i="8"/>
  <c r="H388" i="8"/>
  <c r="G388" i="8"/>
  <c r="AL387" i="8"/>
  <c r="AK387" i="8"/>
  <c r="AJ387" i="8"/>
  <c r="AI387" i="8"/>
  <c r="AH387" i="8"/>
  <c r="AG387" i="8"/>
  <c r="AF387" i="8"/>
  <c r="AD387" i="8"/>
  <c r="AC387" i="8"/>
  <c r="AB387" i="8"/>
  <c r="Z387" i="8"/>
  <c r="X387" i="8"/>
  <c r="W387" i="8"/>
  <c r="V387" i="8"/>
  <c r="U387" i="8"/>
  <c r="T387" i="8"/>
  <c r="S387" i="8"/>
  <c r="R387" i="8"/>
  <c r="Q387" i="8"/>
  <c r="P387" i="8"/>
  <c r="K387" i="8"/>
  <c r="J387" i="8"/>
  <c r="I387" i="8"/>
  <c r="H387" i="8"/>
  <c r="G387" i="8"/>
  <c r="AL386" i="8"/>
  <c r="AK386" i="8"/>
  <c r="AJ386" i="8"/>
  <c r="AI386" i="8"/>
  <c r="AH386" i="8"/>
  <c r="AG386" i="8"/>
  <c r="AF386" i="8"/>
  <c r="AE386" i="8"/>
  <c r="AD386" i="8"/>
  <c r="AB386" i="8"/>
  <c r="AA386" i="8"/>
  <c r="Z386" i="8"/>
  <c r="Y386" i="8"/>
  <c r="W386" i="8"/>
  <c r="U386" i="8"/>
  <c r="T386" i="8"/>
  <c r="S386" i="8"/>
  <c r="R386" i="8"/>
  <c r="Q386" i="8"/>
  <c r="P386" i="8"/>
  <c r="K386" i="8"/>
  <c r="J386" i="8"/>
  <c r="I386" i="8"/>
  <c r="H386" i="8"/>
  <c r="G386" i="8"/>
  <c r="AL385" i="8"/>
  <c r="AK385" i="8"/>
  <c r="AJ385" i="8"/>
  <c r="AI385" i="8"/>
  <c r="AH385" i="8"/>
  <c r="AG385" i="8"/>
  <c r="AF385" i="8"/>
  <c r="AD385" i="8"/>
  <c r="AC385" i="8"/>
  <c r="AB385" i="8"/>
  <c r="Z385" i="8"/>
  <c r="Y385" i="8"/>
  <c r="X385" i="8"/>
  <c r="W385" i="8"/>
  <c r="V385" i="8"/>
  <c r="T385" i="8"/>
  <c r="S385" i="8"/>
  <c r="R385" i="8"/>
  <c r="Q385" i="8"/>
  <c r="P385" i="8"/>
  <c r="K385" i="8"/>
  <c r="J385" i="8"/>
  <c r="I385" i="8"/>
  <c r="H385" i="8"/>
  <c r="G385" i="8"/>
  <c r="AL384" i="8"/>
  <c r="AK384" i="8"/>
  <c r="AJ384" i="8"/>
  <c r="AH384" i="8"/>
  <c r="AG384" i="8"/>
  <c r="AF384" i="8"/>
  <c r="AE384" i="8"/>
  <c r="AD384" i="8"/>
  <c r="AC384" i="8"/>
  <c r="AA384" i="8"/>
  <c r="Z384" i="8"/>
  <c r="Y384" i="8"/>
  <c r="X384" i="8"/>
  <c r="W384" i="8"/>
  <c r="V384" i="8"/>
  <c r="U384" i="8"/>
  <c r="T384" i="8"/>
  <c r="S384" i="8"/>
  <c r="Q384" i="8"/>
  <c r="P384" i="8"/>
  <c r="K384" i="8"/>
  <c r="J384" i="8"/>
  <c r="I384" i="8"/>
  <c r="H384" i="8"/>
  <c r="G384" i="8"/>
  <c r="AL383" i="8"/>
  <c r="AK383" i="8"/>
  <c r="AJ383" i="8"/>
  <c r="AI383" i="8"/>
  <c r="AH383" i="8"/>
  <c r="AG383" i="8"/>
  <c r="AF383" i="8"/>
  <c r="AD383" i="8"/>
  <c r="AC383" i="8"/>
  <c r="AB383" i="8"/>
  <c r="Z383" i="8"/>
  <c r="Y383" i="8"/>
  <c r="X383" i="8"/>
  <c r="W383" i="8"/>
  <c r="V383" i="8"/>
  <c r="T383" i="8"/>
  <c r="S383" i="8"/>
  <c r="R383" i="8"/>
  <c r="Q383" i="8"/>
  <c r="P383" i="8"/>
  <c r="K383" i="8"/>
  <c r="J383" i="8"/>
  <c r="I383" i="8"/>
  <c r="H383" i="8"/>
  <c r="G383" i="8"/>
  <c r="AL382" i="8"/>
  <c r="AK382" i="8"/>
  <c r="AJ382" i="8"/>
  <c r="AI382" i="8"/>
  <c r="AH382" i="8"/>
  <c r="AG382" i="8"/>
  <c r="AF382" i="8"/>
  <c r="AE382" i="8"/>
  <c r="AC382" i="8"/>
  <c r="AB382" i="8"/>
  <c r="Z382" i="8"/>
  <c r="Y382" i="8"/>
  <c r="W382" i="8"/>
  <c r="V382" i="8"/>
  <c r="U382" i="8"/>
  <c r="T382" i="8"/>
  <c r="S382" i="8"/>
  <c r="R382" i="8"/>
  <c r="Q382" i="8"/>
  <c r="P382" i="8"/>
  <c r="K382" i="8"/>
  <c r="J382" i="8"/>
  <c r="I382" i="8"/>
  <c r="H382" i="8"/>
  <c r="G382" i="8"/>
  <c r="AL381" i="8"/>
  <c r="AK381" i="8"/>
  <c r="AJ381" i="8"/>
  <c r="AI381" i="8"/>
  <c r="AH381" i="8"/>
  <c r="AG381" i="8"/>
  <c r="AF381" i="8"/>
  <c r="AE381" i="8"/>
  <c r="AD381" i="8"/>
  <c r="AC381" i="8"/>
  <c r="AB381" i="8"/>
  <c r="AA381" i="8"/>
  <c r="Z381" i="8"/>
  <c r="X381" i="8"/>
  <c r="V381" i="8"/>
  <c r="U381" i="8"/>
  <c r="T381" i="8"/>
  <c r="S381" i="8"/>
  <c r="Q381" i="8"/>
  <c r="P381" i="8"/>
  <c r="K381" i="8"/>
  <c r="J381" i="8"/>
  <c r="I381" i="8"/>
  <c r="H381" i="8"/>
  <c r="G381" i="8"/>
  <c r="AL380" i="8"/>
  <c r="AK380" i="8"/>
  <c r="AJ380" i="8"/>
  <c r="AI380" i="8"/>
  <c r="AH380" i="8"/>
  <c r="AG380" i="8"/>
  <c r="AF380" i="8"/>
  <c r="AD380" i="8"/>
  <c r="AC380" i="8"/>
  <c r="AB380" i="8"/>
  <c r="Z380" i="8"/>
  <c r="Y380" i="8"/>
  <c r="X380" i="8"/>
  <c r="W380" i="8"/>
  <c r="V380" i="8"/>
  <c r="T380" i="8"/>
  <c r="S380" i="8"/>
  <c r="R380" i="8"/>
  <c r="Q380" i="8"/>
  <c r="P380" i="8"/>
  <c r="K380" i="8"/>
  <c r="J380" i="8"/>
  <c r="I380" i="8"/>
  <c r="H380" i="8"/>
  <c r="G380" i="8"/>
  <c r="AL379" i="8"/>
  <c r="AK379" i="8"/>
  <c r="AJ379" i="8"/>
  <c r="AI379" i="8"/>
  <c r="AH379" i="8"/>
  <c r="AG379" i="8"/>
  <c r="AF379" i="8"/>
  <c r="AE379" i="8"/>
  <c r="AD379" i="8"/>
  <c r="AC379" i="8"/>
  <c r="AB379" i="8"/>
  <c r="Z379" i="8"/>
  <c r="X379" i="8"/>
  <c r="W379" i="8"/>
  <c r="V379" i="8"/>
  <c r="U379" i="8"/>
  <c r="S379" i="8"/>
  <c r="R379" i="8"/>
  <c r="Q379" i="8"/>
  <c r="P379" i="8"/>
  <c r="K379" i="8"/>
  <c r="J379" i="8"/>
  <c r="I379" i="8"/>
  <c r="H379" i="8"/>
  <c r="G379" i="8"/>
  <c r="AL378" i="8"/>
  <c r="AK378" i="8"/>
  <c r="AJ378" i="8"/>
  <c r="AI378" i="8"/>
  <c r="AH378" i="8"/>
  <c r="AG378" i="8"/>
  <c r="AF378" i="8"/>
  <c r="AD378" i="8"/>
  <c r="AC378" i="8"/>
  <c r="AB378" i="8"/>
  <c r="Z378" i="8"/>
  <c r="Y378" i="8"/>
  <c r="X378" i="8"/>
  <c r="W378" i="8"/>
  <c r="V378" i="8"/>
  <c r="T378" i="8"/>
  <c r="S378" i="8"/>
  <c r="R378" i="8"/>
  <c r="Q378" i="8"/>
  <c r="P378" i="8"/>
  <c r="K378" i="8"/>
  <c r="J378" i="8"/>
  <c r="I378" i="8"/>
  <c r="H378" i="8"/>
  <c r="G378" i="8"/>
  <c r="AL377" i="8"/>
  <c r="AK377" i="8"/>
  <c r="AJ377" i="8"/>
  <c r="AI377" i="8"/>
  <c r="AH377" i="8"/>
  <c r="AG377" i="8"/>
  <c r="AF377" i="8"/>
  <c r="AE377" i="8"/>
  <c r="AD377" i="8"/>
  <c r="AC377" i="8"/>
  <c r="AB377" i="8"/>
  <c r="AA377" i="8"/>
  <c r="Y377" i="8"/>
  <c r="V377" i="8"/>
  <c r="U377" i="8"/>
  <c r="T377" i="8"/>
  <c r="S377" i="8"/>
  <c r="R377" i="8"/>
  <c r="Q377" i="8"/>
  <c r="P377" i="8"/>
  <c r="K377" i="8"/>
  <c r="J377" i="8"/>
  <c r="I377" i="8"/>
  <c r="H377" i="8"/>
  <c r="G377" i="8"/>
  <c r="AL376" i="8"/>
  <c r="AK376" i="8"/>
  <c r="AH376" i="8"/>
  <c r="AG376" i="8"/>
  <c r="AF376" i="8"/>
  <c r="AE376" i="8"/>
  <c r="AD376" i="8"/>
  <c r="AC376" i="8"/>
  <c r="AB376" i="8"/>
  <c r="AA376" i="8"/>
  <c r="Z376" i="8"/>
  <c r="X376" i="8"/>
  <c r="W376" i="8"/>
  <c r="V376" i="8"/>
  <c r="U376" i="8"/>
  <c r="T376" i="8"/>
  <c r="S376" i="8"/>
  <c r="R376" i="8"/>
  <c r="Q376" i="8"/>
  <c r="P376" i="8"/>
  <c r="K376" i="8"/>
  <c r="J376" i="8"/>
  <c r="I376" i="8"/>
  <c r="H376" i="8"/>
  <c r="G376" i="8"/>
  <c r="AL375" i="8"/>
  <c r="AK375" i="8"/>
  <c r="AJ375" i="8"/>
  <c r="AI375" i="8"/>
  <c r="AG375" i="8"/>
  <c r="AF375" i="8"/>
  <c r="AE375" i="8"/>
  <c r="AD375" i="8"/>
  <c r="AC375" i="8"/>
  <c r="AB375" i="8"/>
  <c r="AA375" i="8"/>
  <c r="Z375" i="8"/>
  <c r="X375" i="8"/>
  <c r="W375" i="8"/>
  <c r="V375" i="8"/>
  <c r="U375" i="8"/>
  <c r="T375" i="8"/>
  <c r="S375" i="8"/>
  <c r="R375" i="8"/>
  <c r="Q375" i="8"/>
  <c r="K375" i="8"/>
  <c r="J375" i="8"/>
  <c r="I375" i="8"/>
  <c r="H375" i="8"/>
  <c r="G375" i="8"/>
  <c r="AK374" i="8"/>
  <c r="AJ374" i="8"/>
  <c r="AH374" i="8"/>
  <c r="AF374" i="8"/>
  <c r="AE374" i="8"/>
  <c r="AD374" i="8"/>
  <c r="AC374" i="8"/>
  <c r="AB374" i="8"/>
  <c r="AA374" i="8"/>
  <c r="Z374" i="8"/>
  <c r="Y374" i="8"/>
  <c r="X374" i="8"/>
  <c r="W374" i="8"/>
  <c r="V374" i="8"/>
  <c r="U374" i="8"/>
  <c r="T374" i="8"/>
  <c r="S374" i="8"/>
  <c r="R374" i="8"/>
  <c r="Q374" i="8"/>
  <c r="P374" i="8"/>
  <c r="K374" i="8"/>
  <c r="J374" i="8"/>
  <c r="I374" i="8"/>
  <c r="H374" i="8"/>
  <c r="G374" i="8"/>
  <c r="AL373" i="8"/>
  <c r="AK373" i="8"/>
  <c r="AJ373" i="8"/>
  <c r="AH373" i="8"/>
  <c r="AF373" i="8"/>
  <c r="AE373" i="8"/>
  <c r="AD373" i="8"/>
  <c r="AC373" i="8"/>
  <c r="AB373" i="8"/>
  <c r="AA373" i="8"/>
  <c r="Z373" i="8"/>
  <c r="X373" i="8"/>
  <c r="W373" i="8"/>
  <c r="V373" i="8"/>
  <c r="U373" i="8"/>
  <c r="S373" i="8"/>
  <c r="R373" i="8"/>
  <c r="Q373" i="8"/>
  <c r="K373" i="8"/>
  <c r="J373" i="8"/>
  <c r="I373" i="8"/>
  <c r="H373" i="8"/>
  <c r="G373" i="8"/>
  <c r="AL372" i="8"/>
  <c r="AK372" i="8"/>
  <c r="AJ372" i="8"/>
  <c r="AH372" i="8"/>
  <c r="AG372" i="8"/>
  <c r="AF372" i="8"/>
  <c r="AE372" i="8"/>
  <c r="AD372" i="8"/>
  <c r="AC372" i="8"/>
  <c r="AB372" i="8"/>
  <c r="AA372" i="8"/>
  <c r="Z372" i="8"/>
  <c r="X372" i="8"/>
  <c r="W372" i="8"/>
  <c r="V372" i="8"/>
  <c r="U372" i="8"/>
  <c r="T372" i="8"/>
  <c r="S372" i="8"/>
  <c r="R372" i="8"/>
  <c r="P372" i="8"/>
  <c r="K372" i="8"/>
  <c r="J372" i="8"/>
  <c r="I372" i="8"/>
  <c r="H372" i="8"/>
  <c r="G372" i="8"/>
  <c r="AK371" i="8"/>
  <c r="AH371" i="8"/>
  <c r="AF371" i="8"/>
  <c r="AE371" i="8"/>
  <c r="AD371" i="8"/>
  <c r="AC371" i="8"/>
  <c r="AB371" i="8"/>
  <c r="AA371" i="8"/>
  <c r="Z371" i="8"/>
  <c r="Y371" i="8"/>
  <c r="X371" i="8"/>
  <c r="W371" i="8"/>
  <c r="V371" i="8"/>
  <c r="U371" i="8"/>
  <c r="T371" i="8"/>
  <c r="S371" i="8"/>
  <c r="R371" i="8"/>
  <c r="P371" i="8"/>
  <c r="K371" i="8"/>
  <c r="J371" i="8"/>
  <c r="I371" i="8"/>
  <c r="H371" i="8"/>
  <c r="G371" i="8"/>
  <c r="AL370" i="8"/>
  <c r="AK370" i="8"/>
  <c r="AJ370" i="8"/>
  <c r="AI370" i="8"/>
  <c r="AH370" i="8"/>
  <c r="AG370" i="8"/>
  <c r="AF370" i="8"/>
  <c r="AE370" i="8"/>
  <c r="AD370" i="8"/>
  <c r="AC370" i="8"/>
  <c r="AB370" i="8"/>
  <c r="AA370" i="8"/>
  <c r="Z370" i="8"/>
  <c r="X370" i="8"/>
  <c r="W370" i="8"/>
  <c r="T370" i="8"/>
  <c r="S370" i="8"/>
  <c r="R370" i="8"/>
  <c r="Q370" i="8"/>
  <c r="P370" i="8"/>
  <c r="K370" i="8"/>
  <c r="J370" i="8"/>
  <c r="I370" i="8"/>
  <c r="H370" i="8"/>
  <c r="G370" i="8"/>
  <c r="AL369" i="8"/>
  <c r="AK369" i="8"/>
  <c r="AJ369" i="8"/>
  <c r="AI369" i="8"/>
  <c r="AH369" i="8"/>
  <c r="AG369" i="8"/>
  <c r="AE369" i="8"/>
  <c r="AC369" i="8"/>
  <c r="AB369" i="8"/>
  <c r="AA369" i="8"/>
  <c r="Z369" i="8"/>
  <c r="X369" i="8"/>
  <c r="W369" i="8"/>
  <c r="V369" i="8"/>
  <c r="U369" i="8"/>
  <c r="T369" i="8"/>
  <c r="S369" i="8"/>
  <c r="R369" i="8"/>
  <c r="Q369" i="8"/>
  <c r="P369" i="8"/>
  <c r="K369" i="8"/>
  <c r="J369" i="8"/>
  <c r="I369" i="8"/>
  <c r="H369" i="8"/>
  <c r="G369" i="8"/>
  <c r="AL368" i="8"/>
  <c r="AK368" i="8"/>
  <c r="AI368" i="8"/>
  <c r="AG368" i="8"/>
  <c r="AF368" i="8"/>
  <c r="AD368" i="8"/>
  <c r="AC368" i="8"/>
  <c r="AB368" i="8"/>
  <c r="AA368" i="8"/>
  <c r="Z368" i="8"/>
  <c r="Y368" i="8"/>
  <c r="X368" i="8"/>
  <c r="W368" i="8"/>
  <c r="V368" i="8"/>
  <c r="U368" i="8"/>
  <c r="T368" i="8"/>
  <c r="S368" i="8"/>
  <c r="R368" i="8"/>
  <c r="Q368" i="8"/>
  <c r="P368" i="8"/>
  <c r="K368" i="8"/>
  <c r="J368" i="8"/>
  <c r="I368" i="8"/>
  <c r="H368" i="8"/>
  <c r="G368" i="8"/>
  <c r="AL367" i="8"/>
  <c r="AK367" i="8"/>
  <c r="AI367" i="8"/>
  <c r="AH367" i="8"/>
  <c r="AG367" i="8"/>
  <c r="AF367" i="8"/>
  <c r="AE367" i="8"/>
  <c r="AD367" i="8"/>
  <c r="AC367" i="8"/>
  <c r="AB367" i="8"/>
  <c r="AA367" i="8"/>
  <c r="Y367" i="8"/>
  <c r="X367" i="8"/>
  <c r="W367" i="8"/>
  <c r="V367" i="8"/>
  <c r="U367" i="8"/>
  <c r="T367" i="8"/>
  <c r="S367" i="8"/>
  <c r="R367" i="8"/>
  <c r="P367" i="8"/>
  <c r="K367" i="8"/>
  <c r="J367" i="8"/>
  <c r="I367" i="8"/>
  <c r="H367" i="8"/>
  <c r="G367" i="8"/>
  <c r="AL366" i="8"/>
  <c r="AK366" i="8"/>
  <c r="AJ366" i="8"/>
  <c r="AI366" i="8"/>
  <c r="AH366" i="8"/>
  <c r="AG366" i="8"/>
  <c r="AF366" i="8"/>
  <c r="AE366" i="8"/>
  <c r="AC366" i="8"/>
  <c r="AB366" i="8"/>
  <c r="AA366" i="8"/>
  <c r="Y366" i="8"/>
  <c r="X366" i="8"/>
  <c r="W366" i="8"/>
  <c r="V366" i="8"/>
  <c r="T366" i="8"/>
  <c r="S366" i="8"/>
  <c r="R366" i="8"/>
  <c r="Q366" i="8"/>
  <c r="P366" i="8"/>
  <c r="K366" i="8"/>
  <c r="J366" i="8"/>
  <c r="I366" i="8"/>
  <c r="H366" i="8"/>
  <c r="G366" i="8"/>
  <c r="AK365" i="8"/>
  <c r="AJ365" i="8"/>
  <c r="AI365" i="8"/>
  <c r="AH365" i="8"/>
  <c r="AG365" i="8"/>
  <c r="AF365" i="8"/>
  <c r="AE365" i="8"/>
  <c r="AD365" i="8"/>
  <c r="AC365" i="8"/>
  <c r="AB365" i="8"/>
  <c r="AA365" i="8"/>
  <c r="Y365" i="8"/>
  <c r="X365" i="8"/>
  <c r="W365" i="8"/>
  <c r="V365" i="8"/>
  <c r="U365" i="8"/>
  <c r="T365" i="8"/>
  <c r="S365" i="8"/>
  <c r="R365" i="8"/>
  <c r="Q365" i="8"/>
  <c r="K365" i="8"/>
  <c r="J365" i="8"/>
  <c r="I365" i="8"/>
  <c r="H365" i="8"/>
  <c r="G365" i="8"/>
  <c r="AL364" i="8"/>
  <c r="AK364" i="8"/>
  <c r="AJ364" i="8"/>
  <c r="AH364" i="8"/>
  <c r="AF364" i="8"/>
  <c r="AE364" i="8"/>
  <c r="AD364" i="8"/>
  <c r="AC364" i="8"/>
  <c r="AB364" i="8"/>
  <c r="AA364" i="8"/>
  <c r="Z364" i="8"/>
  <c r="Y364" i="8"/>
  <c r="X364" i="8"/>
  <c r="W364" i="8"/>
  <c r="V364" i="8"/>
  <c r="U364" i="8"/>
  <c r="T364" i="8"/>
  <c r="S364" i="8"/>
  <c r="R364" i="8"/>
  <c r="Q364" i="8"/>
  <c r="K364" i="8"/>
  <c r="J364" i="8"/>
  <c r="I364" i="8"/>
  <c r="H364" i="8"/>
  <c r="G364" i="8"/>
  <c r="AL363" i="8"/>
  <c r="AK363" i="8"/>
  <c r="AH363" i="8"/>
  <c r="AG363" i="8"/>
  <c r="AF363" i="8"/>
  <c r="AE363" i="8"/>
  <c r="AD363" i="8"/>
  <c r="AB363" i="8"/>
  <c r="AA363" i="8"/>
  <c r="Z363" i="8"/>
  <c r="Y363" i="8"/>
  <c r="X363" i="8"/>
  <c r="W363" i="8"/>
  <c r="V363" i="8"/>
  <c r="U363" i="8"/>
  <c r="T363" i="8"/>
  <c r="R363" i="8"/>
  <c r="P363" i="8"/>
  <c r="K363" i="8"/>
  <c r="J363" i="8"/>
  <c r="I363" i="8"/>
  <c r="H363" i="8"/>
  <c r="G363" i="8"/>
  <c r="AL362" i="8"/>
  <c r="AK362" i="8"/>
  <c r="AJ362" i="8"/>
  <c r="AI362" i="8"/>
  <c r="AG362" i="8"/>
  <c r="AF362" i="8"/>
  <c r="AE362" i="8"/>
  <c r="AD362" i="8"/>
  <c r="AC362" i="8"/>
  <c r="AB362" i="8"/>
  <c r="AA362" i="8"/>
  <c r="Y362" i="8"/>
  <c r="X362" i="8"/>
  <c r="W362" i="8"/>
  <c r="V362" i="8"/>
  <c r="U362" i="8"/>
  <c r="T362" i="8"/>
  <c r="S362" i="8"/>
  <c r="R362" i="8"/>
  <c r="Q362" i="8"/>
  <c r="K362" i="8"/>
  <c r="J362" i="8"/>
  <c r="I362" i="8"/>
  <c r="H362" i="8"/>
  <c r="G362" i="8"/>
  <c r="AL361" i="8"/>
  <c r="AK361" i="8"/>
  <c r="AJ361" i="8"/>
  <c r="AI361" i="8"/>
  <c r="AH361" i="8"/>
  <c r="AG361" i="8"/>
  <c r="AE361" i="8"/>
  <c r="AD361" i="8"/>
  <c r="AC361" i="8"/>
  <c r="AB361" i="8"/>
  <c r="AA361" i="8"/>
  <c r="Y361" i="8"/>
  <c r="X361" i="8"/>
  <c r="W361" i="8"/>
  <c r="V361" i="8"/>
  <c r="U361" i="8"/>
  <c r="T361" i="8"/>
  <c r="S361" i="8"/>
  <c r="R361" i="8"/>
  <c r="Q361" i="8"/>
  <c r="K361" i="8"/>
  <c r="J361" i="8"/>
  <c r="I361" i="8"/>
  <c r="H361" i="8"/>
  <c r="G361" i="8"/>
  <c r="AK360" i="8"/>
  <c r="AJ360" i="8"/>
  <c r="AI360" i="8"/>
  <c r="AH360" i="8"/>
  <c r="AG360" i="8"/>
  <c r="AF360" i="8"/>
  <c r="AE360" i="8"/>
  <c r="AD360" i="8"/>
  <c r="AC360" i="8"/>
  <c r="AB360" i="8"/>
  <c r="AA360" i="8"/>
  <c r="Y360" i="8"/>
  <c r="X360" i="8"/>
  <c r="W360" i="8"/>
  <c r="V360" i="8"/>
  <c r="U360" i="8"/>
  <c r="T360" i="8"/>
  <c r="S360" i="8"/>
  <c r="R360" i="8"/>
  <c r="Q360" i="8"/>
  <c r="K360" i="8"/>
  <c r="J360" i="8"/>
  <c r="I360" i="8"/>
  <c r="H360" i="8"/>
  <c r="G360" i="8"/>
  <c r="AL359" i="8"/>
  <c r="AK359" i="8"/>
  <c r="AJ359" i="8"/>
  <c r="AI359" i="8"/>
  <c r="AG359" i="8"/>
  <c r="AF359" i="8"/>
  <c r="AE359" i="8"/>
  <c r="AD359" i="8"/>
  <c r="AC359" i="8"/>
  <c r="AB359" i="8"/>
  <c r="AA359" i="8"/>
  <c r="Z359" i="8"/>
  <c r="X359" i="8"/>
  <c r="W359" i="8"/>
  <c r="V359" i="8"/>
  <c r="U359" i="8"/>
  <c r="S359" i="8"/>
  <c r="R359" i="8"/>
  <c r="Q359" i="8"/>
  <c r="P359" i="8"/>
  <c r="K359" i="8"/>
  <c r="J359" i="8"/>
  <c r="I359" i="8"/>
  <c r="H359" i="8"/>
  <c r="G359" i="8"/>
  <c r="AK358" i="8"/>
  <c r="AH358" i="8"/>
  <c r="AF358" i="8"/>
  <c r="AE358" i="8"/>
  <c r="AD358" i="8"/>
  <c r="AC358" i="8"/>
  <c r="AB358" i="8"/>
  <c r="AA358" i="8"/>
  <c r="Z358" i="8"/>
  <c r="Y358" i="8"/>
  <c r="X358" i="8"/>
  <c r="W358" i="8"/>
  <c r="V358" i="8"/>
  <c r="U358" i="8"/>
  <c r="S358" i="8"/>
  <c r="R358" i="8"/>
  <c r="Q358" i="8"/>
  <c r="P358" i="8"/>
  <c r="K358" i="8"/>
  <c r="J358" i="8"/>
  <c r="I358" i="8"/>
  <c r="H358" i="8"/>
  <c r="G358" i="8"/>
  <c r="AL357" i="8"/>
  <c r="AK357" i="8"/>
  <c r="AJ357" i="8"/>
  <c r="AI357" i="8"/>
  <c r="AG357" i="8"/>
  <c r="AF357" i="8"/>
  <c r="AE357" i="8"/>
  <c r="AD357" i="8"/>
  <c r="AC357" i="8"/>
  <c r="AB357" i="8"/>
  <c r="AA357" i="8"/>
  <c r="Z357" i="8"/>
  <c r="X357" i="8"/>
  <c r="W357" i="8"/>
  <c r="V357" i="8"/>
  <c r="U357" i="8"/>
  <c r="T357" i="8"/>
  <c r="R357" i="8"/>
  <c r="Q357" i="8"/>
  <c r="P357" i="8"/>
  <c r="K357" i="8"/>
  <c r="J357" i="8"/>
  <c r="I357" i="8"/>
  <c r="H357" i="8"/>
  <c r="G357" i="8"/>
  <c r="AL356" i="8"/>
  <c r="AK356" i="8"/>
  <c r="AJ356" i="8"/>
  <c r="AI356" i="8"/>
  <c r="AG356" i="8"/>
  <c r="AE356" i="8"/>
  <c r="AD356" i="8"/>
  <c r="AC356" i="8"/>
  <c r="AB356" i="8"/>
  <c r="AA356" i="8"/>
  <c r="Y356" i="8"/>
  <c r="X356" i="8"/>
  <c r="W356" i="8"/>
  <c r="V356" i="8"/>
  <c r="U356" i="8"/>
  <c r="T356" i="8"/>
  <c r="S356" i="8"/>
  <c r="R356" i="8"/>
  <c r="Q356" i="8"/>
  <c r="P356" i="8"/>
  <c r="K356" i="8"/>
  <c r="J356" i="8"/>
  <c r="I356" i="8"/>
  <c r="H356" i="8"/>
  <c r="G356" i="8"/>
  <c r="AL355" i="8"/>
  <c r="AK355" i="8"/>
  <c r="AJ355" i="8"/>
  <c r="AI355" i="8"/>
  <c r="AH355" i="8"/>
  <c r="AG355" i="8"/>
  <c r="AE355" i="8"/>
  <c r="AD355" i="8"/>
  <c r="AC355" i="8"/>
  <c r="AB355" i="8"/>
  <c r="AA355" i="8"/>
  <c r="Z355" i="8"/>
  <c r="Y355" i="8"/>
  <c r="W355" i="8"/>
  <c r="V355" i="8"/>
  <c r="T355" i="8"/>
  <c r="S355" i="8"/>
  <c r="R355" i="8"/>
  <c r="Q355" i="8"/>
  <c r="P355" i="8"/>
  <c r="K355" i="8"/>
  <c r="J355" i="8"/>
  <c r="I355" i="8"/>
  <c r="H355" i="8"/>
  <c r="G355" i="8"/>
  <c r="AL354" i="8"/>
  <c r="AK354" i="8"/>
  <c r="AJ354" i="8"/>
  <c r="AH354" i="8"/>
  <c r="AG354" i="8"/>
  <c r="AF354" i="8"/>
  <c r="AE354" i="8"/>
  <c r="AD354" i="8"/>
  <c r="AC354" i="8"/>
  <c r="AB354" i="8"/>
  <c r="AA354" i="8"/>
  <c r="Z354" i="8"/>
  <c r="X354" i="8"/>
  <c r="W354" i="8"/>
  <c r="V354" i="8"/>
  <c r="U354" i="8"/>
  <c r="T354" i="8"/>
  <c r="S354" i="8"/>
  <c r="R354" i="8"/>
  <c r="P354" i="8"/>
  <c r="K354" i="8"/>
  <c r="J354" i="8"/>
  <c r="I354" i="8"/>
  <c r="H354" i="8"/>
  <c r="G354" i="8"/>
  <c r="AK353" i="8"/>
  <c r="AJ353" i="8"/>
  <c r="AI353" i="8"/>
  <c r="AG353" i="8"/>
  <c r="AF353" i="8"/>
  <c r="AE353" i="8"/>
  <c r="AD353" i="8"/>
  <c r="AC353" i="8"/>
  <c r="AB353" i="8"/>
  <c r="AA353" i="8"/>
  <c r="Z353" i="8"/>
  <c r="Y353" i="8"/>
  <c r="X353" i="8"/>
  <c r="W353" i="8"/>
  <c r="V353" i="8"/>
  <c r="U353" i="8"/>
  <c r="R353" i="8"/>
  <c r="Q353" i="8"/>
  <c r="K353" i="8"/>
  <c r="J353" i="8"/>
  <c r="I353" i="8"/>
  <c r="H353" i="8"/>
  <c r="G353" i="8"/>
  <c r="AL352" i="8"/>
  <c r="AK352" i="8"/>
  <c r="AJ352" i="8"/>
  <c r="AI352" i="8"/>
  <c r="AG352" i="8"/>
  <c r="AF352" i="8"/>
  <c r="AE352" i="8"/>
  <c r="AD352" i="8"/>
  <c r="AC352" i="8"/>
  <c r="AB352" i="8"/>
  <c r="AA352" i="8"/>
  <c r="Z352" i="8"/>
  <c r="X352" i="8"/>
  <c r="W352" i="8"/>
  <c r="V352" i="8"/>
  <c r="U352" i="8"/>
  <c r="T352" i="8"/>
  <c r="R352" i="8"/>
  <c r="Q352" i="8"/>
  <c r="P352" i="8"/>
  <c r="K352" i="8"/>
  <c r="J352" i="8"/>
  <c r="I352" i="8"/>
  <c r="H352" i="8"/>
  <c r="G352" i="8"/>
  <c r="AL351" i="8"/>
  <c r="AK351" i="8"/>
  <c r="AJ351" i="8"/>
  <c r="AI351" i="8"/>
  <c r="AG351" i="8"/>
  <c r="AF351" i="8"/>
  <c r="AE351" i="8"/>
  <c r="AD351" i="8"/>
  <c r="AC351" i="8"/>
  <c r="AB351" i="8"/>
  <c r="AA351" i="8"/>
  <c r="Z351" i="8"/>
  <c r="Y351" i="8"/>
  <c r="X351" i="8"/>
  <c r="W351" i="8"/>
  <c r="V351" i="8"/>
  <c r="U351" i="8"/>
  <c r="S351" i="8"/>
  <c r="R351" i="8"/>
  <c r="Q351" i="8"/>
  <c r="K351" i="8"/>
  <c r="J351" i="8"/>
  <c r="I351" i="8"/>
  <c r="H351" i="8"/>
  <c r="G351" i="8"/>
  <c r="AL350" i="8"/>
  <c r="AK350" i="8"/>
  <c r="AJ350" i="8"/>
  <c r="AI350" i="8"/>
  <c r="AH350" i="8"/>
  <c r="AG350" i="8"/>
  <c r="AE350" i="8"/>
  <c r="AD350" i="8"/>
  <c r="AC350" i="8"/>
  <c r="AB350" i="8"/>
  <c r="AA350" i="8"/>
  <c r="Y350" i="8"/>
  <c r="X350" i="8"/>
  <c r="W350" i="8"/>
  <c r="V350" i="8"/>
  <c r="U350" i="8"/>
  <c r="T350" i="8"/>
  <c r="S350" i="8"/>
  <c r="R350" i="8"/>
  <c r="Q350" i="8"/>
  <c r="K350" i="8"/>
  <c r="J350" i="8"/>
  <c r="I350" i="8"/>
  <c r="H350" i="8"/>
  <c r="G350" i="8"/>
  <c r="AL349" i="8"/>
  <c r="AK349" i="8"/>
  <c r="AJ349" i="8"/>
  <c r="AH349" i="8"/>
  <c r="AG349" i="8"/>
  <c r="AF349" i="8"/>
  <c r="AE349" i="8"/>
  <c r="AD349" i="8"/>
  <c r="AC349" i="8"/>
  <c r="AB349" i="8"/>
  <c r="AA349" i="8"/>
  <c r="Z349" i="8"/>
  <c r="X349" i="8"/>
  <c r="W349" i="8"/>
  <c r="V349" i="8"/>
  <c r="U349" i="8"/>
  <c r="T349" i="8"/>
  <c r="S349" i="8"/>
  <c r="R349" i="8"/>
  <c r="P349" i="8"/>
  <c r="K349" i="8"/>
  <c r="J349" i="8"/>
  <c r="I349" i="8"/>
  <c r="H349" i="8"/>
  <c r="G349" i="8"/>
  <c r="AJ348" i="8"/>
  <c r="AH348" i="8"/>
  <c r="AF348" i="8"/>
  <c r="AE348" i="8"/>
  <c r="AD348" i="8"/>
  <c r="AC348" i="8"/>
  <c r="AB348" i="8"/>
  <c r="AA348" i="8"/>
  <c r="Z348" i="8"/>
  <c r="Y348" i="8"/>
  <c r="X348" i="8"/>
  <c r="W348" i="8"/>
  <c r="V348" i="8"/>
  <c r="U348" i="8"/>
  <c r="T348" i="8"/>
  <c r="S348" i="8"/>
  <c r="R348" i="8"/>
  <c r="P348" i="8"/>
  <c r="K348" i="8"/>
  <c r="J348" i="8"/>
  <c r="I348" i="8"/>
  <c r="H348" i="8"/>
  <c r="G348" i="8"/>
  <c r="AK347" i="8"/>
  <c r="AJ347" i="8"/>
  <c r="AI347" i="8"/>
  <c r="AH347" i="8"/>
  <c r="AG347" i="8"/>
  <c r="AF347" i="8"/>
  <c r="AE347" i="8"/>
  <c r="AC347" i="8"/>
  <c r="AB347" i="8"/>
  <c r="AA347" i="8"/>
  <c r="Z347" i="8"/>
  <c r="Y347" i="8"/>
  <c r="X347" i="8"/>
  <c r="W347" i="8"/>
  <c r="V347" i="8"/>
  <c r="U347" i="8"/>
  <c r="T347" i="8"/>
  <c r="S347" i="8"/>
  <c r="R347" i="8"/>
  <c r="Q347" i="8"/>
  <c r="K347" i="8"/>
  <c r="J347" i="8"/>
  <c r="I347" i="8"/>
  <c r="H347" i="8"/>
  <c r="G347" i="8"/>
  <c r="AK346" i="8"/>
  <c r="AH346" i="8"/>
  <c r="AF346" i="8"/>
  <c r="AE346" i="8"/>
  <c r="AD346" i="8"/>
  <c r="AC346" i="8"/>
  <c r="AB346" i="8"/>
  <c r="AA346" i="8"/>
  <c r="Z346" i="8"/>
  <c r="Y346" i="8"/>
  <c r="X346" i="8"/>
  <c r="W346" i="8"/>
  <c r="V346" i="8"/>
  <c r="U346" i="8"/>
  <c r="T346" i="8"/>
  <c r="S346" i="8"/>
  <c r="R346" i="8"/>
  <c r="Q346" i="8"/>
  <c r="K346" i="8"/>
  <c r="J346" i="8"/>
  <c r="I346" i="8"/>
  <c r="H346" i="8"/>
  <c r="G346" i="8"/>
  <c r="AL345" i="8"/>
  <c r="AK345" i="8"/>
  <c r="AJ345" i="8"/>
  <c r="AH345" i="8"/>
  <c r="AG345" i="8"/>
  <c r="AF345" i="8"/>
  <c r="AE345" i="8"/>
  <c r="AD345" i="8"/>
  <c r="AC345" i="8"/>
  <c r="AA345" i="8"/>
  <c r="Y345" i="8"/>
  <c r="X345" i="8"/>
  <c r="W345" i="8"/>
  <c r="V345" i="8"/>
  <c r="U345" i="8"/>
  <c r="T345" i="8"/>
  <c r="S345" i="8"/>
  <c r="R345" i="8"/>
  <c r="Q345" i="8"/>
  <c r="P345" i="8"/>
  <c r="K345" i="8"/>
  <c r="J345" i="8"/>
  <c r="I345" i="8"/>
  <c r="H345" i="8"/>
  <c r="G345" i="8"/>
  <c r="AL344" i="8"/>
  <c r="AK344" i="8"/>
  <c r="AJ344" i="8"/>
  <c r="AI344" i="8"/>
  <c r="AH344" i="8"/>
  <c r="AG344" i="8"/>
  <c r="AE344" i="8"/>
  <c r="AD344" i="8"/>
  <c r="AC344" i="8"/>
  <c r="AB344" i="8"/>
  <c r="AA344" i="8"/>
  <c r="Z344" i="8"/>
  <c r="X344" i="8"/>
  <c r="W344" i="8"/>
  <c r="V344" i="8"/>
  <c r="U344" i="8"/>
  <c r="T344" i="8"/>
  <c r="S344" i="8"/>
  <c r="R344" i="8"/>
  <c r="Q344" i="8"/>
  <c r="K344" i="8"/>
  <c r="J344" i="8"/>
  <c r="I344" i="8"/>
  <c r="H344" i="8"/>
  <c r="G344" i="8"/>
  <c r="AL343" i="8"/>
  <c r="AK343" i="8"/>
  <c r="AJ343" i="8"/>
  <c r="AI343" i="8"/>
  <c r="AG343" i="8"/>
  <c r="AF343" i="8"/>
  <c r="AE343" i="8"/>
  <c r="AD343" i="8"/>
  <c r="AC343" i="8"/>
  <c r="AA343" i="8"/>
  <c r="Y343" i="8"/>
  <c r="X343" i="8"/>
  <c r="W343" i="8"/>
  <c r="V343" i="8"/>
  <c r="U343" i="8"/>
  <c r="T343" i="8"/>
  <c r="S343" i="8"/>
  <c r="R343" i="8"/>
  <c r="Q343" i="8"/>
  <c r="P343" i="8"/>
  <c r="K343" i="8"/>
  <c r="J343" i="8"/>
  <c r="I343" i="8"/>
  <c r="H343" i="8"/>
  <c r="G343" i="8"/>
  <c r="AL342" i="8"/>
  <c r="AK342" i="8"/>
  <c r="AJ342" i="8"/>
  <c r="AI342" i="8"/>
  <c r="AH342" i="8"/>
  <c r="AG342" i="8"/>
  <c r="AE342" i="8"/>
  <c r="AD342" i="8"/>
  <c r="AC342" i="8"/>
  <c r="AB342" i="8"/>
  <c r="AA342" i="8"/>
  <c r="Y342" i="8"/>
  <c r="X342" i="8"/>
  <c r="W342" i="8"/>
  <c r="V342" i="8"/>
  <c r="U342" i="8"/>
  <c r="T342" i="8"/>
  <c r="S342" i="8"/>
  <c r="R342" i="8"/>
  <c r="Q342" i="8"/>
  <c r="K342" i="8"/>
  <c r="J342" i="8"/>
  <c r="I342" i="8"/>
  <c r="H342" i="8"/>
  <c r="G342" i="8"/>
  <c r="AL341" i="8"/>
  <c r="AK341" i="8"/>
  <c r="AJ341" i="8"/>
  <c r="AH341" i="8"/>
  <c r="AF341" i="8"/>
  <c r="AE341" i="8"/>
  <c r="AD341" i="8"/>
  <c r="AC341" i="8"/>
  <c r="AB341" i="8"/>
  <c r="AA341" i="8"/>
  <c r="Z341" i="8"/>
  <c r="Y341" i="8"/>
  <c r="X341" i="8"/>
  <c r="W341" i="8"/>
  <c r="V341" i="8"/>
  <c r="U341" i="8"/>
  <c r="T341" i="8"/>
  <c r="S341" i="8"/>
  <c r="R341" i="8"/>
  <c r="Q341" i="8"/>
  <c r="K341" i="8"/>
  <c r="J341" i="8"/>
  <c r="I341" i="8"/>
  <c r="H341" i="8"/>
  <c r="G341" i="8"/>
  <c r="AL340" i="8"/>
  <c r="AK340" i="8"/>
  <c r="AI340" i="8"/>
  <c r="AH340" i="8"/>
  <c r="AF340" i="8"/>
  <c r="AE340" i="8"/>
  <c r="AD340" i="8"/>
  <c r="AC340" i="8"/>
  <c r="AB340" i="8"/>
  <c r="AA340" i="8"/>
  <c r="Z340" i="8"/>
  <c r="Y340" i="8"/>
  <c r="X340" i="8"/>
  <c r="W340" i="8"/>
  <c r="V340" i="8"/>
  <c r="U340" i="8"/>
  <c r="T340" i="8"/>
  <c r="S340" i="8"/>
  <c r="R340" i="8"/>
  <c r="Q340" i="8"/>
  <c r="K340" i="8"/>
  <c r="J340" i="8"/>
  <c r="I340" i="8"/>
  <c r="H340" i="8"/>
  <c r="G340" i="8"/>
  <c r="AL339" i="8"/>
  <c r="AK339" i="8"/>
  <c r="AJ339" i="8"/>
  <c r="AH339" i="8"/>
  <c r="AF339" i="8"/>
  <c r="AE339" i="8"/>
  <c r="AD339" i="8"/>
  <c r="AC339" i="8"/>
  <c r="AB339" i="8"/>
  <c r="AA339" i="8"/>
  <c r="Z339" i="8"/>
  <c r="X339" i="8"/>
  <c r="W339" i="8"/>
  <c r="V339" i="8"/>
  <c r="U339" i="8"/>
  <c r="T339" i="8"/>
  <c r="S339" i="8"/>
  <c r="R339" i="8"/>
  <c r="Q339" i="8"/>
  <c r="P339" i="8"/>
  <c r="K339" i="8"/>
  <c r="J339" i="8"/>
  <c r="I339" i="8"/>
  <c r="H339" i="8"/>
  <c r="G339" i="8"/>
  <c r="AL338" i="8"/>
  <c r="AK338" i="8"/>
  <c r="AJ338" i="8"/>
  <c r="AH338" i="8"/>
  <c r="AG338" i="8"/>
  <c r="AF338" i="8"/>
  <c r="AE338" i="8"/>
  <c r="AD338" i="8"/>
  <c r="AC338" i="8"/>
  <c r="AB338" i="8"/>
  <c r="AA338" i="8"/>
  <c r="Y338" i="8"/>
  <c r="X338" i="8"/>
  <c r="W338" i="8"/>
  <c r="V338" i="8"/>
  <c r="U338" i="8"/>
  <c r="T338" i="8"/>
  <c r="S338" i="8"/>
  <c r="R338" i="8"/>
  <c r="P338" i="8"/>
  <c r="K338" i="8"/>
  <c r="J338" i="8"/>
  <c r="I338" i="8"/>
  <c r="H338" i="8"/>
  <c r="G338" i="8"/>
  <c r="AL337" i="8"/>
  <c r="AK337" i="8"/>
  <c r="AJ337" i="8"/>
  <c r="AI337" i="8"/>
  <c r="AH337" i="8"/>
  <c r="AG337" i="8"/>
  <c r="AF337" i="8"/>
  <c r="AE337" i="8"/>
  <c r="AC337" i="8"/>
  <c r="AB337" i="8"/>
  <c r="AA337" i="8"/>
  <c r="Y337" i="8"/>
  <c r="X337" i="8"/>
  <c r="W337" i="8"/>
  <c r="V337" i="8"/>
  <c r="T337" i="8"/>
  <c r="S337" i="8"/>
  <c r="R337" i="8"/>
  <c r="Q337" i="8"/>
  <c r="P337" i="8"/>
  <c r="K337" i="8"/>
  <c r="J337" i="8"/>
  <c r="I337" i="8"/>
  <c r="H337" i="8"/>
  <c r="G337" i="8"/>
  <c r="AK336" i="8"/>
  <c r="AJ336" i="8"/>
  <c r="AI336" i="8"/>
  <c r="AG336" i="8"/>
  <c r="AF336" i="8"/>
  <c r="AE336" i="8"/>
  <c r="AD336" i="8"/>
  <c r="AC336" i="8"/>
  <c r="AB336" i="8"/>
  <c r="AA336" i="8"/>
  <c r="Z336" i="8"/>
  <c r="Y336" i="8"/>
  <c r="X336" i="8"/>
  <c r="W336" i="8"/>
  <c r="V336" i="8"/>
  <c r="U336" i="8"/>
  <c r="T336" i="8"/>
  <c r="S336" i="8"/>
  <c r="R336" i="8"/>
  <c r="Q336" i="8"/>
  <c r="K336" i="8"/>
  <c r="J336" i="8"/>
  <c r="I336" i="8"/>
  <c r="H336" i="8"/>
  <c r="G336" i="8"/>
  <c r="AL335" i="8"/>
  <c r="AK335" i="8"/>
  <c r="AJ335" i="8"/>
  <c r="AI335" i="8"/>
  <c r="AG335" i="8"/>
  <c r="AF335" i="8"/>
  <c r="AE335" i="8"/>
  <c r="AD335" i="8"/>
  <c r="AC335" i="8"/>
  <c r="AB335" i="8"/>
  <c r="AA335" i="8"/>
  <c r="Z335" i="8"/>
  <c r="Y335" i="8"/>
  <c r="X335" i="8"/>
  <c r="W335" i="8"/>
  <c r="V335" i="8"/>
  <c r="U335" i="8"/>
  <c r="S335" i="8"/>
  <c r="R335" i="8"/>
  <c r="Q335" i="8"/>
  <c r="K335" i="8"/>
  <c r="J335" i="8"/>
  <c r="I335" i="8"/>
  <c r="H335" i="8"/>
  <c r="G335" i="8"/>
  <c r="AK334" i="8"/>
  <c r="AJ334" i="8"/>
  <c r="AI334" i="8"/>
  <c r="AH334" i="8"/>
  <c r="AF334" i="8"/>
  <c r="AE334" i="8"/>
  <c r="AD334" i="8"/>
  <c r="AC334" i="8"/>
  <c r="AB334" i="8"/>
  <c r="AA334" i="8"/>
  <c r="Z334" i="8"/>
  <c r="Y334" i="8"/>
  <c r="X334" i="8"/>
  <c r="W334" i="8"/>
  <c r="V334" i="8"/>
  <c r="T334" i="8"/>
  <c r="S334" i="8"/>
  <c r="R334" i="8"/>
  <c r="Q334" i="8"/>
  <c r="P334" i="8"/>
  <c r="K334" i="8"/>
  <c r="J334" i="8"/>
  <c r="I334" i="8"/>
  <c r="H334" i="8"/>
  <c r="G334" i="8"/>
  <c r="AL333" i="8"/>
  <c r="AK333" i="8"/>
  <c r="AJ333" i="8"/>
  <c r="AI333" i="8"/>
  <c r="AG333" i="8"/>
  <c r="AF333" i="8"/>
  <c r="AE333" i="8"/>
  <c r="AD333" i="8"/>
  <c r="AB333" i="8"/>
  <c r="AA333" i="8"/>
  <c r="Z333" i="8"/>
  <c r="Y333" i="8"/>
  <c r="X333" i="8"/>
  <c r="W333" i="8"/>
  <c r="V333" i="8"/>
  <c r="U333" i="8"/>
  <c r="T333" i="8"/>
  <c r="S333" i="8"/>
  <c r="R333" i="8"/>
  <c r="Q333" i="8"/>
  <c r="K333" i="8"/>
  <c r="J333" i="8"/>
  <c r="I333" i="8"/>
  <c r="H333" i="8"/>
  <c r="G333" i="8"/>
  <c r="AL332" i="8"/>
  <c r="AK332" i="8"/>
  <c r="AJ332" i="8"/>
  <c r="AH332" i="8"/>
  <c r="AG332" i="8"/>
  <c r="AF332" i="8"/>
  <c r="AE332" i="8"/>
  <c r="AD332" i="8"/>
  <c r="AC332" i="8"/>
  <c r="AB332" i="8"/>
  <c r="AA332" i="8"/>
  <c r="Z332" i="8"/>
  <c r="X332" i="8"/>
  <c r="W332" i="8"/>
  <c r="V332" i="8"/>
  <c r="U332" i="8"/>
  <c r="T332" i="8"/>
  <c r="S332" i="8"/>
  <c r="R332" i="8"/>
  <c r="P332" i="8"/>
  <c r="K332" i="8"/>
  <c r="J332" i="8"/>
  <c r="I332" i="8"/>
  <c r="H332" i="8"/>
  <c r="G332" i="8"/>
  <c r="AL331" i="8"/>
  <c r="AK331" i="8"/>
  <c r="AJ331" i="8"/>
  <c r="AI331" i="8"/>
  <c r="AG331" i="8"/>
  <c r="AF331" i="8"/>
  <c r="AE331" i="8"/>
  <c r="AD331" i="8"/>
  <c r="AB331" i="8"/>
  <c r="AA331" i="8"/>
  <c r="Z331" i="8"/>
  <c r="Y331" i="8"/>
  <c r="X331" i="8"/>
  <c r="W331" i="8"/>
  <c r="V331" i="8"/>
  <c r="T331" i="8"/>
  <c r="S331" i="8"/>
  <c r="R331" i="8"/>
  <c r="Q331" i="8"/>
  <c r="P331" i="8"/>
  <c r="K331" i="8"/>
  <c r="J331" i="8"/>
  <c r="I331" i="8"/>
  <c r="H331" i="8"/>
  <c r="G331" i="8"/>
  <c r="AK330" i="8"/>
  <c r="AJ330" i="8"/>
  <c r="AI330" i="8"/>
  <c r="AH330" i="8"/>
  <c r="AG330" i="8"/>
  <c r="AF330" i="8"/>
  <c r="AE330" i="8"/>
  <c r="AC330" i="8"/>
  <c r="AA330" i="8"/>
  <c r="Y330" i="8"/>
  <c r="X330" i="8"/>
  <c r="W330" i="8"/>
  <c r="V330" i="8"/>
  <c r="T330" i="8"/>
  <c r="S330" i="8"/>
  <c r="R330" i="8"/>
  <c r="Q330" i="8"/>
  <c r="P330" i="8"/>
  <c r="K330" i="8"/>
  <c r="J330" i="8"/>
  <c r="I330" i="8"/>
  <c r="H330" i="8"/>
  <c r="G330" i="8"/>
  <c r="AL329" i="8"/>
  <c r="AK329" i="8"/>
  <c r="AJ329" i="8"/>
  <c r="AH329" i="8"/>
  <c r="AF329" i="8"/>
  <c r="AE329" i="8"/>
  <c r="AD329" i="8"/>
  <c r="AC329" i="8"/>
  <c r="AB329" i="8"/>
  <c r="AA329" i="8"/>
  <c r="Z329" i="8"/>
  <c r="X329" i="8"/>
  <c r="W329" i="8"/>
  <c r="V329" i="8"/>
  <c r="U329" i="8"/>
  <c r="T329" i="8"/>
  <c r="S329" i="8"/>
  <c r="R329" i="8"/>
  <c r="Q329" i="8"/>
  <c r="P329" i="8"/>
  <c r="K329" i="8"/>
  <c r="J329" i="8"/>
  <c r="I329" i="8"/>
  <c r="H329" i="8"/>
  <c r="G329" i="8"/>
  <c r="AL328" i="8"/>
  <c r="AK328" i="8"/>
  <c r="AJ328" i="8"/>
  <c r="AH328" i="8"/>
  <c r="AG328" i="8"/>
  <c r="AF328" i="8"/>
  <c r="AE328" i="8"/>
  <c r="AD328" i="8"/>
  <c r="AC328" i="8"/>
  <c r="AB328" i="8"/>
  <c r="AA328" i="8"/>
  <c r="Y328" i="8"/>
  <c r="X328" i="8"/>
  <c r="W328" i="8"/>
  <c r="V328" i="8"/>
  <c r="U328" i="8"/>
  <c r="T328" i="8"/>
  <c r="S328" i="8"/>
  <c r="R328" i="8"/>
  <c r="P328" i="8"/>
  <c r="K328" i="8"/>
  <c r="J328" i="8"/>
  <c r="I328" i="8"/>
  <c r="H328" i="8"/>
  <c r="G328" i="8"/>
  <c r="AL327" i="8"/>
  <c r="AK327" i="8"/>
  <c r="AJ327" i="8"/>
  <c r="AH327" i="8"/>
  <c r="AF327" i="8"/>
  <c r="AE327" i="8"/>
  <c r="AD327" i="8"/>
  <c r="AB327" i="8"/>
  <c r="AA327" i="8"/>
  <c r="Z327" i="8"/>
  <c r="Y327" i="8"/>
  <c r="X327" i="8"/>
  <c r="W327" i="8"/>
  <c r="V327" i="8"/>
  <c r="U327" i="8"/>
  <c r="S327" i="8"/>
  <c r="R327" i="8"/>
  <c r="Q327" i="8"/>
  <c r="K327" i="8"/>
  <c r="J327" i="8"/>
  <c r="I327" i="8"/>
  <c r="H327" i="8"/>
  <c r="G327" i="8"/>
  <c r="AL326" i="8"/>
  <c r="AJ326" i="8"/>
  <c r="AI326" i="8"/>
  <c r="AH326" i="8"/>
  <c r="AG326" i="8"/>
  <c r="AE326" i="8"/>
  <c r="AD326" i="8"/>
  <c r="AC326" i="8"/>
  <c r="AB326" i="8"/>
  <c r="AA326" i="8"/>
  <c r="Z326" i="8"/>
  <c r="Y326" i="8"/>
  <c r="X326" i="8"/>
  <c r="V326" i="8"/>
  <c r="U326" i="8"/>
  <c r="T326" i="8"/>
  <c r="S326" i="8"/>
  <c r="P326" i="8"/>
  <c r="K326" i="8"/>
  <c r="J326" i="8"/>
  <c r="I326" i="8"/>
  <c r="H326" i="8"/>
  <c r="G326" i="8"/>
  <c r="AK325" i="8"/>
  <c r="AJ325" i="8"/>
  <c r="AI325" i="8"/>
  <c r="AH325" i="8"/>
  <c r="AF325" i="8"/>
  <c r="AE325" i="8"/>
  <c r="AD325" i="8"/>
  <c r="AC325" i="8"/>
  <c r="AB325" i="8"/>
  <c r="AA325" i="8"/>
  <c r="Z325" i="8"/>
  <c r="Y325" i="8"/>
  <c r="W325" i="8"/>
  <c r="V325" i="8"/>
  <c r="U325" i="8"/>
  <c r="T325" i="8"/>
  <c r="S325" i="8"/>
  <c r="R325" i="8"/>
  <c r="Q325" i="8"/>
  <c r="P325" i="8"/>
  <c r="K325" i="8"/>
  <c r="J325" i="8"/>
  <c r="I325" i="8"/>
  <c r="H325" i="8"/>
  <c r="G325" i="8"/>
  <c r="AL324" i="8"/>
  <c r="AK324" i="8"/>
  <c r="AJ324" i="8"/>
  <c r="AI324" i="8"/>
  <c r="AH324" i="8"/>
  <c r="AG324" i="8"/>
  <c r="AE324" i="8"/>
  <c r="AC324" i="8"/>
  <c r="AB324" i="8"/>
  <c r="AA324" i="8"/>
  <c r="Z324" i="8"/>
  <c r="Y324" i="8"/>
  <c r="X324" i="8"/>
  <c r="W324" i="8"/>
  <c r="V324" i="8"/>
  <c r="U324" i="8"/>
  <c r="T324" i="8"/>
  <c r="S324" i="8"/>
  <c r="R324" i="8"/>
  <c r="P324" i="8"/>
  <c r="K324" i="8"/>
  <c r="J324" i="8"/>
  <c r="I324" i="8"/>
  <c r="H324" i="8"/>
  <c r="G324" i="8"/>
  <c r="AL323" i="8"/>
  <c r="AK323" i="8"/>
  <c r="AI323" i="8"/>
  <c r="AH323" i="8"/>
  <c r="AG323" i="8"/>
  <c r="AF323" i="8"/>
  <c r="AD323" i="8"/>
  <c r="AC323" i="8"/>
  <c r="AB323" i="8"/>
  <c r="AA323" i="8"/>
  <c r="Y323" i="8"/>
  <c r="X323" i="8"/>
  <c r="W323" i="8"/>
  <c r="V323" i="8"/>
  <c r="U323" i="8"/>
  <c r="T323" i="8"/>
  <c r="S323" i="8"/>
  <c r="R323" i="8"/>
  <c r="Q323" i="8"/>
  <c r="P323" i="8"/>
  <c r="K323" i="8"/>
  <c r="J323" i="8"/>
  <c r="I323" i="8"/>
  <c r="H323" i="8"/>
  <c r="G323" i="8"/>
  <c r="AL322" i="8"/>
  <c r="AK322" i="8"/>
  <c r="AI322" i="8"/>
  <c r="AH322" i="8"/>
  <c r="AG322" i="8"/>
  <c r="AE322" i="8"/>
  <c r="AD322" i="8"/>
  <c r="AC322" i="8"/>
  <c r="AB322" i="8"/>
  <c r="AA322" i="8"/>
  <c r="Z322" i="8"/>
  <c r="Y322" i="8"/>
  <c r="X322" i="8"/>
  <c r="W322" i="8"/>
  <c r="V322" i="8"/>
  <c r="U322" i="8"/>
  <c r="T322" i="8"/>
  <c r="R322" i="8"/>
  <c r="Q322" i="8"/>
  <c r="P322" i="8"/>
  <c r="K322" i="8"/>
  <c r="J322" i="8"/>
  <c r="I322" i="8"/>
  <c r="H322" i="8"/>
  <c r="G322" i="8"/>
  <c r="AL321" i="8"/>
  <c r="AK321" i="8"/>
  <c r="AJ321" i="8"/>
  <c r="AI321" i="8"/>
  <c r="AH321" i="8"/>
  <c r="AG321" i="8"/>
  <c r="AF321" i="8"/>
  <c r="AE321" i="8"/>
  <c r="AD321" i="8"/>
  <c r="AC321" i="8"/>
  <c r="AB321" i="8"/>
  <c r="AA321" i="8"/>
  <c r="Y321" i="8"/>
  <c r="W321" i="8"/>
  <c r="V321" i="8"/>
  <c r="T321" i="8"/>
  <c r="S321" i="8"/>
  <c r="R321" i="8"/>
  <c r="Q321" i="8"/>
  <c r="P321" i="8"/>
  <c r="K321" i="8"/>
  <c r="J321" i="8"/>
  <c r="I321" i="8"/>
  <c r="H321" i="8"/>
  <c r="G321" i="8"/>
  <c r="AL320" i="8"/>
  <c r="AJ320" i="8"/>
  <c r="AH320" i="8"/>
  <c r="AG320" i="8"/>
  <c r="AF320" i="8"/>
  <c r="AE320" i="8"/>
  <c r="AD320" i="8"/>
  <c r="AC320" i="8"/>
  <c r="AB320" i="8"/>
  <c r="AA320" i="8"/>
  <c r="Z320" i="8"/>
  <c r="Y320" i="8"/>
  <c r="X320" i="8"/>
  <c r="W320" i="8"/>
  <c r="V320" i="8"/>
  <c r="U320" i="8"/>
  <c r="T320" i="8"/>
  <c r="R320" i="8"/>
  <c r="Q320" i="8"/>
  <c r="P320" i="8"/>
  <c r="K320" i="8"/>
  <c r="J320" i="8"/>
  <c r="I320" i="8"/>
  <c r="H320" i="8"/>
  <c r="G320" i="8"/>
  <c r="AL319" i="8"/>
  <c r="AK319" i="8"/>
  <c r="AJ319" i="8"/>
  <c r="AI319" i="8"/>
  <c r="AG319" i="8"/>
  <c r="AF319" i="8"/>
  <c r="AE319" i="8"/>
  <c r="AD319" i="8"/>
  <c r="AC319" i="8"/>
  <c r="AB319" i="8"/>
  <c r="AA319" i="8"/>
  <c r="Z319" i="8"/>
  <c r="X319" i="8"/>
  <c r="W319" i="8"/>
  <c r="V319" i="8"/>
  <c r="U319" i="8"/>
  <c r="T319" i="8"/>
  <c r="S319" i="8"/>
  <c r="Q319" i="8"/>
  <c r="P319" i="8"/>
  <c r="K319" i="8"/>
  <c r="J319" i="8"/>
  <c r="I319" i="8"/>
  <c r="H319" i="8"/>
  <c r="G319" i="8"/>
  <c r="AL318" i="8"/>
  <c r="AK318" i="8"/>
  <c r="AH318" i="8"/>
  <c r="AG318" i="8"/>
  <c r="AF318" i="8"/>
  <c r="AE318" i="8"/>
  <c r="AD318" i="8"/>
  <c r="AC318" i="8"/>
  <c r="AB318" i="8"/>
  <c r="AA318" i="8"/>
  <c r="Z318" i="8"/>
  <c r="X318" i="8"/>
  <c r="W318" i="8"/>
  <c r="V318" i="8"/>
  <c r="U318" i="8"/>
  <c r="T318" i="8"/>
  <c r="S318" i="8"/>
  <c r="R318" i="8"/>
  <c r="Q318" i="8"/>
  <c r="P318" i="8"/>
  <c r="K318" i="8"/>
  <c r="J318" i="8"/>
  <c r="I318" i="8"/>
  <c r="H318" i="8"/>
  <c r="G318" i="8"/>
  <c r="AL317" i="8"/>
  <c r="AK317" i="8"/>
  <c r="AI317" i="8"/>
  <c r="AH317" i="8"/>
  <c r="AG317" i="8"/>
  <c r="AF317" i="8"/>
  <c r="AE317" i="8"/>
  <c r="AD317" i="8"/>
  <c r="AC317" i="8"/>
  <c r="AB317" i="8"/>
  <c r="AA317" i="8"/>
  <c r="Y317" i="8"/>
  <c r="X317" i="8"/>
  <c r="W317" i="8"/>
  <c r="V317" i="8"/>
  <c r="U317" i="8"/>
  <c r="T317" i="8"/>
  <c r="S317" i="8"/>
  <c r="Q317" i="8"/>
  <c r="P317" i="8"/>
  <c r="K317" i="8"/>
  <c r="J317" i="8"/>
  <c r="I317" i="8"/>
  <c r="H317" i="8"/>
  <c r="G317" i="8"/>
  <c r="AL316" i="8"/>
  <c r="AJ316" i="8"/>
  <c r="AI316" i="8"/>
  <c r="AH316" i="8"/>
  <c r="AG316" i="8"/>
  <c r="AD316" i="8"/>
  <c r="AC316" i="8"/>
  <c r="AB316" i="8"/>
  <c r="AA316" i="8"/>
  <c r="Z316" i="8"/>
  <c r="Y316" i="8"/>
  <c r="X316" i="8"/>
  <c r="W316" i="8"/>
  <c r="V316" i="8"/>
  <c r="U316" i="8"/>
  <c r="T316" i="8"/>
  <c r="S316" i="8"/>
  <c r="R316" i="8"/>
  <c r="Q316" i="8"/>
  <c r="P316" i="8"/>
  <c r="K316" i="8"/>
  <c r="J316" i="8"/>
  <c r="I316" i="8"/>
  <c r="H316" i="8"/>
  <c r="G316" i="8"/>
  <c r="AL315" i="8"/>
  <c r="AK315" i="8"/>
  <c r="AJ315" i="8"/>
  <c r="AI315" i="8"/>
  <c r="AG315" i="8"/>
  <c r="AF315" i="8"/>
  <c r="AE315" i="8"/>
  <c r="AD315" i="8"/>
  <c r="AB315" i="8"/>
  <c r="Z315" i="8"/>
  <c r="Y315" i="8"/>
  <c r="X315" i="8"/>
  <c r="W315" i="8"/>
  <c r="V315" i="8"/>
  <c r="U315" i="8"/>
  <c r="T315" i="8"/>
  <c r="S315" i="8"/>
  <c r="R315" i="8"/>
  <c r="Q315" i="8"/>
  <c r="P315" i="8"/>
  <c r="K315" i="8"/>
  <c r="J315" i="8"/>
  <c r="I315" i="8"/>
  <c r="H315" i="8"/>
  <c r="G315" i="8"/>
  <c r="AL314" i="8"/>
  <c r="AJ314" i="8"/>
  <c r="AI314" i="8"/>
  <c r="AH314" i="8"/>
  <c r="AG314" i="8"/>
  <c r="AF314" i="8"/>
  <c r="AE314" i="8"/>
  <c r="AD314" i="8"/>
  <c r="AC314" i="8"/>
  <c r="AA314" i="8"/>
  <c r="Z314" i="8"/>
  <c r="Y314" i="8"/>
  <c r="X314" i="8"/>
  <c r="W314" i="8"/>
  <c r="U314" i="8"/>
  <c r="T314" i="8"/>
  <c r="S314" i="8"/>
  <c r="R314" i="8"/>
  <c r="Q314" i="8"/>
  <c r="P314" i="8"/>
  <c r="K314" i="8"/>
  <c r="J314" i="8"/>
  <c r="I314" i="8"/>
  <c r="H314" i="8"/>
  <c r="G314" i="8"/>
  <c r="AL313" i="8"/>
  <c r="AK313" i="8"/>
  <c r="AJ313" i="8"/>
  <c r="AI313" i="8"/>
  <c r="AH313" i="8"/>
  <c r="AG313" i="8"/>
  <c r="AF313" i="8"/>
  <c r="AE313" i="8"/>
  <c r="AD313" i="8"/>
  <c r="AC313" i="8"/>
  <c r="AB313" i="8"/>
  <c r="AA313" i="8"/>
  <c r="Z313" i="8"/>
  <c r="X313" i="8"/>
  <c r="W313" i="8"/>
  <c r="V313" i="8"/>
  <c r="U313" i="8"/>
  <c r="T313" i="8"/>
  <c r="R313" i="8"/>
  <c r="Q313" i="8"/>
  <c r="K313" i="8"/>
  <c r="J313" i="8"/>
  <c r="I313" i="8"/>
  <c r="H313" i="8"/>
  <c r="G313" i="8"/>
  <c r="AL312" i="8"/>
  <c r="AK312" i="8"/>
  <c r="AJ312" i="8"/>
  <c r="AI312" i="8"/>
  <c r="AH312" i="8"/>
  <c r="AG312" i="8"/>
  <c r="AF312" i="8"/>
  <c r="AE312" i="8"/>
  <c r="AC312" i="8"/>
  <c r="AB312" i="8"/>
  <c r="AA312" i="8"/>
  <c r="Y312" i="8"/>
  <c r="X312" i="8"/>
  <c r="W312" i="8"/>
  <c r="V312" i="8"/>
  <c r="T312" i="8"/>
  <c r="S312" i="8"/>
  <c r="R312" i="8"/>
  <c r="Q312" i="8"/>
  <c r="P312" i="8"/>
  <c r="K312" i="8"/>
  <c r="J312" i="8"/>
  <c r="I312" i="8"/>
  <c r="H312" i="8"/>
  <c r="G312" i="8"/>
  <c r="AL311" i="8"/>
  <c r="AK311" i="8"/>
  <c r="AJ311" i="8"/>
  <c r="AI311" i="8"/>
  <c r="AH311" i="8"/>
  <c r="AG311" i="8"/>
  <c r="AF311" i="8"/>
  <c r="AE311" i="8"/>
  <c r="AD311" i="8"/>
  <c r="AC311" i="8"/>
  <c r="AB311" i="8"/>
  <c r="AA311" i="8"/>
  <c r="Z311" i="8"/>
  <c r="Y311" i="8"/>
  <c r="X311" i="8"/>
  <c r="V311" i="8"/>
  <c r="T311" i="8"/>
  <c r="S311" i="8"/>
  <c r="Q311" i="8"/>
  <c r="P311" i="8"/>
  <c r="K311" i="8"/>
  <c r="J311" i="8"/>
  <c r="I311" i="8"/>
  <c r="H311" i="8"/>
  <c r="G311" i="8"/>
  <c r="AL310" i="8"/>
  <c r="AK310" i="8"/>
  <c r="AJ310" i="8"/>
  <c r="AI310" i="8"/>
  <c r="AH310" i="8"/>
  <c r="AG310" i="8"/>
  <c r="AF310" i="8"/>
  <c r="AE310" i="8"/>
  <c r="AD310" i="8"/>
  <c r="AC310" i="8"/>
  <c r="AB310" i="8"/>
  <c r="AA310" i="8"/>
  <c r="Z310" i="8"/>
  <c r="X310" i="8"/>
  <c r="W310" i="8"/>
  <c r="T310" i="8"/>
  <c r="S310" i="8"/>
  <c r="R310" i="8"/>
  <c r="Q310" i="8"/>
  <c r="P310" i="8"/>
  <c r="K310" i="8"/>
  <c r="J310" i="8"/>
  <c r="I310" i="8"/>
  <c r="H310" i="8"/>
  <c r="G310" i="8"/>
  <c r="AL309" i="8"/>
  <c r="AK309" i="8"/>
  <c r="AJ309" i="8"/>
  <c r="AI309" i="8"/>
  <c r="AG309" i="8"/>
  <c r="AE309" i="8"/>
  <c r="AD309" i="8"/>
  <c r="AC309" i="8"/>
  <c r="AB309" i="8"/>
  <c r="AA309" i="8"/>
  <c r="Z309" i="8"/>
  <c r="Y309" i="8"/>
  <c r="X309" i="8"/>
  <c r="W309" i="8"/>
  <c r="V309" i="8"/>
  <c r="U309" i="8"/>
  <c r="T309" i="8"/>
  <c r="S309" i="8"/>
  <c r="R309" i="8"/>
  <c r="P309" i="8"/>
  <c r="K309" i="8"/>
  <c r="J309" i="8"/>
  <c r="I309" i="8"/>
  <c r="H309" i="8"/>
  <c r="G309" i="8"/>
  <c r="AK308" i="8"/>
  <c r="AJ308" i="8"/>
  <c r="AI308" i="8"/>
  <c r="AH308" i="8"/>
  <c r="AG308" i="8"/>
  <c r="AF308" i="8"/>
  <c r="AE308" i="8"/>
  <c r="AD308" i="8"/>
  <c r="AC308" i="8"/>
  <c r="Z308" i="8"/>
  <c r="Y308" i="8"/>
  <c r="X308" i="8"/>
  <c r="W308" i="8"/>
  <c r="V308" i="8"/>
  <c r="U308" i="8"/>
  <c r="T308" i="8"/>
  <c r="S308" i="8"/>
  <c r="R308" i="8"/>
  <c r="Q308" i="8"/>
  <c r="P308" i="8"/>
  <c r="K308" i="8"/>
  <c r="J308" i="8"/>
  <c r="I308" i="8"/>
  <c r="H308" i="8"/>
  <c r="G308" i="8"/>
  <c r="AK307" i="8"/>
  <c r="AJ307" i="8"/>
  <c r="AI307" i="8"/>
  <c r="AH307" i="8"/>
  <c r="AG307" i="8"/>
  <c r="AF307" i="8"/>
  <c r="AE307" i="8"/>
  <c r="AD307" i="8"/>
  <c r="AC307" i="8"/>
  <c r="AA307" i="8"/>
  <c r="Z307" i="8"/>
  <c r="Y307" i="8"/>
  <c r="W307" i="8"/>
  <c r="T307" i="8"/>
  <c r="S307" i="8"/>
  <c r="R307" i="8"/>
  <c r="Q307" i="8"/>
  <c r="P307" i="8"/>
  <c r="K307" i="8"/>
  <c r="J307" i="8"/>
  <c r="I307" i="8"/>
  <c r="H307" i="8"/>
  <c r="G307" i="8"/>
  <c r="AK306" i="8"/>
  <c r="AJ306" i="8"/>
  <c r="AH306" i="8"/>
  <c r="AF306" i="8"/>
  <c r="AE306" i="8"/>
  <c r="AC306" i="8"/>
  <c r="AB306" i="8"/>
  <c r="AA306" i="8"/>
  <c r="Z306" i="8"/>
  <c r="Y306" i="8"/>
  <c r="X306" i="8"/>
  <c r="W306" i="8"/>
  <c r="V306" i="8"/>
  <c r="U306" i="8"/>
  <c r="T306" i="8"/>
  <c r="S306" i="8"/>
  <c r="R306" i="8"/>
  <c r="Q306" i="8"/>
  <c r="K306" i="8"/>
  <c r="J306" i="8"/>
  <c r="I306" i="8"/>
  <c r="H306" i="8"/>
  <c r="G306" i="8"/>
  <c r="AL305" i="8"/>
  <c r="AK305" i="8"/>
  <c r="AI305" i="8"/>
  <c r="AH305" i="8"/>
  <c r="AF305" i="8"/>
  <c r="AE305" i="8"/>
  <c r="AD305" i="8"/>
  <c r="AC305" i="8"/>
  <c r="AB305" i="8"/>
  <c r="AA305" i="8"/>
  <c r="Z305" i="8"/>
  <c r="Y305" i="8"/>
  <c r="X305" i="8"/>
  <c r="W305" i="8"/>
  <c r="V305" i="8"/>
  <c r="U305" i="8"/>
  <c r="T305" i="8"/>
  <c r="S305" i="8"/>
  <c r="Q305" i="8"/>
  <c r="P305" i="8"/>
  <c r="K305" i="8"/>
  <c r="J305" i="8"/>
  <c r="I305" i="8"/>
  <c r="H305" i="8"/>
  <c r="G305" i="8"/>
  <c r="AL304" i="8"/>
  <c r="AJ304" i="8"/>
  <c r="AI304" i="8"/>
  <c r="AH304" i="8"/>
  <c r="AF304" i="8"/>
  <c r="AE304" i="8"/>
  <c r="AD304" i="8"/>
  <c r="AB304" i="8"/>
  <c r="AA304" i="8"/>
  <c r="Z304" i="8"/>
  <c r="Y304" i="8"/>
  <c r="X304" i="8"/>
  <c r="W304" i="8"/>
  <c r="V304" i="8"/>
  <c r="U304" i="8"/>
  <c r="T304" i="8"/>
  <c r="S304" i="8"/>
  <c r="Q304" i="8"/>
  <c r="K304" i="8"/>
  <c r="J304" i="8"/>
  <c r="I304" i="8"/>
  <c r="H304" i="8"/>
  <c r="G304" i="8"/>
  <c r="AK303" i="8"/>
  <c r="AJ303" i="8"/>
  <c r="AI303" i="8"/>
  <c r="AH303" i="8"/>
  <c r="AF303" i="8"/>
  <c r="AE303" i="8"/>
  <c r="AD303" i="8"/>
  <c r="AC303" i="8"/>
  <c r="AB303" i="8"/>
  <c r="AA303" i="8"/>
  <c r="Z303" i="8"/>
  <c r="Y303" i="8"/>
  <c r="X303" i="8"/>
  <c r="W303" i="8"/>
  <c r="V303" i="8"/>
  <c r="U303" i="8"/>
  <c r="T303" i="8"/>
  <c r="S303" i="8"/>
  <c r="R303" i="8"/>
  <c r="Q303" i="8"/>
  <c r="K303" i="8"/>
  <c r="J303" i="8"/>
  <c r="I303" i="8"/>
  <c r="H303" i="8"/>
  <c r="G303" i="8"/>
  <c r="AL302" i="8"/>
  <c r="AK302" i="8"/>
  <c r="AJ302" i="8"/>
  <c r="AI302" i="8"/>
  <c r="AG302" i="8"/>
  <c r="AF302" i="8"/>
  <c r="AE302" i="8"/>
  <c r="AD302" i="8"/>
  <c r="AC302" i="8"/>
  <c r="AA302" i="8"/>
  <c r="Y302" i="8"/>
  <c r="X302" i="8"/>
  <c r="W302" i="8"/>
  <c r="V302" i="8"/>
  <c r="U302" i="8"/>
  <c r="T302" i="8"/>
  <c r="S302" i="8"/>
  <c r="R302" i="8"/>
  <c r="Q302" i="8"/>
  <c r="P302" i="8"/>
  <c r="K302" i="8"/>
  <c r="J302" i="8"/>
  <c r="I302" i="8"/>
  <c r="H302" i="8"/>
  <c r="G302" i="8"/>
  <c r="AL301" i="8"/>
  <c r="AK301" i="8"/>
  <c r="AJ301" i="8"/>
  <c r="AI301" i="8"/>
  <c r="AH301" i="8"/>
  <c r="AG301" i="8"/>
  <c r="AE301" i="8"/>
  <c r="AD301" i="8"/>
  <c r="AC301" i="8"/>
  <c r="AA301" i="8"/>
  <c r="Z301" i="8"/>
  <c r="Y301" i="8"/>
  <c r="X301" i="8"/>
  <c r="W301" i="8"/>
  <c r="V301" i="8"/>
  <c r="U301" i="8"/>
  <c r="S301" i="8"/>
  <c r="R301" i="8"/>
  <c r="Q301" i="8"/>
  <c r="P301" i="8"/>
  <c r="K301" i="8"/>
  <c r="J301" i="8"/>
  <c r="I301" i="8"/>
  <c r="H301" i="8"/>
  <c r="G301" i="8"/>
  <c r="AL300" i="8"/>
  <c r="AK300" i="8"/>
  <c r="AJ300" i="8"/>
  <c r="AI300" i="8"/>
  <c r="AG300" i="8"/>
  <c r="AE300" i="8"/>
  <c r="AD300" i="8"/>
  <c r="AC300" i="8"/>
  <c r="AB300" i="8"/>
  <c r="AA300" i="8"/>
  <c r="Z300" i="8"/>
  <c r="Y300" i="8"/>
  <c r="X300" i="8"/>
  <c r="W300" i="8"/>
  <c r="V300" i="8"/>
  <c r="U300" i="8"/>
  <c r="T300" i="8"/>
  <c r="S300" i="8"/>
  <c r="R300" i="8"/>
  <c r="Q300" i="8"/>
  <c r="K300" i="8"/>
  <c r="J300" i="8"/>
  <c r="I300" i="8"/>
  <c r="H300" i="8"/>
  <c r="G300" i="8"/>
  <c r="AL299" i="8"/>
  <c r="AK299" i="8"/>
  <c r="AI299" i="8"/>
  <c r="AH299" i="8"/>
  <c r="AG299" i="8"/>
  <c r="AF299" i="8"/>
  <c r="AE299" i="8"/>
  <c r="AD299" i="8"/>
  <c r="AC299" i="8"/>
  <c r="AA299" i="8"/>
  <c r="Y299" i="8"/>
  <c r="X299" i="8"/>
  <c r="W299" i="8"/>
  <c r="V299" i="8"/>
  <c r="U299" i="8"/>
  <c r="T299" i="8"/>
  <c r="S299" i="8"/>
  <c r="R299" i="8"/>
  <c r="Q299" i="8"/>
  <c r="P299" i="8"/>
  <c r="K299" i="8"/>
  <c r="J299" i="8"/>
  <c r="I299" i="8"/>
  <c r="H299" i="8"/>
  <c r="G299" i="8"/>
  <c r="AL298" i="8"/>
  <c r="AK298" i="8"/>
  <c r="AI298" i="8"/>
  <c r="AH298" i="8"/>
  <c r="AG298" i="8"/>
  <c r="AE298" i="8"/>
  <c r="AD298" i="8"/>
  <c r="AC298" i="8"/>
  <c r="AB298" i="8"/>
  <c r="AA298" i="8"/>
  <c r="Z298" i="8"/>
  <c r="Y298" i="8"/>
  <c r="W298" i="8"/>
  <c r="V298" i="8"/>
  <c r="U298" i="8"/>
  <c r="T298" i="8"/>
  <c r="S298" i="8"/>
  <c r="R298" i="8"/>
  <c r="Q298" i="8"/>
  <c r="P298" i="8"/>
  <c r="K298" i="8"/>
  <c r="J298" i="8"/>
  <c r="I298" i="8"/>
  <c r="H298" i="8"/>
  <c r="G298" i="8"/>
  <c r="AK297" i="8"/>
  <c r="AJ297" i="8"/>
  <c r="AH297" i="8"/>
  <c r="AG297" i="8"/>
  <c r="AF297" i="8"/>
  <c r="AE297" i="8"/>
  <c r="AD297" i="8"/>
  <c r="AC297" i="8"/>
  <c r="AB297" i="8"/>
  <c r="AA297" i="8"/>
  <c r="Z297" i="8"/>
  <c r="Y297" i="8"/>
  <c r="W297" i="8"/>
  <c r="V297" i="8"/>
  <c r="U297" i="8"/>
  <c r="T297" i="8"/>
  <c r="S297" i="8"/>
  <c r="R297" i="8"/>
  <c r="Q297" i="8"/>
  <c r="P297" i="8"/>
  <c r="K297" i="8"/>
  <c r="J297" i="8"/>
  <c r="I297" i="8"/>
  <c r="H297" i="8"/>
  <c r="G297" i="8"/>
  <c r="AL296" i="8"/>
  <c r="AK296" i="8"/>
  <c r="AJ296" i="8"/>
  <c r="AH296" i="8"/>
  <c r="AG296" i="8"/>
  <c r="AE296" i="8"/>
  <c r="AD296" i="8"/>
  <c r="AC296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K296" i="8"/>
  <c r="J296" i="8"/>
  <c r="I296" i="8"/>
  <c r="H296" i="8"/>
  <c r="G296" i="8"/>
  <c r="AK295" i="8"/>
  <c r="AJ295" i="8"/>
  <c r="AI295" i="8"/>
  <c r="AH295" i="8"/>
  <c r="AG295" i="8"/>
  <c r="AF295" i="8"/>
  <c r="AE295" i="8"/>
  <c r="AD295" i="8"/>
  <c r="AC295" i="8"/>
  <c r="AA295" i="8"/>
  <c r="Z295" i="8"/>
  <c r="Y295" i="8"/>
  <c r="X295" i="8"/>
  <c r="W295" i="8"/>
  <c r="V295" i="8"/>
  <c r="U295" i="8"/>
  <c r="T295" i="8"/>
  <c r="S295" i="8"/>
  <c r="Q295" i="8"/>
  <c r="P295" i="8"/>
  <c r="K295" i="8"/>
  <c r="J295" i="8"/>
  <c r="I295" i="8"/>
  <c r="H295" i="8"/>
  <c r="G295" i="8"/>
  <c r="AL294" i="8"/>
  <c r="AJ294" i="8"/>
  <c r="AI294" i="8"/>
  <c r="AG294" i="8"/>
  <c r="AF294" i="8"/>
  <c r="AE294" i="8"/>
  <c r="AD294" i="8"/>
  <c r="AC294" i="8"/>
  <c r="AB294" i="8"/>
  <c r="AA294" i="8"/>
  <c r="Z294" i="8"/>
  <c r="Y294" i="8"/>
  <c r="X294" i="8"/>
  <c r="W294" i="8"/>
  <c r="V294" i="8"/>
  <c r="U294" i="8"/>
  <c r="T294" i="8"/>
  <c r="S294" i="8"/>
  <c r="Q294" i="8"/>
  <c r="P294" i="8"/>
  <c r="K294" i="8"/>
  <c r="J294" i="8"/>
  <c r="I294" i="8"/>
  <c r="H294" i="8"/>
  <c r="G294" i="8"/>
  <c r="AL293" i="8"/>
  <c r="AK293" i="8"/>
  <c r="AI293" i="8"/>
  <c r="AH293" i="8"/>
  <c r="AG293" i="8"/>
  <c r="AF293" i="8"/>
  <c r="AE293" i="8"/>
  <c r="AD293" i="8"/>
  <c r="AC293" i="8"/>
  <c r="AB293" i="8"/>
  <c r="AA293" i="8"/>
  <c r="Z293" i="8"/>
  <c r="Y293" i="8"/>
  <c r="W293" i="8"/>
  <c r="U293" i="8"/>
  <c r="T293" i="8"/>
  <c r="S293" i="8"/>
  <c r="R293" i="8"/>
  <c r="Q293" i="8"/>
  <c r="P293" i="8"/>
  <c r="K293" i="8"/>
  <c r="J293" i="8"/>
  <c r="I293" i="8"/>
  <c r="H293" i="8"/>
  <c r="G293" i="8"/>
  <c r="AL292" i="8"/>
  <c r="AK292" i="8"/>
  <c r="AJ292" i="8"/>
  <c r="AI292" i="8"/>
  <c r="AH292" i="8"/>
  <c r="AG292" i="8"/>
  <c r="AF292" i="8"/>
  <c r="AE292" i="8"/>
  <c r="AC292" i="8"/>
  <c r="AB292" i="8"/>
  <c r="AA292" i="8"/>
  <c r="Y292" i="8"/>
  <c r="V292" i="8"/>
  <c r="T292" i="8"/>
  <c r="S292" i="8"/>
  <c r="R292" i="8"/>
  <c r="Q292" i="8"/>
  <c r="P292" i="8"/>
  <c r="K292" i="8"/>
  <c r="J292" i="8"/>
  <c r="I292" i="8"/>
  <c r="H292" i="8"/>
  <c r="G292" i="8"/>
  <c r="AL291" i="8"/>
  <c r="AK291" i="8"/>
  <c r="AI291" i="8"/>
  <c r="AH291" i="8"/>
  <c r="AF291" i="8"/>
  <c r="AE291" i="8"/>
  <c r="AD291" i="8"/>
  <c r="AC291" i="8"/>
  <c r="AB291" i="8"/>
  <c r="AA291" i="8"/>
  <c r="Z291" i="8"/>
  <c r="Y291" i="8"/>
  <c r="X291" i="8"/>
  <c r="W291" i="8"/>
  <c r="V291" i="8"/>
  <c r="U291" i="8"/>
  <c r="T291" i="8"/>
  <c r="S291" i="8"/>
  <c r="Q291" i="8"/>
  <c r="P291" i="8"/>
  <c r="K291" i="8"/>
  <c r="J291" i="8"/>
  <c r="I291" i="8"/>
  <c r="H291" i="8"/>
  <c r="G291" i="8"/>
  <c r="AL290" i="8"/>
  <c r="AJ290" i="8"/>
  <c r="AI290" i="8"/>
  <c r="AH290" i="8"/>
  <c r="AG290" i="8"/>
  <c r="AF290" i="8"/>
  <c r="AE290" i="8"/>
  <c r="AD290" i="8"/>
  <c r="AC290" i="8"/>
  <c r="AB290" i="8"/>
  <c r="AA290" i="8"/>
  <c r="Z290" i="8"/>
  <c r="Y290" i="8"/>
  <c r="W290" i="8"/>
  <c r="V290" i="8"/>
  <c r="U290" i="8"/>
  <c r="S290" i="8"/>
  <c r="R290" i="8"/>
  <c r="Q290" i="8"/>
  <c r="P290" i="8"/>
  <c r="K290" i="8"/>
  <c r="J290" i="8"/>
  <c r="I290" i="8"/>
  <c r="H290" i="8"/>
  <c r="G290" i="8"/>
  <c r="AL289" i="8"/>
  <c r="AJ289" i="8"/>
  <c r="AI289" i="8"/>
  <c r="AH289" i="8"/>
  <c r="AG289" i="8"/>
  <c r="AE289" i="8"/>
  <c r="AC289" i="8"/>
  <c r="Z289" i="8"/>
  <c r="Y289" i="8"/>
  <c r="X289" i="8"/>
  <c r="W289" i="8"/>
  <c r="V289" i="8"/>
  <c r="U289" i="8"/>
  <c r="T289" i="8"/>
  <c r="S289" i="8"/>
  <c r="R289" i="8"/>
  <c r="Q289" i="8"/>
  <c r="P289" i="8"/>
  <c r="K289" i="8"/>
  <c r="J289" i="8"/>
  <c r="I289" i="8"/>
  <c r="H289" i="8"/>
  <c r="G289" i="8"/>
  <c r="AL288" i="8"/>
  <c r="AK288" i="8"/>
  <c r="AJ288" i="8"/>
  <c r="AI288" i="8"/>
  <c r="AG288" i="8"/>
  <c r="AF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K288" i="8"/>
  <c r="J288" i="8"/>
  <c r="I288" i="8"/>
  <c r="H288" i="8"/>
  <c r="G288" i="8"/>
  <c r="AL287" i="8"/>
  <c r="AK287" i="8"/>
  <c r="AJ287" i="8"/>
  <c r="AI287" i="8"/>
  <c r="AG287" i="8"/>
  <c r="AF287" i="8"/>
  <c r="AE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K287" i="8"/>
  <c r="J287" i="8"/>
  <c r="I287" i="8"/>
  <c r="H287" i="8"/>
  <c r="G287" i="8"/>
  <c r="AJ286" i="8"/>
  <c r="AI286" i="8"/>
  <c r="AH286" i="8"/>
  <c r="AG286" i="8"/>
  <c r="AF286" i="8"/>
  <c r="AE286" i="8"/>
  <c r="AD286" i="8"/>
  <c r="AB286" i="8"/>
  <c r="Z286" i="8"/>
  <c r="Y286" i="8"/>
  <c r="X286" i="8"/>
  <c r="W286" i="8"/>
  <c r="V286" i="8"/>
  <c r="U286" i="8"/>
  <c r="T286" i="8"/>
  <c r="R286" i="8"/>
  <c r="Q286" i="8"/>
  <c r="P286" i="8"/>
  <c r="K286" i="8"/>
  <c r="J286" i="8"/>
  <c r="I286" i="8"/>
  <c r="H286" i="8"/>
  <c r="G286" i="8"/>
  <c r="AL285" i="8"/>
  <c r="AJ285" i="8"/>
  <c r="AH285" i="8"/>
  <c r="AG285" i="8"/>
  <c r="AF285" i="8"/>
  <c r="AE285" i="8"/>
  <c r="AD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K285" i="8"/>
  <c r="J285" i="8"/>
  <c r="I285" i="8"/>
  <c r="H285" i="8"/>
  <c r="G285" i="8"/>
  <c r="AL284" i="8"/>
  <c r="AK284" i="8"/>
  <c r="AJ284" i="8"/>
  <c r="AI284" i="8"/>
  <c r="AH284" i="8"/>
  <c r="AF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K284" i="8"/>
  <c r="J284" i="8"/>
  <c r="I284" i="8"/>
  <c r="H284" i="8"/>
  <c r="G284" i="8"/>
  <c r="AL283" i="8"/>
  <c r="AJ283" i="8"/>
  <c r="AI283" i="8"/>
  <c r="AH283" i="8"/>
  <c r="AG283" i="8"/>
  <c r="AE283" i="8"/>
  <c r="AD283" i="8"/>
  <c r="AB283" i="8"/>
  <c r="AA283" i="8"/>
  <c r="Z283" i="8"/>
  <c r="Y283" i="8"/>
  <c r="X283" i="8"/>
  <c r="W283" i="8"/>
  <c r="V283" i="8"/>
  <c r="U283" i="8"/>
  <c r="T283" i="8"/>
  <c r="S283" i="8"/>
  <c r="Q283" i="8"/>
  <c r="K283" i="8"/>
  <c r="J283" i="8"/>
  <c r="I283" i="8"/>
  <c r="H283" i="8"/>
  <c r="G283" i="8"/>
  <c r="AK282" i="8"/>
  <c r="AJ282" i="8"/>
  <c r="AI282" i="8"/>
  <c r="AH282" i="8"/>
  <c r="AG282" i="8"/>
  <c r="AF282" i="8"/>
  <c r="AE282" i="8"/>
  <c r="AC282" i="8"/>
  <c r="AB282" i="8"/>
  <c r="AA282" i="8"/>
  <c r="Z282" i="8"/>
  <c r="Y282" i="8"/>
  <c r="V282" i="8"/>
  <c r="U282" i="8"/>
  <c r="T282" i="8"/>
  <c r="S282" i="8"/>
  <c r="R282" i="8"/>
  <c r="Q282" i="8"/>
  <c r="K282" i="8"/>
  <c r="J282" i="8"/>
  <c r="I282" i="8"/>
  <c r="H282" i="8"/>
  <c r="G282" i="8"/>
  <c r="AL281" i="8"/>
  <c r="AK281" i="8"/>
  <c r="AJ281" i="8"/>
  <c r="AI281" i="8"/>
  <c r="AH281" i="8"/>
  <c r="AG281" i="8"/>
  <c r="AE281" i="8"/>
  <c r="AD281" i="8"/>
  <c r="AC281" i="8"/>
  <c r="AB281" i="8"/>
  <c r="AA281" i="8"/>
  <c r="Z281" i="8"/>
  <c r="X281" i="8"/>
  <c r="W281" i="8"/>
  <c r="V281" i="8"/>
  <c r="T281" i="8"/>
  <c r="S281" i="8"/>
  <c r="R281" i="8"/>
  <c r="Q281" i="8"/>
  <c r="P281" i="8"/>
  <c r="K281" i="8"/>
  <c r="J281" i="8"/>
  <c r="I281" i="8"/>
  <c r="H281" i="8"/>
  <c r="G281" i="8"/>
  <c r="AL280" i="8"/>
  <c r="AK280" i="8"/>
  <c r="AI280" i="8"/>
  <c r="AH280" i="8"/>
  <c r="AF280" i="8"/>
  <c r="AE280" i="8"/>
  <c r="AD280" i="8"/>
  <c r="AC280" i="8"/>
  <c r="AB280" i="8"/>
  <c r="AA280" i="8"/>
  <c r="Z280" i="8"/>
  <c r="Y280" i="8"/>
  <c r="X280" i="8"/>
  <c r="W280" i="8"/>
  <c r="U280" i="8"/>
  <c r="T280" i="8"/>
  <c r="S280" i="8"/>
  <c r="R280" i="8"/>
  <c r="Q280" i="8"/>
  <c r="P280" i="8"/>
  <c r="K280" i="8"/>
  <c r="J280" i="8"/>
  <c r="I280" i="8"/>
  <c r="H280" i="8"/>
  <c r="G280" i="8"/>
  <c r="AL279" i="8"/>
  <c r="AJ279" i="8"/>
  <c r="AI279" i="8"/>
  <c r="AH279" i="8"/>
  <c r="AG279" i="8"/>
  <c r="AD279" i="8"/>
  <c r="AC279" i="8"/>
  <c r="AB279" i="8"/>
  <c r="AA279" i="8"/>
  <c r="Z279" i="8"/>
  <c r="Y279" i="8"/>
  <c r="X279" i="8"/>
  <c r="W279" i="8"/>
  <c r="V279" i="8"/>
  <c r="U279" i="8"/>
  <c r="T279" i="8"/>
  <c r="R279" i="8"/>
  <c r="Q279" i="8"/>
  <c r="K279" i="8"/>
  <c r="J279" i="8"/>
  <c r="I279" i="8"/>
  <c r="H279" i="8"/>
  <c r="G279" i="8"/>
  <c r="AL278" i="8"/>
  <c r="AK278" i="8"/>
  <c r="AJ278" i="8"/>
  <c r="AI278" i="8"/>
  <c r="AG278" i="8"/>
  <c r="AF278" i="8"/>
  <c r="AD278" i="8"/>
  <c r="AB278" i="8"/>
  <c r="AA278" i="8"/>
  <c r="Z278" i="8"/>
  <c r="Y278" i="8"/>
  <c r="W278" i="8"/>
  <c r="V278" i="8"/>
  <c r="U278" i="8"/>
  <c r="T278" i="8"/>
  <c r="S278" i="8"/>
  <c r="R278" i="8"/>
  <c r="Q278" i="8"/>
  <c r="K278" i="8"/>
  <c r="J278" i="8"/>
  <c r="I278" i="8"/>
  <c r="H278" i="8"/>
  <c r="G278" i="8"/>
  <c r="AL277" i="8"/>
  <c r="AK277" i="8"/>
  <c r="AJ277" i="8"/>
  <c r="AI277" i="8"/>
  <c r="AG277" i="8"/>
  <c r="AF277" i="8"/>
  <c r="AE277" i="8"/>
  <c r="AD277" i="8"/>
  <c r="AC277" i="8"/>
  <c r="AB277" i="8"/>
  <c r="AA277" i="8"/>
  <c r="Z277" i="8"/>
  <c r="Y277" i="8"/>
  <c r="X277" i="8"/>
  <c r="V277" i="8"/>
  <c r="U277" i="8"/>
  <c r="T277" i="8"/>
  <c r="S277" i="8"/>
  <c r="R277" i="8"/>
  <c r="Q277" i="8"/>
  <c r="K277" i="8"/>
  <c r="J277" i="8"/>
  <c r="I277" i="8"/>
  <c r="H277" i="8"/>
  <c r="G277" i="8"/>
  <c r="AK276" i="8"/>
  <c r="AJ276" i="8"/>
  <c r="AI276" i="8"/>
  <c r="AG276" i="8"/>
  <c r="AF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K276" i="8"/>
  <c r="J276" i="8"/>
  <c r="I276" i="8"/>
  <c r="H276" i="8"/>
  <c r="G276" i="8"/>
  <c r="AL275" i="8"/>
  <c r="AK275" i="8"/>
  <c r="AJ275" i="8"/>
  <c r="AI275" i="8"/>
  <c r="AH275" i="8"/>
  <c r="AG275" i="8"/>
  <c r="AE275" i="8"/>
  <c r="AD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K275" i="8"/>
  <c r="J275" i="8"/>
  <c r="I275" i="8"/>
  <c r="H275" i="8"/>
  <c r="G275" i="8"/>
  <c r="AL274" i="8"/>
  <c r="AK274" i="8"/>
  <c r="AJ274" i="8"/>
  <c r="AI274" i="8"/>
  <c r="AH274" i="8"/>
  <c r="AG274" i="8"/>
  <c r="AE274" i="8"/>
  <c r="AD274" i="8"/>
  <c r="AC274" i="8"/>
  <c r="AB274" i="8"/>
  <c r="AA274" i="8"/>
  <c r="Y274" i="8"/>
  <c r="X274" i="8"/>
  <c r="W274" i="8"/>
  <c r="U274" i="8"/>
  <c r="T274" i="8"/>
  <c r="S274" i="8"/>
  <c r="R274" i="8"/>
  <c r="Q274" i="8"/>
  <c r="P274" i="8"/>
  <c r="K274" i="8"/>
  <c r="J274" i="8"/>
  <c r="I274" i="8"/>
  <c r="H274" i="8"/>
  <c r="G274" i="8"/>
  <c r="AK273" i="8"/>
  <c r="AJ273" i="8"/>
  <c r="AI273" i="8"/>
  <c r="AH273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R273" i="8"/>
  <c r="Q273" i="8"/>
  <c r="P273" i="8"/>
  <c r="K273" i="8"/>
  <c r="J273" i="8"/>
  <c r="I273" i="8"/>
  <c r="H273" i="8"/>
  <c r="G273" i="8"/>
  <c r="AK272" i="8"/>
  <c r="AJ272" i="8"/>
  <c r="AI272" i="8"/>
  <c r="AG272" i="8"/>
  <c r="AF272" i="8"/>
  <c r="AE272" i="8"/>
  <c r="AD272" i="8"/>
  <c r="AC272" i="8"/>
  <c r="AA272" i="8"/>
  <c r="Z272" i="8"/>
  <c r="Y272" i="8"/>
  <c r="X272" i="8"/>
  <c r="V272" i="8"/>
  <c r="U272" i="8"/>
  <c r="T272" i="8"/>
  <c r="S272" i="8"/>
  <c r="Q272" i="8"/>
  <c r="P272" i="8"/>
  <c r="K272" i="8"/>
  <c r="J272" i="8"/>
  <c r="I272" i="8"/>
  <c r="H272" i="8"/>
  <c r="G272" i="8"/>
  <c r="AK271" i="8"/>
  <c r="AJ271" i="8"/>
  <c r="AI271" i="8"/>
  <c r="AG271" i="8"/>
  <c r="AF271" i="8"/>
  <c r="AE271" i="8"/>
  <c r="AD271" i="8"/>
  <c r="AC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K271" i="8"/>
  <c r="J271" i="8"/>
  <c r="I271" i="8"/>
  <c r="H271" i="8"/>
  <c r="G271" i="8"/>
  <c r="AL270" i="8"/>
  <c r="AK270" i="8"/>
  <c r="AI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R270" i="8"/>
  <c r="Q270" i="8"/>
  <c r="P270" i="8"/>
  <c r="K270" i="8"/>
  <c r="J270" i="8"/>
  <c r="I270" i="8"/>
  <c r="H270" i="8"/>
  <c r="G270" i="8"/>
  <c r="AK269" i="8"/>
  <c r="AJ269" i="8"/>
  <c r="AI269" i="8"/>
  <c r="AG269" i="8"/>
  <c r="AF269" i="8"/>
  <c r="AE269" i="8"/>
  <c r="AD269" i="8"/>
  <c r="AC269" i="8"/>
  <c r="AA269" i="8"/>
  <c r="Z269" i="8"/>
  <c r="Y269" i="8"/>
  <c r="X269" i="8"/>
  <c r="W269" i="8"/>
  <c r="U269" i="8"/>
  <c r="S269" i="8"/>
  <c r="R269" i="8"/>
  <c r="Q269" i="8"/>
  <c r="P269" i="8"/>
  <c r="K269" i="8"/>
  <c r="J269" i="8"/>
  <c r="I269" i="8"/>
  <c r="H269" i="8"/>
  <c r="G269" i="8"/>
  <c r="AL268" i="8"/>
  <c r="AJ268" i="8"/>
  <c r="AI268" i="8"/>
  <c r="AH268" i="8"/>
  <c r="AG268" i="8"/>
  <c r="AF268" i="8"/>
  <c r="AE268" i="8"/>
  <c r="AD268" i="8"/>
  <c r="AC268" i="8"/>
  <c r="AA268" i="8"/>
  <c r="Z268" i="8"/>
  <c r="Y268" i="8"/>
  <c r="X268" i="8"/>
  <c r="V268" i="8"/>
  <c r="U268" i="8"/>
  <c r="T268" i="8"/>
  <c r="S268" i="8"/>
  <c r="Q268" i="8"/>
  <c r="K268" i="8"/>
  <c r="J268" i="8"/>
  <c r="I268" i="8"/>
  <c r="H268" i="8"/>
  <c r="G268" i="8"/>
  <c r="AL267" i="8"/>
  <c r="AI267" i="8"/>
  <c r="AH267" i="8"/>
  <c r="AG267" i="8"/>
  <c r="AF267" i="8"/>
  <c r="AE267" i="8"/>
  <c r="AD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K267" i="8"/>
  <c r="J267" i="8"/>
  <c r="I267" i="8"/>
  <c r="H267" i="8"/>
  <c r="G267" i="8"/>
  <c r="AL266" i="8"/>
  <c r="AJ266" i="8"/>
  <c r="AI266" i="8"/>
  <c r="AH266" i="8"/>
  <c r="AG266" i="8"/>
  <c r="AE266" i="8"/>
  <c r="AD266" i="8"/>
  <c r="AC266" i="8"/>
  <c r="AA266" i="8"/>
  <c r="Z266" i="8"/>
  <c r="Y266" i="8"/>
  <c r="X266" i="8"/>
  <c r="W266" i="8"/>
  <c r="V266" i="8"/>
  <c r="U266" i="8"/>
  <c r="T266" i="8"/>
  <c r="R266" i="8"/>
  <c r="Q266" i="8"/>
  <c r="K266" i="8"/>
  <c r="J266" i="8"/>
  <c r="I266" i="8"/>
  <c r="H266" i="8"/>
  <c r="G266" i="8"/>
  <c r="AL265" i="8"/>
  <c r="AK265" i="8"/>
  <c r="AJ265" i="8"/>
  <c r="AI265" i="8"/>
  <c r="AG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K265" i="8"/>
  <c r="J265" i="8"/>
  <c r="I265" i="8"/>
  <c r="H265" i="8"/>
  <c r="G265" i="8"/>
  <c r="AL264" i="8"/>
  <c r="AJ264" i="8"/>
  <c r="AI264" i="8"/>
  <c r="AH264" i="8"/>
  <c r="AG264" i="8"/>
  <c r="AE264" i="8"/>
  <c r="AD264" i="8"/>
  <c r="AC264" i="8"/>
  <c r="AB264" i="8"/>
  <c r="AA264" i="8"/>
  <c r="Z264" i="8"/>
  <c r="Y264" i="8"/>
  <c r="W264" i="8"/>
  <c r="V264" i="8"/>
  <c r="U264" i="8"/>
  <c r="T264" i="8"/>
  <c r="R264" i="8"/>
  <c r="Q264" i="8"/>
  <c r="K264" i="8"/>
  <c r="J264" i="8"/>
  <c r="I264" i="8"/>
  <c r="H264" i="8"/>
  <c r="G264" i="8"/>
  <c r="AK263" i="8"/>
  <c r="AJ263" i="8"/>
  <c r="AI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K263" i="8"/>
  <c r="J263" i="8"/>
  <c r="I263" i="8"/>
  <c r="H263" i="8"/>
  <c r="G263" i="8"/>
  <c r="AL262" i="8"/>
  <c r="AK262" i="8"/>
  <c r="AJ262" i="8"/>
  <c r="AI262" i="8"/>
  <c r="AG262" i="8"/>
  <c r="AF262" i="8"/>
  <c r="AE262" i="8"/>
  <c r="AD262" i="8"/>
  <c r="AC262" i="8"/>
  <c r="AB262" i="8"/>
  <c r="AA262" i="8"/>
  <c r="Z262" i="8"/>
  <c r="X262" i="8"/>
  <c r="W262" i="8"/>
  <c r="V262" i="8"/>
  <c r="U262" i="8"/>
  <c r="T262" i="8"/>
  <c r="S262" i="8"/>
  <c r="R262" i="8"/>
  <c r="Q262" i="8"/>
  <c r="K262" i="8"/>
  <c r="J262" i="8"/>
  <c r="I262" i="8"/>
  <c r="H262" i="8"/>
  <c r="G262" i="8"/>
  <c r="AL261" i="8"/>
  <c r="AK261" i="8"/>
  <c r="AI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K261" i="8"/>
  <c r="J261" i="8"/>
  <c r="I261" i="8"/>
  <c r="H261" i="8"/>
  <c r="G261" i="8"/>
  <c r="AL260" i="8"/>
  <c r="AK260" i="8"/>
  <c r="AJ260" i="8"/>
  <c r="AI260" i="8"/>
  <c r="AH260" i="8"/>
  <c r="AG260" i="8"/>
  <c r="AF260" i="8"/>
  <c r="AE260" i="8"/>
  <c r="AD260" i="8"/>
  <c r="AC260" i="8"/>
  <c r="AB260" i="8"/>
  <c r="AA260" i="8"/>
  <c r="Z260" i="8"/>
  <c r="X260" i="8"/>
  <c r="V260" i="8"/>
  <c r="U260" i="8"/>
  <c r="S260" i="8"/>
  <c r="Q260" i="8"/>
  <c r="K260" i="8"/>
  <c r="J260" i="8"/>
  <c r="I260" i="8"/>
  <c r="H260" i="8"/>
  <c r="G260" i="8"/>
  <c r="AL259" i="8"/>
  <c r="AK259" i="8"/>
  <c r="AJ259" i="8"/>
  <c r="AI259" i="8"/>
  <c r="AH259" i="8"/>
  <c r="AG259" i="8"/>
  <c r="AF259" i="8"/>
  <c r="AD259" i="8"/>
  <c r="AB259" i="8"/>
  <c r="AA259" i="8"/>
  <c r="Z259" i="8"/>
  <c r="Y259" i="8"/>
  <c r="X259" i="8"/>
  <c r="W259" i="8"/>
  <c r="U259" i="8"/>
  <c r="T259" i="8"/>
  <c r="S259" i="8"/>
  <c r="R259" i="8"/>
  <c r="Q259" i="8"/>
  <c r="P259" i="8"/>
  <c r="K259" i="8"/>
  <c r="J259" i="8"/>
  <c r="I259" i="8"/>
  <c r="H259" i="8"/>
  <c r="G259" i="8"/>
  <c r="AL258" i="8"/>
  <c r="AK258" i="8"/>
  <c r="AJ258" i="8"/>
  <c r="AI258" i="8"/>
  <c r="AH258" i="8"/>
  <c r="AG258" i="8"/>
  <c r="AF258" i="8"/>
  <c r="AE258" i="8"/>
  <c r="AC258" i="8"/>
  <c r="AB258" i="8"/>
  <c r="AA258" i="8"/>
  <c r="Z258" i="8"/>
  <c r="Y258" i="8"/>
  <c r="X258" i="8"/>
  <c r="W258" i="8"/>
  <c r="T258" i="8"/>
  <c r="S258" i="8"/>
  <c r="R258" i="8"/>
  <c r="Q258" i="8"/>
  <c r="P258" i="8"/>
  <c r="K258" i="8"/>
  <c r="J258" i="8"/>
  <c r="I258" i="8"/>
  <c r="H258" i="8"/>
  <c r="G258" i="8"/>
  <c r="AL257" i="8"/>
  <c r="AK257" i="8"/>
  <c r="AJ257" i="8"/>
  <c r="AI257" i="8"/>
  <c r="AH257" i="8"/>
  <c r="AG257" i="8"/>
  <c r="AE257" i="8"/>
  <c r="AB257" i="8"/>
  <c r="AA257" i="8"/>
  <c r="Z257" i="8"/>
  <c r="Y257" i="8"/>
  <c r="X257" i="8"/>
  <c r="W257" i="8"/>
  <c r="V257" i="8"/>
  <c r="U257" i="8"/>
  <c r="T257" i="8"/>
  <c r="S257" i="8"/>
  <c r="Q257" i="8"/>
  <c r="K257" i="8"/>
  <c r="J257" i="8"/>
  <c r="I257" i="8"/>
  <c r="H257" i="8"/>
  <c r="G257" i="8"/>
  <c r="AL256" i="8"/>
  <c r="AK256" i="8"/>
  <c r="AJ256" i="8"/>
  <c r="AI256" i="8"/>
  <c r="AH256" i="8"/>
  <c r="AG256" i="8"/>
  <c r="AF256" i="8"/>
  <c r="AE256" i="8"/>
  <c r="AD256" i="8"/>
  <c r="AC256" i="8"/>
  <c r="AA256" i="8"/>
  <c r="Y256" i="8"/>
  <c r="X256" i="8"/>
  <c r="W256" i="8"/>
  <c r="V256" i="8"/>
  <c r="U256" i="8"/>
  <c r="S256" i="8"/>
  <c r="R256" i="8"/>
  <c r="Q256" i="8"/>
  <c r="P256" i="8"/>
  <c r="K256" i="8"/>
  <c r="J256" i="8"/>
  <c r="I256" i="8"/>
  <c r="H256" i="8"/>
  <c r="G256" i="8"/>
  <c r="AL255" i="8"/>
  <c r="AJ255" i="8"/>
  <c r="AI255" i="8"/>
  <c r="AH255" i="8"/>
  <c r="AG255" i="8"/>
  <c r="AF255" i="8"/>
  <c r="AE255" i="8"/>
  <c r="AD255" i="8"/>
  <c r="AC255" i="8"/>
  <c r="AA255" i="8"/>
  <c r="Z255" i="8"/>
  <c r="Y255" i="8"/>
  <c r="X255" i="8"/>
  <c r="W255" i="8"/>
  <c r="V255" i="8"/>
  <c r="U255" i="8"/>
  <c r="T255" i="8"/>
  <c r="S255" i="8"/>
  <c r="Q255" i="8"/>
  <c r="P255" i="8"/>
  <c r="K255" i="8"/>
  <c r="J255" i="8"/>
  <c r="I255" i="8"/>
  <c r="H255" i="8"/>
  <c r="G255" i="8"/>
  <c r="AL254" i="8"/>
  <c r="AK254" i="8"/>
  <c r="AJ254" i="8"/>
  <c r="AI254" i="8"/>
  <c r="AH254" i="8"/>
  <c r="AG254" i="8"/>
  <c r="AF254" i="8"/>
  <c r="AE254" i="8"/>
  <c r="AD254" i="8"/>
  <c r="AC254" i="8"/>
  <c r="AB254" i="8"/>
  <c r="AA254" i="8"/>
  <c r="Y254" i="8"/>
  <c r="W254" i="8"/>
  <c r="U254" i="8"/>
  <c r="T254" i="8"/>
  <c r="S254" i="8"/>
  <c r="R254" i="8"/>
  <c r="Q254" i="8"/>
  <c r="P254" i="8"/>
  <c r="K254" i="8"/>
  <c r="J254" i="8"/>
  <c r="I254" i="8"/>
  <c r="H254" i="8"/>
  <c r="G254" i="8"/>
  <c r="AL253" i="8"/>
  <c r="AJ253" i="8"/>
  <c r="AI253" i="8"/>
  <c r="AH253" i="8"/>
  <c r="AG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R253" i="8"/>
  <c r="Q253" i="8"/>
  <c r="P253" i="8"/>
  <c r="K253" i="8"/>
  <c r="J253" i="8"/>
  <c r="I253" i="8"/>
  <c r="H253" i="8"/>
  <c r="G253" i="8"/>
  <c r="AL252" i="8"/>
  <c r="AK252" i="8"/>
  <c r="AJ252" i="8"/>
  <c r="AI252" i="8"/>
  <c r="AH252" i="8"/>
  <c r="AG252" i="8"/>
  <c r="AF252" i="8"/>
  <c r="AE252" i="8"/>
  <c r="AC252" i="8"/>
  <c r="AB252" i="8"/>
  <c r="AA252" i="8"/>
  <c r="Y252" i="8"/>
  <c r="X252" i="8"/>
  <c r="W252" i="8"/>
  <c r="V252" i="8"/>
  <c r="U252" i="8"/>
  <c r="T252" i="8"/>
  <c r="S252" i="8"/>
  <c r="R252" i="8"/>
  <c r="P252" i="8"/>
  <c r="K252" i="8"/>
  <c r="J252" i="8"/>
  <c r="I252" i="8"/>
  <c r="H252" i="8"/>
  <c r="G252" i="8"/>
  <c r="AL251" i="8"/>
  <c r="AJ251" i="8"/>
  <c r="AI251" i="8"/>
  <c r="AH251" i="8"/>
  <c r="AG251" i="8"/>
  <c r="AF251" i="8"/>
  <c r="AE251" i="8"/>
  <c r="AD251" i="8"/>
  <c r="AC251" i="8"/>
  <c r="AA251" i="8"/>
  <c r="Z251" i="8"/>
  <c r="Y251" i="8"/>
  <c r="X251" i="8"/>
  <c r="V251" i="8"/>
  <c r="U251" i="8"/>
  <c r="T251" i="8"/>
  <c r="S251" i="8"/>
  <c r="R251" i="8"/>
  <c r="Q251" i="8"/>
  <c r="P251" i="8"/>
  <c r="K251" i="8"/>
  <c r="J251" i="8"/>
  <c r="I251" i="8"/>
  <c r="H251" i="8"/>
  <c r="G251" i="8"/>
  <c r="AK250" i="8"/>
  <c r="AJ250" i="8"/>
  <c r="AI250" i="8"/>
  <c r="AH250" i="8"/>
  <c r="AG250" i="8"/>
  <c r="AF250" i="8"/>
  <c r="AE250" i="8"/>
  <c r="AD250" i="8"/>
  <c r="AC250" i="8"/>
  <c r="AB250" i="8"/>
  <c r="AA250" i="8"/>
  <c r="Z250" i="8"/>
  <c r="Y250" i="8"/>
  <c r="X250" i="8"/>
  <c r="W250" i="8"/>
  <c r="V250" i="8"/>
  <c r="U250" i="8"/>
  <c r="S250" i="8"/>
  <c r="R250" i="8"/>
  <c r="Q250" i="8"/>
  <c r="K250" i="8"/>
  <c r="J250" i="8"/>
  <c r="I250" i="8"/>
  <c r="H250" i="8"/>
  <c r="G250" i="8"/>
  <c r="AL249" i="8"/>
  <c r="AK249" i="8"/>
  <c r="AJ249" i="8"/>
  <c r="AH249" i="8"/>
  <c r="AF249" i="8"/>
  <c r="AE249" i="8"/>
  <c r="AD249" i="8"/>
  <c r="AC249" i="8"/>
  <c r="AB249" i="8"/>
  <c r="AA249" i="8"/>
  <c r="Z249" i="8"/>
  <c r="Y249" i="8"/>
  <c r="X249" i="8"/>
  <c r="W249" i="8"/>
  <c r="U249" i="8"/>
  <c r="T249" i="8"/>
  <c r="S249" i="8"/>
  <c r="R249" i="8"/>
  <c r="Q249" i="8"/>
  <c r="P249" i="8"/>
  <c r="K249" i="8"/>
  <c r="J249" i="8"/>
  <c r="I249" i="8"/>
  <c r="H249" i="8"/>
  <c r="G249" i="8"/>
  <c r="AL248" i="8"/>
  <c r="AK248" i="8"/>
  <c r="AJ248" i="8"/>
  <c r="AI248" i="8"/>
  <c r="AH248" i="8"/>
  <c r="AG248" i="8"/>
  <c r="AF248" i="8"/>
  <c r="AE248" i="8"/>
  <c r="AD248" i="8"/>
  <c r="AC248" i="8"/>
  <c r="AB248" i="8"/>
  <c r="AA248" i="8"/>
  <c r="Y248" i="8"/>
  <c r="W248" i="8"/>
  <c r="V248" i="8"/>
  <c r="U248" i="8"/>
  <c r="S248" i="8"/>
  <c r="R248" i="8"/>
  <c r="Q248" i="8"/>
  <c r="P248" i="8"/>
  <c r="K248" i="8"/>
  <c r="J248" i="8"/>
  <c r="I248" i="8"/>
  <c r="H248" i="8"/>
  <c r="G248" i="8"/>
  <c r="AL247" i="8"/>
  <c r="AK247" i="8"/>
  <c r="AJ247" i="8"/>
  <c r="AI247" i="8"/>
  <c r="AH247" i="8"/>
  <c r="AG247" i="8"/>
  <c r="AF247" i="8"/>
  <c r="AE247" i="8"/>
  <c r="AD247" i="8"/>
  <c r="AC247" i="8"/>
  <c r="AB247" i="8"/>
  <c r="AA247" i="8"/>
  <c r="Y247" i="8"/>
  <c r="X247" i="8"/>
  <c r="W247" i="8"/>
  <c r="U247" i="8"/>
  <c r="S247" i="8"/>
  <c r="R247" i="8"/>
  <c r="Q247" i="8"/>
  <c r="P247" i="8"/>
  <c r="K247" i="8"/>
  <c r="J247" i="8"/>
  <c r="I247" i="8"/>
  <c r="H247" i="8"/>
  <c r="G247" i="8"/>
  <c r="AL246" i="8"/>
  <c r="AK246" i="8"/>
  <c r="AJ246" i="8"/>
  <c r="AH246" i="8"/>
  <c r="AF246" i="8"/>
  <c r="AE246" i="8"/>
  <c r="AD246" i="8"/>
  <c r="AC246" i="8"/>
  <c r="AB246" i="8"/>
  <c r="AA246" i="8"/>
  <c r="Z246" i="8"/>
  <c r="Y246" i="8"/>
  <c r="X246" i="8"/>
  <c r="W246" i="8"/>
  <c r="V246" i="8"/>
  <c r="U246" i="8"/>
  <c r="T246" i="8"/>
  <c r="R246" i="8"/>
  <c r="Q246" i="8"/>
  <c r="P246" i="8"/>
  <c r="K246" i="8"/>
  <c r="J246" i="8"/>
  <c r="I246" i="8"/>
  <c r="H246" i="8"/>
  <c r="G246" i="8"/>
  <c r="AL245" i="8"/>
  <c r="AJ245" i="8"/>
  <c r="AH245" i="8"/>
  <c r="AG245" i="8"/>
  <c r="AF245" i="8"/>
  <c r="AE245" i="8"/>
  <c r="AD245" i="8"/>
  <c r="AC245" i="8"/>
  <c r="AB245" i="8"/>
  <c r="AA245" i="8"/>
  <c r="Z245" i="8"/>
  <c r="Y245" i="8"/>
  <c r="X245" i="8"/>
  <c r="W245" i="8"/>
  <c r="V245" i="8"/>
  <c r="U245" i="8"/>
  <c r="T245" i="8"/>
  <c r="S245" i="8"/>
  <c r="Q245" i="8"/>
  <c r="P245" i="8"/>
  <c r="K245" i="8"/>
  <c r="J245" i="8"/>
  <c r="I245" i="8"/>
  <c r="H245" i="8"/>
  <c r="G245" i="8"/>
  <c r="AL244" i="8"/>
  <c r="AK244" i="8"/>
  <c r="AJ244" i="8"/>
  <c r="AI244" i="8"/>
  <c r="AH244" i="8"/>
  <c r="AG244" i="8"/>
  <c r="AF244" i="8"/>
  <c r="AE244" i="8"/>
  <c r="AC244" i="8"/>
  <c r="AB244" i="8"/>
  <c r="Z244" i="8"/>
  <c r="X244" i="8"/>
  <c r="W244" i="8"/>
  <c r="V244" i="8"/>
  <c r="U244" i="8"/>
  <c r="T244" i="8"/>
  <c r="S244" i="8"/>
  <c r="R244" i="8"/>
  <c r="Q244" i="8"/>
  <c r="P244" i="8"/>
  <c r="K244" i="8"/>
  <c r="J244" i="8"/>
  <c r="I244" i="8"/>
  <c r="H244" i="8"/>
  <c r="G244" i="8"/>
  <c r="AL243" i="8"/>
  <c r="AK243" i="8"/>
  <c r="AH243" i="8"/>
  <c r="AG243" i="8"/>
  <c r="AF243" i="8"/>
  <c r="AD243" i="8"/>
  <c r="AC243" i="8"/>
  <c r="AB243" i="8"/>
  <c r="AA243" i="8"/>
  <c r="Y243" i="8"/>
  <c r="X243" i="8"/>
  <c r="W243" i="8"/>
  <c r="V243" i="8"/>
  <c r="U243" i="8"/>
  <c r="T243" i="8"/>
  <c r="S243" i="8"/>
  <c r="R243" i="8"/>
  <c r="P243" i="8"/>
  <c r="K243" i="8"/>
  <c r="J243" i="8"/>
  <c r="I243" i="8"/>
  <c r="H243" i="8"/>
  <c r="G243" i="8"/>
  <c r="AL242" i="8"/>
  <c r="AK242" i="8"/>
  <c r="AJ242" i="8"/>
  <c r="AI242" i="8"/>
  <c r="AH242" i="8"/>
  <c r="AG242" i="8"/>
  <c r="AF242" i="8"/>
  <c r="AE242" i="8"/>
  <c r="AB242" i="8"/>
  <c r="Z242" i="8"/>
  <c r="Y242" i="8"/>
  <c r="X242" i="8"/>
  <c r="W242" i="8"/>
  <c r="V242" i="8"/>
  <c r="U242" i="8"/>
  <c r="T242" i="8"/>
  <c r="S242" i="8"/>
  <c r="R242" i="8"/>
  <c r="Q242" i="8"/>
  <c r="P242" i="8"/>
  <c r="K242" i="8"/>
  <c r="J242" i="8"/>
  <c r="I242" i="8"/>
  <c r="H242" i="8"/>
  <c r="G242" i="8"/>
  <c r="AK241" i="8"/>
  <c r="AJ241" i="8"/>
  <c r="AI241" i="8"/>
  <c r="AG241" i="8"/>
  <c r="AF241" i="8"/>
  <c r="AD241" i="8"/>
  <c r="AC241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K241" i="8"/>
  <c r="J241" i="8"/>
  <c r="I241" i="8"/>
  <c r="H241" i="8"/>
  <c r="G241" i="8"/>
  <c r="AL240" i="8"/>
  <c r="AK240" i="8"/>
  <c r="AJ240" i="8"/>
  <c r="AI240" i="8"/>
  <c r="AH240" i="8"/>
  <c r="AG240" i="8"/>
  <c r="AD240" i="8"/>
  <c r="AC240" i="8"/>
  <c r="AB240" i="8"/>
  <c r="AA240" i="8"/>
  <c r="Z240" i="8"/>
  <c r="Y240" i="8"/>
  <c r="X240" i="8"/>
  <c r="W240" i="8"/>
  <c r="U240" i="8"/>
  <c r="T240" i="8"/>
  <c r="S240" i="8"/>
  <c r="R240" i="8"/>
  <c r="Q240" i="8"/>
  <c r="P240" i="8"/>
  <c r="K240" i="8"/>
  <c r="J240" i="8"/>
  <c r="I240" i="8"/>
  <c r="H240" i="8"/>
  <c r="G240" i="8"/>
  <c r="AJ239" i="8"/>
  <c r="AI239" i="8"/>
  <c r="AH239" i="8"/>
  <c r="AG239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S239" i="8"/>
  <c r="R239" i="8"/>
  <c r="Q239" i="8"/>
  <c r="P239" i="8"/>
  <c r="K239" i="8"/>
  <c r="J239" i="8"/>
  <c r="I239" i="8"/>
  <c r="H239" i="8"/>
  <c r="G239" i="8"/>
  <c r="AL238" i="8"/>
  <c r="AJ238" i="8"/>
  <c r="AI238" i="8"/>
  <c r="AH238" i="8"/>
  <c r="AG238" i="8"/>
  <c r="AF238" i="8"/>
  <c r="AE238" i="8"/>
  <c r="AC238" i="8"/>
  <c r="AB238" i="8"/>
  <c r="AA238" i="8"/>
  <c r="Z238" i="8"/>
  <c r="Y238" i="8"/>
  <c r="X238" i="8"/>
  <c r="W238" i="8"/>
  <c r="V238" i="8"/>
  <c r="U238" i="8"/>
  <c r="S238" i="8"/>
  <c r="R238" i="8"/>
  <c r="Q238" i="8"/>
  <c r="P238" i="8"/>
  <c r="K238" i="8"/>
  <c r="J238" i="8"/>
  <c r="I238" i="8"/>
  <c r="H238" i="8"/>
  <c r="G238" i="8"/>
  <c r="AL237" i="8"/>
  <c r="AK237" i="8"/>
  <c r="AJ237" i="8"/>
  <c r="AI237" i="8"/>
  <c r="AH237" i="8"/>
  <c r="AF237" i="8"/>
  <c r="AD237" i="8"/>
  <c r="AC237" i="8"/>
  <c r="AB237" i="8"/>
  <c r="AA237" i="8"/>
  <c r="Z237" i="8"/>
  <c r="Y237" i="8"/>
  <c r="X237" i="8"/>
  <c r="W237" i="8"/>
  <c r="V237" i="8"/>
  <c r="U237" i="8"/>
  <c r="S237" i="8"/>
  <c r="R237" i="8"/>
  <c r="Q237" i="8"/>
  <c r="P237" i="8"/>
  <c r="K237" i="8"/>
  <c r="J237" i="8"/>
  <c r="I237" i="8"/>
  <c r="H237" i="8"/>
  <c r="G237" i="8"/>
  <c r="AL236" i="8"/>
  <c r="AJ236" i="8"/>
  <c r="AI236" i="8"/>
  <c r="AH236" i="8"/>
  <c r="AG236" i="8"/>
  <c r="AF236" i="8"/>
  <c r="AE236" i="8"/>
  <c r="AD236" i="8"/>
  <c r="AC236" i="8"/>
  <c r="Z236" i="8"/>
  <c r="Y236" i="8"/>
  <c r="X236" i="8"/>
  <c r="V236" i="8"/>
  <c r="U236" i="8"/>
  <c r="S236" i="8"/>
  <c r="R236" i="8"/>
  <c r="Q236" i="8"/>
  <c r="P236" i="8"/>
  <c r="K236" i="8"/>
  <c r="J236" i="8"/>
  <c r="I236" i="8"/>
  <c r="H236" i="8"/>
  <c r="G236" i="8"/>
  <c r="AL235" i="8"/>
  <c r="AJ235" i="8"/>
  <c r="AI235" i="8"/>
  <c r="AH235" i="8"/>
  <c r="AG235" i="8"/>
  <c r="AF235" i="8"/>
  <c r="AE235" i="8"/>
  <c r="AC235" i="8"/>
  <c r="AB235" i="8"/>
  <c r="AA235" i="8"/>
  <c r="Z235" i="8"/>
  <c r="Y235" i="8"/>
  <c r="X235" i="8"/>
  <c r="W235" i="8"/>
  <c r="V235" i="8"/>
  <c r="U235" i="8"/>
  <c r="S235" i="8"/>
  <c r="R235" i="8"/>
  <c r="Q235" i="8"/>
  <c r="P235" i="8"/>
  <c r="K235" i="8"/>
  <c r="J235" i="8"/>
  <c r="I235" i="8"/>
  <c r="H235" i="8"/>
  <c r="G235" i="8"/>
  <c r="AL234" i="8"/>
  <c r="AI234" i="8"/>
  <c r="AH234" i="8"/>
  <c r="AG234" i="8"/>
  <c r="AF234" i="8"/>
  <c r="AE234" i="8"/>
  <c r="AD234" i="8"/>
  <c r="AB234" i="8"/>
  <c r="Z234" i="8"/>
  <c r="Y234" i="8"/>
  <c r="X234" i="8"/>
  <c r="W234" i="8"/>
  <c r="U234" i="8"/>
  <c r="T234" i="8"/>
  <c r="S234" i="8"/>
  <c r="R234" i="8"/>
  <c r="Q234" i="8"/>
  <c r="P234" i="8"/>
  <c r="K234" i="8"/>
  <c r="J234" i="8"/>
  <c r="I234" i="8"/>
  <c r="H234" i="8"/>
  <c r="G234" i="8"/>
  <c r="AI233" i="8"/>
  <c r="AH233" i="8"/>
  <c r="AG233" i="8"/>
  <c r="AF233" i="8"/>
  <c r="AE233" i="8"/>
  <c r="AD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K233" i="8"/>
  <c r="J233" i="8"/>
  <c r="I233" i="8"/>
  <c r="H233" i="8"/>
  <c r="G233" i="8"/>
  <c r="AL232" i="8"/>
  <c r="AK232" i="8"/>
  <c r="AJ232" i="8"/>
  <c r="AI232" i="8"/>
  <c r="AH232" i="8"/>
  <c r="AF232" i="8"/>
  <c r="AE232" i="8"/>
  <c r="AC232" i="8"/>
  <c r="AB232" i="8"/>
  <c r="AA232" i="8"/>
  <c r="Z232" i="8"/>
  <c r="X232" i="8"/>
  <c r="W232" i="8"/>
  <c r="V232" i="8"/>
  <c r="U232" i="8"/>
  <c r="T232" i="8"/>
  <c r="S232" i="8"/>
  <c r="R232" i="8"/>
  <c r="Q232" i="8"/>
  <c r="P232" i="8"/>
  <c r="K232" i="8"/>
  <c r="J232" i="8"/>
  <c r="I232" i="8"/>
  <c r="H232" i="8"/>
  <c r="G232" i="8"/>
  <c r="AL231" i="8"/>
  <c r="AK231" i="8"/>
  <c r="AJ231" i="8"/>
  <c r="AI231" i="8"/>
  <c r="AH231" i="8"/>
  <c r="AG231" i="8"/>
  <c r="AF231" i="8"/>
  <c r="AE231" i="8"/>
  <c r="AC231" i="8"/>
  <c r="AB231" i="8"/>
  <c r="AA231" i="8"/>
  <c r="Z231" i="8"/>
  <c r="Y231" i="8"/>
  <c r="X231" i="8"/>
  <c r="W231" i="8"/>
  <c r="V231" i="8"/>
  <c r="U231" i="8"/>
  <c r="T231" i="8"/>
  <c r="S231" i="8"/>
  <c r="Q231" i="8"/>
  <c r="K231" i="8"/>
  <c r="J231" i="8"/>
  <c r="I231" i="8"/>
  <c r="H231" i="8"/>
  <c r="G231" i="8"/>
  <c r="AL230" i="8"/>
  <c r="AK230" i="8"/>
  <c r="AJ230" i="8"/>
  <c r="AI230" i="8"/>
  <c r="AH230" i="8"/>
  <c r="AG230" i="8"/>
  <c r="AE230" i="8"/>
  <c r="AD230" i="8"/>
  <c r="AB230" i="8"/>
  <c r="AA230" i="8"/>
  <c r="Z230" i="8"/>
  <c r="Y230" i="8"/>
  <c r="X230" i="8"/>
  <c r="W230" i="8"/>
  <c r="U230" i="8"/>
  <c r="T230" i="8"/>
  <c r="S230" i="8"/>
  <c r="R230" i="8"/>
  <c r="Q230" i="8"/>
  <c r="P230" i="8"/>
  <c r="K230" i="8"/>
  <c r="J230" i="8"/>
  <c r="I230" i="8"/>
  <c r="H230" i="8"/>
  <c r="G230" i="8"/>
  <c r="AL229" i="8"/>
  <c r="AK229" i="8"/>
  <c r="AJ229" i="8"/>
  <c r="AI229" i="8"/>
  <c r="AH229" i="8"/>
  <c r="AG229" i="8"/>
  <c r="AF229" i="8"/>
  <c r="AE229" i="8"/>
  <c r="AD229" i="8"/>
  <c r="AC229" i="8"/>
  <c r="Z229" i="8"/>
  <c r="Y229" i="8"/>
  <c r="X229" i="8"/>
  <c r="V229" i="8"/>
  <c r="U229" i="8"/>
  <c r="T229" i="8"/>
  <c r="S229" i="8"/>
  <c r="R229" i="8"/>
  <c r="Q229" i="8"/>
  <c r="P229" i="8"/>
  <c r="K229" i="8"/>
  <c r="J229" i="8"/>
  <c r="I229" i="8"/>
  <c r="H229" i="8"/>
  <c r="G229" i="8"/>
  <c r="AL228" i="8"/>
  <c r="AJ228" i="8"/>
  <c r="AI228" i="8"/>
  <c r="AH228" i="8"/>
  <c r="AG228" i="8"/>
  <c r="AF228" i="8"/>
  <c r="AE228" i="8"/>
  <c r="AD228" i="8"/>
  <c r="AC228" i="8"/>
  <c r="AB228" i="8"/>
  <c r="AA228" i="8"/>
  <c r="Y228" i="8"/>
  <c r="W228" i="8"/>
  <c r="V228" i="8"/>
  <c r="U228" i="8"/>
  <c r="T228" i="8"/>
  <c r="S228" i="8"/>
  <c r="R228" i="8"/>
  <c r="Q228" i="8"/>
  <c r="P228" i="8"/>
  <c r="K228" i="8"/>
  <c r="J228" i="8"/>
  <c r="I228" i="8"/>
  <c r="H228" i="8"/>
  <c r="G228" i="8"/>
  <c r="AK227" i="8"/>
  <c r="AJ227" i="8"/>
  <c r="AI227" i="8"/>
  <c r="AH227" i="8"/>
  <c r="AF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K227" i="8"/>
  <c r="J227" i="8"/>
  <c r="I227" i="8"/>
  <c r="H227" i="8"/>
  <c r="G227" i="8"/>
  <c r="AL226" i="8"/>
  <c r="AK226" i="8"/>
  <c r="AJ226" i="8"/>
  <c r="AI226" i="8"/>
  <c r="AH226" i="8"/>
  <c r="AG226" i="8"/>
  <c r="AF226" i="8"/>
  <c r="AE226" i="8"/>
  <c r="AD226" i="8"/>
  <c r="AC226" i="8"/>
  <c r="AB226" i="8"/>
  <c r="AA226" i="8"/>
  <c r="Z226" i="8"/>
  <c r="Y226" i="8"/>
  <c r="X226" i="8"/>
  <c r="W226" i="8"/>
  <c r="V226" i="8"/>
  <c r="U226" i="8"/>
  <c r="S226" i="8"/>
  <c r="Q226" i="8"/>
  <c r="K226" i="8"/>
  <c r="J226" i="8"/>
  <c r="I226" i="8"/>
  <c r="H226" i="8"/>
  <c r="G226" i="8"/>
  <c r="AL225" i="8"/>
  <c r="AK225" i="8"/>
  <c r="AI225" i="8"/>
  <c r="AG225" i="8"/>
  <c r="AF225" i="8"/>
  <c r="AE225" i="8"/>
  <c r="AD225" i="8"/>
  <c r="AC225" i="8"/>
  <c r="AB225" i="8"/>
  <c r="AA225" i="8"/>
  <c r="Y225" i="8"/>
  <c r="X225" i="8"/>
  <c r="W225" i="8"/>
  <c r="V225" i="8"/>
  <c r="U225" i="8"/>
  <c r="T225" i="8"/>
  <c r="S225" i="8"/>
  <c r="R225" i="8"/>
  <c r="Q225" i="8"/>
  <c r="P225" i="8"/>
  <c r="K225" i="8"/>
  <c r="J225" i="8"/>
  <c r="I225" i="8"/>
  <c r="H225" i="8"/>
  <c r="G225" i="8"/>
  <c r="AK224" i="8"/>
  <c r="AI224" i="8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K224" i="8"/>
  <c r="J224" i="8"/>
  <c r="I224" i="8"/>
  <c r="H224" i="8"/>
  <c r="G224" i="8"/>
  <c r="AL223" i="8"/>
  <c r="AJ223" i="8"/>
  <c r="AI223" i="8"/>
  <c r="AH223" i="8"/>
  <c r="AG223" i="8"/>
  <c r="AE223" i="8"/>
  <c r="AD223" i="8"/>
  <c r="AC223" i="8"/>
  <c r="Y223" i="8"/>
  <c r="X223" i="8"/>
  <c r="W223" i="8"/>
  <c r="V223" i="8"/>
  <c r="U223" i="8"/>
  <c r="T223" i="8"/>
  <c r="S223" i="8"/>
  <c r="R223" i="8"/>
  <c r="Q223" i="8"/>
  <c r="P223" i="8"/>
  <c r="K223" i="8"/>
  <c r="J223" i="8"/>
  <c r="I223" i="8"/>
  <c r="H223" i="8"/>
  <c r="G223" i="8"/>
  <c r="AL222" i="8"/>
  <c r="AK222" i="8"/>
  <c r="AJ222" i="8"/>
  <c r="AI222" i="8"/>
  <c r="AG222" i="8"/>
  <c r="AF222" i="8"/>
  <c r="AE222" i="8"/>
  <c r="AD222" i="8"/>
  <c r="AC222" i="8"/>
  <c r="AB222" i="8"/>
  <c r="AA222" i="8"/>
  <c r="Z222" i="8"/>
  <c r="Y222" i="8"/>
  <c r="X222" i="8"/>
  <c r="W222" i="8"/>
  <c r="U222" i="8"/>
  <c r="T222" i="8"/>
  <c r="S222" i="8"/>
  <c r="R222" i="8"/>
  <c r="P222" i="8"/>
  <c r="K222" i="8"/>
  <c r="J222" i="8"/>
  <c r="I222" i="8"/>
  <c r="H222" i="8"/>
  <c r="G222" i="8"/>
  <c r="AL221" i="8"/>
  <c r="AK221" i="8"/>
  <c r="AJ221" i="8"/>
  <c r="AI221" i="8"/>
  <c r="AH221" i="8"/>
  <c r="AG221" i="8"/>
  <c r="AE221" i="8"/>
  <c r="AD221" i="8"/>
  <c r="AB221" i="8"/>
  <c r="AA221" i="8"/>
  <c r="Z221" i="8"/>
  <c r="Y221" i="8"/>
  <c r="W221" i="8"/>
  <c r="V221" i="8"/>
  <c r="U221" i="8"/>
  <c r="T221" i="8"/>
  <c r="S221" i="8"/>
  <c r="R221" i="8"/>
  <c r="Q221" i="8"/>
  <c r="P221" i="8"/>
  <c r="K221" i="8"/>
  <c r="J221" i="8"/>
  <c r="I221" i="8"/>
  <c r="H221" i="8"/>
  <c r="G221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Z220" i="8"/>
  <c r="Y220" i="8"/>
  <c r="W220" i="8"/>
  <c r="V220" i="8"/>
  <c r="U220" i="8"/>
  <c r="T220" i="8"/>
  <c r="R220" i="8"/>
  <c r="Q220" i="8"/>
  <c r="K220" i="8"/>
  <c r="J220" i="8"/>
  <c r="I220" i="8"/>
  <c r="H220" i="8"/>
  <c r="G220" i="8"/>
  <c r="AL219" i="8"/>
  <c r="AK219" i="8"/>
  <c r="AJ219" i="8"/>
  <c r="AH219" i="8"/>
  <c r="AF219" i="8"/>
  <c r="AE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K219" i="8"/>
  <c r="J219" i="8"/>
  <c r="I219" i="8"/>
  <c r="H219" i="8"/>
  <c r="G219" i="8"/>
  <c r="AL218" i="8"/>
  <c r="AK218" i="8"/>
  <c r="AI218" i="8"/>
  <c r="AH218" i="8"/>
  <c r="AG218" i="8"/>
  <c r="AF218" i="8"/>
  <c r="AE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K218" i="8"/>
  <c r="J218" i="8"/>
  <c r="I218" i="8"/>
  <c r="H218" i="8"/>
  <c r="G218" i="8"/>
  <c r="AL217" i="8"/>
  <c r="AK217" i="8"/>
  <c r="AJ217" i="8"/>
  <c r="AI217" i="8"/>
  <c r="AH217" i="8"/>
  <c r="AF217" i="8"/>
  <c r="AE217" i="8"/>
  <c r="AD217" i="8"/>
  <c r="AC217" i="8"/>
  <c r="AB217" i="8"/>
  <c r="AA217" i="8"/>
  <c r="Z217" i="8"/>
  <c r="X217" i="8"/>
  <c r="W217" i="8"/>
  <c r="V217" i="8"/>
  <c r="U217" i="8"/>
  <c r="S217" i="8"/>
  <c r="R217" i="8"/>
  <c r="Q217" i="8"/>
  <c r="P217" i="8"/>
  <c r="K217" i="8"/>
  <c r="J217" i="8"/>
  <c r="I217" i="8"/>
  <c r="H217" i="8"/>
  <c r="G217" i="8"/>
  <c r="AL216" i="8"/>
  <c r="AK216" i="8"/>
  <c r="AI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Q216" i="8"/>
  <c r="P216" i="8"/>
  <c r="K216" i="8"/>
  <c r="J216" i="8"/>
  <c r="I216" i="8"/>
  <c r="H216" i="8"/>
  <c r="G216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V215" i="8"/>
  <c r="U215" i="8"/>
  <c r="T215" i="8"/>
  <c r="S215" i="8"/>
  <c r="P215" i="8"/>
  <c r="K215" i="8"/>
  <c r="J215" i="8"/>
  <c r="I215" i="8"/>
  <c r="H215" i="8"/>
  <c r="G215" i="8"/>
  <c r="AI214" i="8"/>
  <c r="AH214" i="8"/>
  <c r="AG214" i="8"/>
  <c r="AF214" i="8"/>
  <c r="AE214" i="8"/>
  <c r="AD214" i="8"/>
  <c r="AB214" i="8"/>
  <c r="AA214" i="8"/>
  <c r="Z214" i="8"/>
  <c r="Y214" i="8"/>
  <c r="X214" i="8"/>
  <c r="W214" i="8"/>
  <c r="V214" i="8"/>
  <c r="U214" i="8"/>
  <c r="T214" i="8"/>
  <c r="S214" i="8"/>
  <c r="R214" i="8"/>
  <c r="P214" i="8"/>
  <c r="K214" i="8"/>
  <c r="J214" i="8"/>
  <c r="I214" i="8"/>
  <c r="H214" i="8"/>
  <c r="G214" i="8"/>
  <c r="AL213" i="8"/>
  <c r="AK213" i="8"/>
  <c r="AJ213" i="8"/>
  <c r="AI213" i="8"/>
  <c r="AH213" i="8"/>
  <c r="AG213" i="8"/>
  <c r="AE213" i="8"/>
  <c r="AD213" i="8"/>
  <c r="AC213" i="8"/>
  <c r="AB213" i="8"/>
  <c r="AA213" i="8"/>
  <c r="Z213" i="8"/>
  <c r="Y213" i="8"/>
  <c r="X213" i="8"/>
  <c r="W213" i="8"/>
  <c r="U213" i="8"/>
  <c r="T213" i="8"/>
  <c r="S213" i="8"/>
  <c r="R213" i="8"/>
  <c r="P213" i="8"/>
  <c r="K213" i="8"/>
  <c r="J213" i="8"/>
  <c r="I213" i="8"/>
  <c r="H213" i="8"/>
  <c r="G213" i="8"/>
  <c r="AL212" i="8"/>
  <c r="AK212" i="8"/>
  <c r="AJ212" i="8"/>
  <c r="AI212" i="8"/>
  <c r="AG212" i="8"/>
  <c r="AF212" i="8"/>
  <c r="AE212" i="8"/>
  <c r="AD212" i="8"/>
  <c r="AC212" i="8"/>
  <c r="AB212" i="8"/>
  <c r="AA212" i="8"/>
  <c r="Z212" i="8"/>
  <c r="Y212" i="8"/>
  <c r="X212" i="8"/>
  <c r="V212" i="8"/>
  <c r="U212" i="8"/>
  <c r="T212" i="8"/>
  <c r="R212" i="8"/>
  <c r="Q212" i="8"/>
  <c r="P212" i="8"/>
  <c r="K212" i="8"/>
  <c r="J212" i="8"/>
  <c r="I212" i="8"/>
  <c r="H212" i="8"/>
  <c r="G212" i="8"/>
  <c r="AL211" i="8"/>
  <c r="AJ211" i="8"/>
  <c r="AI211" i="8"/>
  <c r="AH211" i="8"/>
  <c r="AF211" i="8"/>
  <c r="AE211" i="8"/>
  <c r="AD211" i="8"/>
  <c r="AC211" i="8"/>
  <c r="AA211" i="8"/>
  <c r="Z211" i="8"/>
  <c r="Y211" i="8"/>
  <c r="X211" i="8"/>
  <c r="V211" i="8"/>
  <c r="U211" i="8"/>
  <c r="S211" i="8"/>
  <c r="R211" i="8"/>
  <c r="Q211" i="8"/>
  <c r="P211" i="8"/>
  <c r="K211" i="8"/>
  <c r="J211" i="8"/>
  <c r="I211" i="8"/>
  <c r="H211" i="8"/>
  <c r="G211" i="8"/>
  <c r="AJ210" i="8"/>
  <c r="AH210" i="8"/>
  <c r="AG210" i="8"/>
  <c r="AF210" i="8"/>
  <c r="AE210" i="8"/>
  <c r="AD210" i="8"/>
  <c r="AC210" i="8"/>
  <c r="AA210" i="8"/>
  <c r="Y210" i="8"/>
  <c r="X210" i="8"/>
  <c r="W210" i="8"/>
  <c r="V210" i="8"/>
  <c r="U210" i="8"/>
  <c r="T210" i="8"/>
  <c r="S210" i="8"/>
  <c r="R210" i="8"/>
  <c r="Q210" i="8"/>
  <c r="P210" i="8"/>
  <c r="K210" i="8"/>
  <c r="J210" i="8"/>
  <c r="I210" i="8"/>
  <c r="H210" i="8"/>
  <c r="G210" i="8"/>
  <c r="AJ209" i="8"/>
  <c r="AI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K209" i="8"/>
  <c r="J209" i="8"/>
  <c r="I209" i="8"/>
  <c r="H209" i="8"/>
  <c r="G209" i="8"/>
  <c r="AL208" i="8"/>
  <c r="AK208" i="8"/>
  <c r="AI208" i="8"/>
  <c r="AH208" i="8"/>
  <c r="AG208" i="8"/>
  <c r="AF208" i="8"/>
  <c r="AE208" i="8"/>
  <c r="AD208" i="8"/>
  <c r="AB208" i="8"/>
  <c r="Z208" i="8"/>
  <c r="Y208" i="8"/>
  <c r="X208" i="8"/>
  <c r="W208" i="8"/>
  <c r="V208" i="8"/>
  <c r="U208" i="8"/>
  <c r="T208" i="8"/>
  <c r="S208" i="8"/>
  <c r="R208" i="8"/>
  <c r="Q208" i="8"/>
  <c r="P208" i="8"/>
  <c r="K208" i="8"/>
  <c r="J208" i="8"/>
  <c r="I208" i="8"/>
  <c r="H208" i="8"/>
  <c r="G208" i="8"/>
  <c r="AL207" i="8"/>
  <c r="AK207" i="8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W207" i="8"/>
  <c r="V207" i="8"/>
  <c r="U207" i="8"/>
  <c r="T207" i="8"/>
  <c r="S207" i="8"/>
  <c r="P207" i="8"/>
  <c r="K207" i="8"/>
  <c r="J207" i="8"/>
  <c r="I207" i="8"/>
  <c r="H207" i="8"/>
  <c r="G207" i="8"/>
  <c r="AL206" i="8"/>
  <c r="AJ206" i="8"/>
  <c r="AI206" i="8"/>
  <c r="AH206" i="8"/>
  <c r="AG206" i="8"/>
  <c r="AF206" i="8"/>
  <c r="AE206" i="8"/>
  <c r="AD206" i="8"/>
  <c r="AC206" i="8"/>
  <c r="AA206" i="8"/>
  <c r="Z206" i="8"/>
  <c r="Y206" i="8"/>
  <c r="X206" i="8"/>
  <c r="W206" i="8"/>
  <c r="V206" i="8"/>
  <c r="U206" i="8"/>
  <c r="S206" i="8"/>
  <c r="Q206" i="8"/>
  <c r="K206" i="8"/>
  <c r="J206" i="8"/>
  <c r="I206" i="8"/>
  <c r="H206" i="8"/>
  <c r="G206" i="8"/>
  <c r="AL205" i="8"/>
  <c r="AK205" i="8"/>
  <c r="AJ205" i="8"/>
  <c r="AI205" i="8"/>
  <c r="AH205" i="8"/>
  <c r="AG205" i="8"/>
  <c r="AF205" i="8"/>
  <c r="AE205" i="8"/>
  <c r="AD205" i="8"/>
  <c r="AC205" i="8"/>
  <c r="AA205" i="8"/>
  <c r="Y205" i="8"/>
  <c r="X205" i="8"/>
  <c r="W205" i="8"/>
  <c r="V205" i="8"/>
  <c r="U205" i="8"/>
  <c r="T205" i="8"/>
  <c r="S205" i="8"/>
  <c r="R205" i="8"/>
  <c r="P205" i="8"/>
  <c r="K205" i="8"/>
  <c r="J205" i="8"/>
  <c r="I205" i="8"/>
  <c r="H205" i="8"/>
  <c r="G205" i="8"/>
  <c r="AK204" i="8"/>
  <c r="AJ204" i="8"/>
  <c r="AH204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K204" i="8"/>
  <c r="J204" i="8"/>
  <c r="I204" i="8"/>
  <c r="H204" i="8"/>
  <c r="G204" i="8"/>
  <c r="AL203" i="8"/>
  <c r="AK203" i="8"/>
  <c r="AJ203" i="8"/>
  <c r="AI203" i="8"/>
  <c r="AH203" i="8"/>
  <c r="AG203" i="8"/>
  <c r="AF203" i="8"/>
  <c r="AE203" i="8"/>
  <c r="AD203" i="8"/>
  <c r="AC203" i="8"/>
  <c r="AB203" i="8"/>
  <c r="AA203" i="8"/>
  <c r="Z203" i="8"/>
  <c r="W203" i="8"/>
  <c r="V203" i="8"/>
  <c r="U203" i="8"/>
  <c r="S203" i="8"/>
  <c r="R203" i="8"/>
  <c r="Q203" i="8"/>
  <c r="P203" i="8"/>
  <c r="K203" i="8"/>
  <c r="J203" i="8"/>
  <c r="I203" i="8"/>
  <c r="H203" i="8"/>
  <c r="G203" i="8"/>
  <c r="AL202" i="8"/>
  <c r="AK202" i="8"/>
  <c r="AJ202" i="8"/>
  <c r="AI202" i="8"/>
  <c r="AH202" i="8"/>
  <c r="AF202" i="8"/>
  <c r="AE202" i="8"/>
  <c r="AD202" i="8"/>
  <c r="AB202" i="8"/>
  <c r="AA202" i="8"/>
  <c r="Z202" i="8"/>
  <c r="Y202" i="8"/>
  <c r="X202" i="8"/>
  <c r="V202" i="8"/>
  <c r="U202" i="8"/>
  <c r="T202" i="8"/>
  <c r="S202" i="8"/>
  <c r="R202" i="8"/>
  <c r="Q202" i="8"/>
  <c r="P202" i="8"/>
  <c r="K202" i="8"/>
  <c r="J202" i="8"/>
  <c r="I202" i="8"/>
  <c r="H202" i="8"/>
  <c r="G202" i="8"/>
  <c r="AL201" i="8"/>
  <c r="AJ201" i="8"/>
  <c r="AI201" i="8"/>
  <c r="AH201" i="8"/>
  <c r="AG201" i="8"/>
  <c r="AF201" i="8"/>
  <c r="AE201" i="8"/>
  <c r="AB201" i="8"/>
  <c r="Z201" i="8"/>
  <c r="Y201" i="8"/>
  <c r="X201" i="8"/>
  <c r="V201" i="8"/>
  <c r="U201" i="8"/>
  <c r="T201" i="8"/>
  <c r="S201" i="8"/>
  <c r="R201" i="8"/>
  <c r="Q201" i="8"/>
  <c r="P201" i="8"/>
  <c r="K201" i="8"/>
  <c r="J201" i="8"/>
  <c r="I201" i="8"/>
  <c r="H201" i="8"/>
  <c r="G201" i="8"/>
  <c r="AL200" i="8"/>
  <c r="AK200" i="8"/>
  <c r="AJ200" i="8"/>
  <c r="AI200" i="8"/>
  <c r="AH200" i="8"/>
  <c r="AF200" i="8"/>
  <c r="AE200" i="8"/>
  <c r="AD200" i="8"/>
  <c r="AC200" i="8"/>
  <c r="AB200" i="8"/>
  <c r="AA200" i="8"/>
  <c r="Z200" i="8"/>
  <c r="X200" i="8"/>
  <c r="W200" i="8"/>
  <c r="V200" i="8"/>
  <c r="U200" i="8"/>
  <c r="S200" i="8"/>
  <c r="R200" i="8"/>
  <c r="Q200" i="8"/>
  <c r="P200" i="8"/>
  <c r="K200" i="8"/>
  <c r="J200" i="8"/>
  <c r="I200" i="8"/>
  <c r="H200" i="8"/>
  <c r="G200" i="8"/>
  <c r="AL199" i="8"/>
  <c r="AK199" i="8"/>
  <c r="AJ199" i="8"/>
  <c r="AI199" i="8"/>
  <c r="AH199" i="8"/>
  <c r="AF199" i="8"/>
  <c r="AE199" i="8"/>
  <c r="AC199" i="8"/>
  <c r="AB199" i="8"/>
  <c r="AA199" i="8"/>
  <c r="Z199" i="8"/>
  <c r="X199" i="8"/>
  <c r="W199" i="8"/>
  <c r="V199" i="8"/>
  <c r="U199" i="8"/>
  <c r="T199" i="8"/>
  <c r="S199" i="8"/>
  <c r="R199" i="8"/>
  <c r="Q199" i="8"/>
  <c r="P199" i="8"/>
  <c r="K199" i="8"/>
  <c r="J199" i="8"/>
  <c r="I199" i="8"/>
  <c r="H199" i="8"/>
  <c r="G199" i="8"/>
  <c r="AL198" i="8"/>
  <c r="AK198" i="8"/>
  <c r="AJ198" i="8"/>
  <c r="AI198" i="8"/>
  <c r="AG198" i="8"/>
  <c r="AF198" i="8"/>
  <c r="AD198" i="8"/>
  <c r="AC198" i="8"/>
  <c r="AB198" i="8"/>
  <c r="AA198" i="8"/>
  <c r="Z198" i="8"/>
  <c r="X198" i="8"/>
  <c r="W198" i="8"/>
  <c r="V198" i="8"/>
  <c r="U198" i="8"/>
  <c r="T198" i="8"/>
  <c r="S198" i="8"/>
  <c r="R198" i="8"/>
  <c r="Q198" i="8"/>
  <c r="P198" i="8"/>
  <c r="K198" i="8"/>
  <c r="J198" i="8"/>
  <c r="I198" i="8"/>
  <c r="H198" i="8"/>
  <c r="G198" i="8"/>
  <c r="AL197" i="8"/>
  <c r="AK197" i="8"/>
  <c r="AJ197" i="8"/>
  <c r="AI197" i="8"/>
  <c r="AH197" i="8"/>
  <c r="AF197" i="8"/>
  <c r="AE197" i="8"/>
  <c r="AD197" i="8"/>
  <c r="AC197" i="8"/>
  <c r="AB197" i="8"/>
  <c r="AA197" i="8"/>
  <c r="Z197" i="8"/>
  <c r="X197" i="8"/>
  <c r="V197" i="8"/>
  <c r="U197" i="8"/>
  <c r="T197" i="8"/>
  <c r="S197" i="8"/>
  <c r="R197" i="8"/>
  <c r="Q197" i="8"/>
  <c r="P197" i="8"/>
  <c r="K197" i="8"/>
  <c r="J197" i="8"/>
  <c r="I197" i="8"/>
  <c r="H197" i="8"/>
  <c r="G197" i="8"/>
  <c r="AL196" i="8"/>
  <c r="AK196" i="8"/>
  <c r="AJ196" i="8"/>
  <c r="AI196" i="8"/>
  <c r="AH196" i="8"/>
  <c r="AG196" i="8"/>
  <c r="AF196" i="8"/>
  <c r="AE196" i="8"/>
  <c r="AD196" i="8"/>
  <c r="AB196" i="8"/>
  <c r="Z196" i="8"/>
  <c r="Y196" i="8"/>
  <c r="X196" i="8"/>
  <c r="W196" i="8"/>
  <c r="U196" i="8"/>
  <c r="T196" i="8"/>
  <c r="S196" i="8"/>
  <c r="R196" i="8"/>
  <c r="Q196" i="8"/>
  <c r="P196" i="8"/>
  <c r="K196" i="8"/>
  <c r="J196" i="8"/>
  <c r="I196" i="8"/>
  <c r="H196" i="8"/>
  <c r="G196" i="8"/>
  <c r="AL195" i="8"/>
  <c r="AJ195" i="8"/>
  <c r="AI195" i="8"/>
  <c r="AH195" i="8"/>
  <c r="AG195" i="8"/>
  <c r="AF195" i="8"/>
  <c r="AE195" i="8"/>
  <c r="AD195" i="8"/>
  <c r="AB195" i="8"/>
  <c r="Z195" i="8"/>
  <c r="Y195" i="8"/>
  <c r="X195" i="8"/>
  <c r="W195" i="8"/>
  <c r="V195" i="8"/>
  <c r="U195" i="8"/>
  <c r="T195" i="8"/>
  <c r="S195" i="8"/>
  <c r="R195" i="8"/>
  <c r="Q195" i="8"/>
  <c r="P195" i="8"/>
  <c r="K195" i="8"/>
  <c r="J195" i="8"/>
  <c r="I195" i="8"/>
  <c r="H195" i="8"/>
  <c r="G195" i="8"/>
  <c r="AL194" i="8"/>
  <c r="AK194" i="8"/>
  <c r="AJ194" i="8"/>
  <c r="AI194" i="8"/>
  <c r="AH194" i="8"/>
  <c r="AG194" i="8"/>
  <c r="AF194" i="8"/>
  <c r="AE194" i="8"/>
  <c r="AD194" i="8"/>
  <c r="AB194" i="8"/>
  <c r="Z194" i="8"/>
  <c r="Y194" i="8"/>
  <c r="X194" i="8"/>
  <c r="W194" i="8"/>
  <c r="U194" i="8"/>
  <c r="T194" i="8"/>
  <c r="S194" i="8"/>
  <c r="R194" i="8"/>
  <c r="Q194" i="8"/>
  <c r="P194" i="8"/>
  <c r="K194" i="8"/>
  <c r="J194" i="8"/>
  <c r="I194" i="8"/>
  <c r="H194" i="8"/>
  <c r="G194" i="8"/>
  <c r="AL193" i="8"/>
  <c r="AJ193" i="8"/>
  <c r="AI193" i="8"/>
  <c r="AH193" i="8"/>
  <c r="AG193" i="8"/>
  <c r="AF193" i="8"/>
  <c r="AD193" i="8"/>
  <c r="AB193" i="8"/>
  <c r="AA193" i="8"/>
  <c r="Z193" i="8"/>
  <c r="Y193" i="8"/>
  <c r="W193" i="8"/>
  <c r="V193" i="8"/>
  <c r="U193" i="8"/>
  <c r="T193" i="8"/>
  <c r="R193" i="8"/>
  <c r="Q193" i="8"/>
  <c r="P193" i="8"/>
  <c r="K193" i="8"/>
  <c r="J193" i="8"/>
  <c r="I193" i="8"/>
  <c r="H193" i="8"/>
  <c r="G193" i="8"/>
  <c r="AL192" i="8"/>
  <c r="AK192" i="8"/>
  <c r="AJ192" i="8"/>
  <c r="AI192" i="8"/>
  <c r="AH192" i="8"/>
  <c r="AG192" i="8"/>
  <c r="AF192" i="8"/>
  <c r="AE192" i="8"/>
  <c r="AC192" i="8"/>
  <c r="AA192" i="8"/>
  <c r="Y192" i="8"/>
  <c r="X192" i="8"/>
  <c r="W192" i="8"/>
  <c r="V192" i="8"/>
  <c r="U192" i="8"/>
  <c r="T192" i="8"/>
  <c r="S192" i="8"/>
  <c r="R192" i="8"/>
  <c r="Q192" i="8"/>
  <c r="P192" i="8"/>
  <c r="K192" i="8"/>
  <c r="J192" i="8"/>
  <c r="I192" i="8"/>
  <c r="H192" i="8"/>
  <c r="G192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Z191" i="8"/>
  <c r="W191" i="8"/>
  <c r="U191" i="8"/>
  <c r="T191" i="8"/>
  <c r="S191" i="8"/>
  <c r="R191" i="8"/>
  <c r="Q191" i="8"/>
  <c r="P191" i="8"/>
  <c r="K191" i="8"/>
  <c r="J191" i="8"/>
  <c r="I191" i="8"/>
  <c r="H191" i="8"/>
  <c r="G191" i="8"/>
  <c r="AL190" i="8"/>
  <c r="AK190" i="8"/>
  <c r="AJ190" i="8"/>
  <c r="AI190" i="8"/>
  <c r="AG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R190" i="8"/>
  <c r="Q190" i="8"/>
  <c r="P190" i="8"/>
  <c r="K190" i="8"/>
  <c r="J190" i="8"/>
  <c r="I190" i="8"/>
  <c r="H190" i="8"/>
  <c r="G190" i="8"/>
  <c r="AL189" i="8"/>
  <c r="AK189" i="8"/>
  <c r="AJ189" i="8"/>
  <c r="AI189" i="8"/>
  <c r="AH189" i="8"/>
  <c r="AG189" i="8"/>
  <c r="AD189" i="8"/>
  <c r="AB189" i="8"/>
  <c r="AA189" i="8"/>
  <c r="Z189" i="8"/>
  <c r="Y189" i="8"/>
  <c r="W189" i="8"/>
  <c r="V189" i="8"/>
  <c r="U189" i="8"/>
  <c r="S189" i="8"/>
  <c r="R189" i="8"/>
  <c r="Q189" i="8"/>
  <c r="P189" i="8"/>
  <c r="K189" i="8"/>
  <c r="J189" i="8"/>
  <c r="I189" i="8"/>
  <c r="H189" i="8"/>
  <c r="G189" i="8"/>
  <c r="AK188" i="8"/>
  <c r="AJ188" i="8"/>
  <c r="AI188" i="8"/>
  <c r="AH188" i="8"/>
  <c r="AG188" i="8"/>
  <c r="AF188" i="8"/>
  <c r="AE188" i="8"/>
  <c r="AD188" i="8"/>
  <c r="AC188" i="8"/>
  <c r="AB188" i="8"/>
  <c r="AA188" i="8"/>
  <c r="Z188" i="8"/>
  <c r="X188" i="8"/>
  <c r="W188" i="8"/>
  <c r="V188" i="8"/>
  <c r="U188" i="8"/>
  <c r="T188" i="8"/>
  <c r="S188" i="8"/>
  <c r="R188" i="8"/>
  <c r="P188" i="8"/>
  <c r="K188" i="8"/>
  <c r="J188" i="8"/>
  <c r="I188" i="8"/>
  <c r="H188" i="8"/>
  <c r="G188" i="8"/>
  <c r="AL187" i="8"/>
  <c r="AK187" i="8"/>
  <c r="AJ187" i="8"/>
  <c r="AH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K187" i="8"/>
  <c r="J187" i="8"/>
  <c r="I187" i="8"/>
  <c r="H187" i="8"/>
  <c r="G187" i="8"/>
  <c r="AJ186" i="8"/>
  <c r="AI186" i="8"/>
  <c r="AH186" i="8"/>
  <c r="AG186" i="8"/>
  <c r="AF186" i="8"/>
  <c r="AE186" i="8"/>
  <c r="AD186" i="8"/>
  <c r="AB186" i="8"/>
  <c r="AA186" i="8"/>
  <c r="Z186" i="8"/>
  <c r="Y186" i="8"/>
  <c r="X186" i="8"/>
  <c r="W186" i="8"/>
  <c r="V186" i="8"/>
  <c r="U186" i="8"/>
  <c r="T186" i="8"/>
  <c r="S186" i="8"/>
  <c r="P186" i="8"/>
  <c r="K186" i="8"/>
  <c r="J186" i="8"/>
  <c r="I186" i="8"/>
  <c r="H186" i="8"/>
  <c r="G186" i="8"/>
  <c r="AL185" i="8"/>
  <c r="AK185" i="8"/>
  <c r="AH185" i="8"/>
  <c r="AF185" i="8"/>
  <c r="AE185" i="8"/>
  <c r="AD185" i="8"/>
  <c r="AC185" i="8"/>
  <c r="AB185" i="8"/>
  <c r="AA185" i="8"/>
  <c r="Z185" i="8"/>
  <c r="X185" i="8"/>
  <c r="W185" i="8"/>
  <c r="V185" i="8"/>
  <c r="U185" i="8"/>
  <c r="T185" i="8"/>
  <c r="R185" i="8"/>
  <c r="Q185" i="8"/>
  <c r="P185" i="8"/>
  <c r="K185" i="8"/>
  <c r="J185" i="8"/>
  <c r="I185" i="8"/>
  <c r="H185" i="8"/>
  <c r="G185" i="8"/>
  <c r="AL184" i="8"/>
  <c r="AK184" i="8"/>
  <c r="AI184" i="8"/>
  <c r="AH184" i="8"/>
  <c r="AG184" i="8"/>
  <c r="AF184" i="8"/>
  <c r="AD184" i="8"/>
  <c r="AC184" i="8"/>
  <c r="AB184" i="8"/>
  <c r="AA184" i="8"/>
  <c r="Y184" i="8"/>
  <c r="X184" i="8"/>
  <c r="W184" i="8"/>
  <c r="V184" i="8"/>
  <c r="U184" i="8"/>
  <c r="T184" i="8"/>
  <c r="S184" i="8"/>
  <c r="R184" i="8"/>
  <c r="Q184" i="8"/>
  <c r="P184" i="8"/>
  <c r="K184" i="8"/>
  <c r="J184" i="8"/>
  <c r="I184" i="8"/>
  <c r="H184" i="8"/>
  <c r="G184" i="8"/>
  <c r="AL183" i="8"/>
  <c r="AK183" i="8"/>
  <c r="AJ183" i="8"/>
  <c r="AI183" i="8"/>
  <c r="AH183" i="8"/>
  <c r="AG183" i="8"/>
  <c r="AE183" i="8"/>
  <c r="AD183" i="8"/>
  <c r="AB183" i="8"/>
  <c r="Z183" i="8"/>
  <c r="Y183" i="8"/>
  <c r="X183" i="8"/>
  <c r="W183" i="8"/>
  <c r="V183" i="8"/>
  <c r="U183" i="8"/>
  <c r="T183" i="8"/>
  <c r="S183" i="8"/>
  <c r="R183" i="8"/>
  <c r="Q183" i="8"/>
  <c r="P183" i="8"/>
  <c r="K183" i="8"/>
  <c r="J183" i="8"/>
  <c r="I183" i="8"/>
  <c r="H183" i="8"/>
  <c r="G183" i="8"/>
  <c r="AL182" i="8"/>
  <c r="AK182" i="8"/>
  <c r="AJ182" i="8"/>
  <c r="AI182" i="8"/>
  <c r="AG182" i="8"/>
  <c r="AE182" i="8"/>
  <c r="AD182" i="8"/>
  <c r="AC182" i="8"/>
  <c r="AA182" i="8"/>
  <c r="Y182" i="8"/>
  <c r="X182" i="8"/>
  <c r="W182" i="8"/>
  <c r="V182" i="8"/>
  <c r="U182" i="8"/>
  <c r="S182" i="8"/>
  <c r="R182" i="8"/>
  <c r="Q182" i="8"/>
  <c r="P182" i="8"/>
  <c r="K182" i="8"/>
  <c r="J182" i="8"/>
  <c r="I182" i="8"/>
  <c r="H182" i="8"/>
  <c r="G182" i="8"/>
  <c r="AL181" i="8"/>
  <c r="AK181" i="8"/>
  <c r="AJ181" i="8"/>
  <c r="AH181" i="8"/>
  <c r="AG181" i="8"/>
  <c r="AE181" i="8"/>
  <c r="AD181" i="8"/>
  <c r="AC181" i="8"/>
  <c r="AB181" i="8"/>
  <c r="AA181" i="8"/>
  <c r="Z181" i="8"/>
  <c r="X181" i="8"/>
  <c r="W181" i="8"/>
  <c r="V181" i="8"/>
  <c r="U181" i="8"/>
  <c r="T181" i="8"/>
  <c r="R181" i="8"/>
  <c r="P181" i="8"/>
  <c r="K181" i="8"/>
  <c r="J181" i="8"/>
  <c r="I181" i="8"/>
  <c r="H181" i="8"/>
  <c r="G181" i="8"/>
  <c r="AL180" i="8"/>
  <c r="AI180" i="8"/>
  <c r="AH180" i="8"/>
  <c r="AG180" i="8"/>
  <c r="AD180" i="8"/>
  <c r="AC180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K180" i="8"/>
  <c r="J180" i="8"/>
  <c r="I180" i="8"/>
  <c r="H180" i="8"/>
  <c r="G180" i="8"/>
  <c r="AL179" i="8"/>
  <c r="AK179" i="8"/>
  <c r="AJ179" i="8"/>
  <c r="AI179" i="8"/>
  <c r="AH179" i="8"/>
  <c r="AG179" i="8"/>
  <c r="AE179" i="8"/>
  <c r="AD179" i="8"/>
  <c r="AB179" i="8"/>
  <c r="AA179" i="8"/>
  <c r="Z179" i="8"/>
  <c r="Y179" i="8"/>
  <c r="X179" i="8"/>
  <c r="W179" i="8"/>
  <c r="U179" i="8"/>
  <c r="T179" i="8"/>
  <c r="S179" i="8"/>
  <c r="R179" i="8"/>
  <c r="Q179" i="8"/>
  <c r="P179" i="8"/>
  <c r="K179" i="8"/>
  <c r="J179" i="8"/>
  <c r="I179" i="8"/>
  <c r="H179" i="8"/>
  <c r="G179" i="8"/>
  <c r="AL178" i="8"/>
  <c r="AK178" i="8"/>
  <c r="AJ178" i="8"/>
  <c r="AI178" i="8"/>
  <c r="AH178" i="8"/>
  <c r="AG178" i="8"/>
  <c r="AD178" i="8"/>
  <c r="AC178" i="8"/>
  <c r="AB178" i="8"/>
  <c r="AA178" i="8"/>
  <c r="Z178" i="8"/>
  <c r="X178" i="8"/>
  <c r="W178" i="8"/>
  <c r="V178" i="8"/>
  <c r="U178" i="8"/>
  <c r="T178" i="8"/>
  <c r="S178" i="8"/>
  <c r="R178" i="8"/>
  <c r="Q178" i="8"/>
  <c r="P178" i="8"/>
  <c r="K178" i="8"/>
  <c r="J178" i="8"/>
  <c r="I178" i="8"/>
  <c r="H178" i="8"/>
  <c r="G178" i="8"/>
  <c r="AL177" i="8"/>
  <c r="AK177" i="8"/>
  <c r="AJ177" i="8"/>
  <c r="AI177" i="8"/>
  <c r="AG177" i="8"/>
  <c r="AF177" i="8"/>
  <c r="AD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K177" i="8"/>
  <c r="J177" i="8"/>
  <c r="I177" i="8"/>
  <c r="H177" i="8"/>
  <c r="G177" i="8"/>
  <c r="AL176" i="8"/>
  <c r="AK176" i="8"/>
  <c r="AJ176" i="8"/>
  <c r="AH176" i="8"/>
  <c r="AG176" i="8"/>
  <c r="AF176" i="8"/>
  <c r="AD176" i="8"/>
  <c r="AC176" i="8"/>
  <c r="AB176" i="8"/>
  <c r="AA176" i="8"/>
  <c r="Z176" i="8"/>
  <c r="Y176" i="8"/>
  <c r="X176" i="8"/>
  <c r="W176" i="8"/>
  <c r="U176" i="8"/>
  <c r="T176" i="8"/>
  <c r="S176" i="8"/>
  <c r="R176" i="8"/>
  <c r="Q176" i="8"/>
  <c r="P176" i="8"/>
  <c r="K176" i="8"/>
  <c r="J176" i="8"/>
  <c r="I176" i="8"/>
  <c r="H176" i="8"/>
  <c r="G176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Y175" i="8"/>
  <c r="X175" i="8"/>
  <c r="W175" i="8"/>
  <c r="V175" i="8"/>
  <c r="U175" i="8"/>
  <c r="T175" i="8"/>
  <c r="S175" i="8"/>
  <c r="Q175" i="8"/>
  <c r="K175" i="8"/>
  <c r="J175" i="8"/>
  <c r="I175" i="8"/>
  <c r="H175" i="8"/>
  <c r="G175" i="8"/>
  <c r="AL174" i="8"/>
  <c r="AK174" i="8"/>
  <c r="AJ174" i="8"/>
  <c r="AI174" i="8"/>
  <c r="AH174" i="8"/>
  <c r="AG174" i="8"/>
  <c r="AF174" i="8"/>
  <c r="AE174" i="8"/>
  <c r="AC174" i="8"/>
  <c r="AB174" i="8"/>
  <c r="AA174" i="8"/>
  <c r="Z174" i="8"/>
  <c r="X174" i="8"/>
  <c r="W174" i="8"/>
  <c r="V174" i="8"/>
  <c r="U174" i="8"/>
  <c r="T174" i="8"/>
  <c r="S174" i="8"/>
  <c r="R174" i="8"/>
  <c r="Q174" i="8"/>
  <c r="K174" i="8"/>
  <c r="J174" i="8"/>
  <c r="I174" i="8"/>
  <c r="H174" i="8"/>
  <c r="G174" i="8"/>
  <c r="AL173" i="8"/>
  <c r="AJ173" i="8"/>
  <c r="AI173" i="8"/>
  <c r="AH173" i="8"/>
  <c r="AG173" i="8"/>
  <c r="AF173" i="8"/>
  <c r="AD173" i="8"/>
  <c r="AC173" i="8"/>
  <c r="AB173" i="8"/>
  <c r="AA173" i="8"/>
  <c r="Z173" i="8"/>
  <c r="W173" i="8"/>
  <c r="V173" i="8"/>
  <c r="U173" i="8"/>
  <c r="T173" i="8"/>
  <c r="R173" i="8"/>
  <c r="Q173" i="8"/>
  <c r="P173" i="8"/>
  <c r="K173" i="8"/>
  <c r="J173" i="8"/>
  <c r="I173" i="8"/>
  <c r="H173" i="8"/>
  <c r="G173" i="8"/>
  <c r="AL172" i="8"/>
  <c r="AI172" i="8"/>
  <c r="AH172" i="8"/>
  <c r="AG172" i="8"/>
  <c r="AE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K172" i="8"/>
  <c r="J172" i="8"/>
  <c r="I172" i="8"/>
  <c r="H172" i="8"/>
  <c r="G172" i="8"/>
  <c r="AK171" i="8"/>
  <c r="AJ171" i="8"/>
  <c r="AI171" i="8"/>
  <c r="AG171" i="8"/>
  <c r="AF171" i="8"/>
  <c r="AE171" i="8"/>
  <c r="AD171" i="8"/>
  <c r="AC171" i="8"/>
  <c r="AB171" i="8"/>
  <c r="AA171" i="8"/>
  <c r="Z171" i="8"/>
  <c r="X171" i="8"/>
  <c r="V171" i="8"/>
  <c r="U171" i="8"/>
  <c r="T171" i="8"/>
  <c r="S171" i="8"/>
  <c r="R171" i="8"/>
  <c r="Q171" i="8"/>
  <c r="K171" i="8"/>
  <c r="J171" i="8"/>
  <c r="I171" i="8"/>
  <c r="H171" i="8"/>
  <c r="G171" i="8"/>
  <c r="AL170" i="8"/>
  <c r="AK170" i="8"/>
  <c r="AJ170" i="8"/>
  <c r="AI170" i="8"/>
  <c r="AH170" i="8"/>
  <c r="AG170" i="8"/>
  <c r="AF170" i="8"/>
  <c r="AE170" i="8"/>
  <c r="AD170" i="8"/>
  <c r="AB170" i="8"/>
  <c r="AA170" i="8"/>
  <c r="Z170" i="8"/>
  <c r="Y170" i="8"/>
  <c r="X170" i="8"/>
  <c r="W170" i="8"/>
  <c r="T170" i="8"/>
  <c r="S170" i="8"/>
  <c r="R170" i="8"/>
  <c r="Q170" i="8"/>
  <c r="P170" i="8"/>
  <c r="K170" i="8"/>
  <c r="J170" i="8"/>
  <c r="I170" i="8"/>
  <c r="H170" i="8"/>
  <c r="G170" i="8"/>
  <c r="AL169" i="8"/>
  <c r="AK169" i="8"/>
  <c r="AJ169" i="8"/>
  <c r="AI169" i="8"/>
  <c r="AG169" i="8"/>
  <c r="AF169" i="8"/>
  <c r="AD169" i="8"/>
  <c r="AC169" i="8"/>
  <c r="AB169" i="8"/>
  <c r="AA169" i="8"/>
  <c r="Z169" i="8"/>
  <c r="Y169" i="8"/>
  <c r="X169" i="8"/>
  <c r="W169" i="8"/>
  <c r="V169" i="8"/>
  <c r="U169" i="8"/>
  <c r="T169" i="8"/>
  <c r="R169" i="8"/>
  <c r="Q169" i="8"/>
  <c r="P169" i="8"/>
  <c r="K169" i="8"/>
  <c r="J169" i="8"/>
  <c r="I169" i="8"/>
  <c r="H169" i="8"/>
  <c r="G169" i="8"/>
  <c r="AL168" i="8"/>
  <c r="AK168" i="8"/>
  <c r="AJ168" i="8"/>
  <c r="AI168" i="8"/>
  <c r="AH168" i="8"/>
  <c r="AG168" i="8"/>
  <c r="AF168" i="8"/>
  <c r="AE168" i="8"/>
  <c r="AC168" i="8"/>
  <c r="AB168" i="8"/>
  <c r="AA168" i="8"/>
  <c r="Z168" i="8"/>
  <c r="Y168" i="8"/>
  <c r="X168" i="8"/>
  <c r="W168" i="8"/>
  <c r="V168" i="8"/>
  <c r="U168" i="8"/>
  <c r="S168" i="8"/>
  <c r="R168" i="8"/>
  <c r="Q168" i="8"/>
  <c r="K168" i="8"/>
  <c r="J168" i="8"/>
  <c r="I168" i="8"/>
  <c r="H168" i="8"/>
  <c r="G168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Y167" i="8"/>
  <c r="W167" i="8"/>
  <c r="V167" i="8"/>
  <c r="U167" i="8"/>
  <c r="T167" i="8"/>
  <c r="S167" i="8"/>
  <c r="R167" i="8"/>
  <c r="P167" i="8"/>
  <c r="K167" i="8"/>
  <c r="J167" i="8"/>
  <c r="I167" i="8"/>
  <c r="H167" i="8"/>
  <c r="G167" i="8"/>
  <c r="AL166" i="8"/>
  <c r="AJ166" i="8"/>
  <c r="AI166" i="8"/>
  <c r="AH166" i="8"/>
  <c r="AG166" i="8"/>
  <c r="AE166" i="8"/>
  <c r="AD166" i="8"/>
  <c r="AC166" i="8"/>
  <c r="AB166" i="8"/>
  <c r="AA166" i="8"/>
  <c r="Z166" i="8"/>
  <c r="Y166" i="8"/>
  <c r="X166" i="8"/>
  <c r="W166" i="8"/>
  <c r="U166" i="8"/>
  <c r="T166" i="8"/>
  <c r="S166" i="8"/>
  <c r="R166" i="8"/>
  <c r="Q166" i="8"/>
  <c r="P166" i="8"/>
  <c r="K166" i="8"/>
  <c r="J166" i="8"/>
  <c r="I166" i="8"/>
  <c r="H166" i="8"/>
  <c r="G166" i="8"/>
  <c r="AL165" i="8"/>
  <c r="AK165" i="8"/>
  <c r="AJ165" i="8"/>
  <c r="AI165" i="8"/>
  <c r="AH165" i="8"/>
  <c r="AG165" i="8"/>
  <c r="AF165" i="8"/>
  <c r="AE165" i="8"/>
  <c r="AC165" i="8"/>
  <c r="AB165" i="8"/>
  <c r="AA165" i="8"/>
  <c r="Z165" i="8"/>
  <c r="Y165" i="8"/>
  <c r="X165" i="8"/>
  <c r="W165" i="8"/>
  <c r="V165" i="8"/>
  <c r="U165" i="8"/>
  <c r="T165" i="8"/>
  <c r="S165" i="8"/>
  <c r="Q165" i="8"/>
  <c r="K165" i="8"/>
  <c r="J165" i="8"/>
  <c r="I165" i="8"/>
  <c r="H165" i="8"/>
  <c r="G165" i="8"/>
  <c r="AL164" i="8"/>
  <c r="AK164" i="8"/>
  <c r="AJ164" i="8"/>
  <c r="AI164" i="8"/>
  <c r="AH164" i="8"/>
  <c r="AG164" i="8"/>
  <c r="AE164" i="8"/>
  <c r="AD164" i="8"/>
  <c r="AC164" i="8"/>
  <c r="AA164" i="8"/>
  <c r="Z164" i="8"/>
  <c r="Y164" i="8"/>
  <c r="X164" i="8"/>
  <c r="W164" i="8"/>
  <c r="U164" i="8"/>
  <c r="T164" i="8"/>
  <c r="S164" i="8"/>
  <c r="R164" i="8"/>
  <c r="Q164" i="8"/>
  <c r="P164" i="8"/>
  <c r="K164" i="8"/>
  <c r="J164" i="8"/>
  <c r="I164" i="8"/>
  <c r="H164" i="8"/>
  <c r="G164" i="8"/>
  <c r="AK163" i="8"/>
  <c r="AJ163" i="8"/>
  <c r="AH163" i="8"/>
  <c r="AG163" i="8"/>
  <c r="AF163" i="8"/>
  <c r="AE163" i="8"/>
  <c r="AD163" i="8"/>
  <c r="AC163" i="8"/>
  <c r="AB163" i="8"/>
  <c r="AA163" i="8"/>
  <c r="Z163" i="8"/>
  <c r="Y163" i="8"/>
  <c r="W163" i="8"/>
  <c r="V163" i="8"/>
  <c r="U163" i="8"/>
  <c r="T163" i="8"/>
  <c r="S163" i="8"/>
  <c r="R163" i="8"/>
  <c r="Q163" i="8"/>
  <c r="P163" i="8"/>
  <c r="K163" i="8"/>
  <c r="J163" i="8"/>
  <c r="I163" i="8"/>
  <c r="H163" i="8"/>
  <c r="G163" i="8"/>
  <c r="AK162" i="8"/>
  <c r="AH162" i="8"/>
  <c r="AF162" i="8"/>
  <c r="AE162" i="8"/>
  <c r="AD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K162" i="8"/>
  <c r="J162" i="8"/>
  <c r="I162" i="8"/>
  <c r="H162" i="8"/>
  <c r="G162" i="8"/>
  <c r="AL161" i="8"/>
  <c r="AK161" i="8"/>
  <c r="AJ161" i="8"/>
  <c r="AI161" i="8"/>
  <c r="AH161" i="8"/>
  <c r="AF161" i="8"/>
  <c r="AD161" i="8"/>
  <c r="AC161" i="8"/>
  <c r="AB161" i="8"/>
  <c r="AA161" i="8"/>
  <c r="Z161" i="8"/>
  <c r="Y161" i="8"/>
  <c r="X161" i="8"/>
  <c r="W161" i="8"/>
  <c r="U161" i="8"/>
  <c r="T161" i="8"/>
  <c r="S161" i="8"/>
  <c r="R161" i="8"/>
  <c r="Q161" i="8"/>
  <c r="P161" i="8"/>
  <c r="K161" i="8"/>
  <c r="J161" i="8"/>
  <c r="I161" i="8"/>
  <c r="H161" i="8"/>
  <c r="G161" i="8"/>
  <c r="AL160" i="8"/>
  <c r="AK160" i="8"/>
  <c r="AI160" i="8"/>
  <c r="AG160" i="8"/>
  <c r="AD160" i="8"/>
  <c r="AC160" i="8"/>
  <c r="AB160" i="8"/>
  <c r="AA160" i="8"/>
  <c r="Z160" i="8"/>
  <c r="Y160" i="8"/>
  <c r="X160" i="8"/>
  <c r="W160" i="8"/>
  <c r="V160" i="8"/>
  <c r="U160" i="8"/>
  <c r="T160" i="8"/>
  <c r="R160" i="8"/>
  <c r="Q160" i="8"/>
  <c r="P160" i="8"/>
  <c r="K160" i="8"/>
  <c r="J160" i="8"/>
  <c r="I160" i="8"/>
  <c r="H160" i="8"/>
  <c r="G160" i="8"/>
  <c r="AL159" i="8"/>
  <c r="AK159" i="8"/>
  <c r="AJ159" i="8"/>
  <c r="AI159" i="8"/>
  <c r="AG159" i="8"/>
  <c r="AE159" i="8"/>
  <c r="AD159" i="8"/>
  <c r="AC159" i="8"/>
  <c r="AB159" i="8"/>
  <c r="AA159" i="8"/>
  <c r="Z159" i="8"/>
  <c r="Y159" i="8"/>
  <c r="X159" i="8"/>
  <c r="W159" i="8"/>
  <c r="V159" i="8"/>
  <c r="T159" i="8"/>
  <c r="S159" i="8"/>
  <c r="R159" i="8"/>
  <c r="Q159" i="8"/>
  <c r="P159" i="8"/>
  <c r="K159" i="8"/>
  <c r="J159" i="8"/>
  <c r="I159" i="8"/>
  <c r="H159" i="8"/>
  <c r="G159" i="8"/>
  <c r="AK158" i="8"/>
  <c r="AJ158" i="8"/>
  <c r="AI158" i="8"/>
  <c r="AH158" i="8"/>
  <c r="AG158" i="8"/>
  <c r="AF158" i="8"/>
  <c r="AE158" i="8"/>
  <c r="AD158" i="8"/>
  <c r="AC158" i="8"/>
  <c r="AB158" i="8"/>
  <c r="AA158" i="8"/>
  <c r="Z158" i="8"/>
  <c r="Y158" i="8"/>
  <c r="V158" i="8"/>
  <c r="U158" i="8"/>
  <c r="T158" i="8"/>
  <c r="S158" i="8"/>
  <c r="P158" i="8"/>
  <c r="K158" i="8"/>
  <c r="J158" i="8"/>
  <c r="I158" i="8"/>
  <c r="H158" i="8"/>
  <c r="G158" i="8"/>
  <c r="AL157" i="8"/>
  <c r="AJ157" i="8"/>
  <c r="AI157" i="8"/>
  <c r="AH157" i="8"/>
  <c r="AG157" i="8"/>
  <c r="AD157" i="8"/>
  <c r="AC157" i="8"/>
  <c r="AB157" i="8"/>
  <c r="AA157" i="8"/>
  <c r="Z157" i="8"/>
  <c r="Y157" i="8"/>
  <c r="X157" i="8"/>
  <c r="W157" i="8"/>
  <c r="V157" i="8"/>
  <c r="U157" i="8"/>
  <c r="T157" i="8"/>
  <c r="R157" i="8"/>
  <c r="P157" i="8"/>
  <c r="K157" i="8"/>
  <c r="J157" i="8"/>
  <c r="I157" i="8"/>
  <c r="H157" i="8"/>
  <c r="G157" i="8"/>
  <c r="AL156" i="8"/>
  <c r="AK156" i="8"/>
  <c r="AJ156" i="8"/>
  <c r="AI156" i="8"/>
  <c r="AH156" i="8"/>
  <c r="AG156" i="8"/>
  <c r="AF156" i="8"/>
  <c r="AE156" i="8"/>
  <c r="AD156" i="8"/>
  <c r="AC156" i="8"/>
  <c r="AA156" i="8"/>
  <c r="Y156" i="8"/>
  <c r="X156" i="8"/>
  <c r="W156" i="8"/>
  <c r="U156" i="8"/>
  <c r="T156" i="8"/>
  <c r="S156" i="8"/>
  <c r="R156" i="8"/>
  <c r="Q156" i="8"/>
  <c r="P156" i="8"/>
  <c r="K156" i="8"/>
  <c r="J156" i="8"/>
  <c r="I156" i="8"/>
  <c r="H156" i="8"/>
  <c r="G156" i="8"/>
  <c r="AL155" i="8"/>
  <c r="AK155" i="8"/>
  <c r="AJ155" i="8"/>
  <c r="AI155" i="8"/>
  <c r="AH155" i="8"/>
  <c r="AG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P155" i="8"/>
  <c r="K155" i="8"/>
  <c r="J155" i="8"/>
  <c r="I155" i="8"/>
  <c r="H155" i="8"/>
  <c r="G155" i="8"/>
  <c r="AK154" i="8"/>
  <c r="AJ154" i="8"/>
  <c r="AI154" i="8"/>
  <c r="AH154" i="8"/>
  <c r="AF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K154" i="8"/>
  <c r="J154" i="8"/>
  <c r="I154" i="8"/>
  <c r="H154" i="8"/>
  <c r="G154" i="8"/>
  <c r="AL153" i="8"/>
  <c r="AK153" i="8"/>
  <c r="AJ153" i="8"/>
  <c r="AI153" i="8"/>
  <c r="AH153" i="8"/>
  <c r="AG153" i="8"/>
  <c r="AF153" i="8"/>
  <c r="AE153" i="8"/>
  <c r="AC153" i="8"/>
  <c r="AA153" i="8"/>
  <c r="Y153" i="8"/>
  <c r="W153" i="8"/>
  <c r="U153" i="8"/>
  <c r="T153" i="8"/>
  <c r="S153" i="8"/>
  <c r="R153" i="8"/>
  <c r="Q153" i="8"/>
  <c r="P153" i="8"/>
  <c r="K153" i="8"/>
  <c r="J153" i="8"/>
  <c r="I153" i="8"/>
  <c r="H153" i="8"/>
  <c r="G153" i="8"/>
  <c r="AL152" i="8"/>
  <c r="AK152" i="8"/>
  <c r="AJ152" i="8"/>
  <c r="AI152" i="8"/>
  <c r="AH152" i="8"/>
  <c r="AG152" i="8"/>
  <c r="AF152" i="8"/>
  <c r="AE152" i="8"/>
  <c r="AD152" i="8"/>
  <c r="AC152" i="8"/>
  <c r="AB152" i="8"/>
  <c r="AA152" i="8"/>
  <c r="Z152" i="8"/>
  <c r="V152" i="8"/>
  <c r="U152" i="8"/>
  <c r="T152" i="8"/>
  <c r="S152" i="8"/>
  <c r="R152" i="8"/>
  <c r="Q152" i="8"/>
  <c r="P152" i="8"/>
  <c r="K152" i="8"/>
  <c r="J152" i="8"/>
  <c r="I152" i="8"/>
  <c r="H152" i="8"/>
  <c r="G152" i="8"/>
  <c r="AL151" i="8"/>
  <c r="AK151" i="8"/>
  <c r="AJ151" i="8"/>
  <c r="AI151" i="8"/>
  <c r="AH151" i="8"/>
  <c r="AG151" i="8"/>
  <c r="AF151" i="8"/>
  <c r="AE151" i="8"/>
  <c r="AD151" i="8"/>
  <c r="AB151" i="8"/>
  <c r="AA151" i="8"/>
  <c r="Z151" i="8"/>
  <c r="Y151" i="8"/>
  <c r="X151" i="8"/>
  <c r="V151" i="8"/>
  <c r="U151" i="8"/>
  <c r="T151" i="8"/>
  <c r="S151" i="8"/>
  <c r="R151" i="8"/>
  <c r="P151" i="8"/>
  <c r="K151" i="8"/>
  <c r="J151" i="8"/>
  <c r="I151" i="8"/>
  <c r="H151" i="8"/>
  <c r="G151" i="8"/>
  <c r="AL150" i="8"/>
  <c r="AK150" i="8"/>
  <c r="AJ150" i="8"/>
  <c r="AI150" i="8"/>
  <c r="AH150" i="8"/>
  <c r="AG150" i="8"/>
  <c r="AF150" i="8"/>
  <c r="AE150" i="8"/>
  <c r="AC150" i="8"/>
  <c r="AB150" i="8"/>
  <c r="Z150" i="8"/>
  <c r="Y150" i="8"/>
  <c r="X150" i="8"/>
  <c r="W150" i="8"/>
  <c r="V150" i="8"/>
  <c r="U150" i="8"/>
  <c r="S150" i="8"/>
  <c r="R150" i="8"/>
  <c r="Q150" i="8"/>
  <c r="P150" i="8"/>
  <c r="K150" i="8"/>
  <c r="J150" i="8"/>
  <c r="I150" i="8"/>
  <c r="H150" i="8"/>
  <c r="G150" i="8"/>
  <c r="AL149" i="8"/>
  <c r="AK149" i="8"/>
  <c r="AJ149" i="8"/>
  <c r="AI149" i="8"/>
  <c r="AH149" i="8"/>
  <c r="AG149" i="8"/>
  <c r="AF149" i="8"/>
  <c r="AD149" i="8"/>
  <c r="AC149" i="8"/>
  <c r="AB149" i="8"/>
  <c r="AA149" i="8"/>
  <c r="Z149" i="8"/>
  <c r="Y149" i="8"/>
  <c r="X149" i="8"/>
  <c r="W149" i="8"/>
  <c r="V149" i="8"/>
  <c r="U149" i="8"/>
  <c r="S149" i="8"/>
  <c r="R149" i="8"/>
  <c r="Q149" i="8"/>
  <c r="K149" i="8"/>
  <c r="J149" i="8"/>
  <c r="I149" i="8"/>
  <c r="H149" i="8"/>
  <c r="G149" i="8"/>
  <c r="AL148" i="8"/>
  <c r="AK148" i="8"/>
  <c r="AH148" i="8"/>
  <c r="AG148" i="8"/>
  <c r="AF148" i="8"/>
  <c r="AE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K148" i="8"/>
  <c r="J148" i="8"/>
  <c r="I148" i="8"/>
  <c r="H148" i="8"/>
  <c r="G148" i="8"/>
  <c r="AL147" i="8"/>
  <c r="AK147" i="8"/>
  <c r="AI147" i="8"/>
  <c r="AH147" i="8"/>
  <c r="AG147" i="8"/>
  <c r="AF147" i="8"/>
  <c r="AE147" i="8"/>
  <c r="AD147" i="8"/>
  <c r="AC147" i="8"/>
  <c r="AB147" i="8"/>
  <c r="AA147" i="8"/>
  <c r="Z147" i="8"/>
  <c r="Y147" i="8"/>
  <c r="W147" i="8"/>
  <c r="U147" i="8"/>
  <c r="T147" i="8"/>
  <c r="S147" i="8"/>
  <c r="R147" i="8"/>
  <c r="Q147" i="8"/>
  <c r="P147" i="8"/>
  <c r="K147" i="8"/>
  <c r="J147" i="8"/>
  <c r="I147" i="8"/>
  <c r="H147" i="8"/>
  <c r="G147" i="8"/>
  <c r="AL146" i="8"/>
  <c r="AK146" i="8"/>
  <c r="AI146" i="8"/>
  <c r="AH146" i="8"/>
  <c r="AG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P146" i="8"/>
  <c r="K146" i="8"/>
  <c r="J146" i="8"/>
  <c r="I146" i="8"/>
  <c r="H146" i="8"/>
  <c r="G146" i="8"/>
  <c r="AL145" i="8"/>
  <c r="AK145" i="8"/>
  <c r="AI145" i="8"/>
  <c r="AH145" i="8"/>
  <c r="AG145" i="8"/>
  <c r="AF145" i="8"/>
  <c r="AE145" i="8"/>
  <c r="AD145" i="8"/>
  <c r="AB145" i="8"/>
  <c r="AA145" i="8"/>
  <c r="Z145" i="8"/>
  <c r="Y145" i="8"/>
  <c r="W145" i="8"/>
  <c r="V145" i="8"/>
  <c r="U145" i="8"/>
  <c r="T145" i="8"/>
  <c r="S145" i="8"/>
  <c r="R145" i="8"/>
  <c r="Q145" i="8"/>
  <c r="P145" i="8"/>
  <c r="K145" i="8"/>
  <c r="J145" i="8"/>
  <c r="I145" i="8"/>
  <c r="H145" i="8"/>
  <c r="G145" i="8"/>
  <c r="AL144" i="8"/>
  <c r="AK144" i="8"/>
  <c r="AJ144" i="8"/>
  <c r="AI144" i="8"/>
  <c r="AH144" i="8"/>
  <c r="AG144" i="8"/>
  <c r="AE144" i="8"/>
  <c r="AD144" i="8"/>
  <c r="AC144" i="8"/>
  <c r="AA144" i="8"/>
  <c r="Z144" i="8"/>
  <c r="Y144" i="8"/>
  <c r="X144" i="8"/>
  <c r="W144" i="8"/>
  <c r="U144" i="8"/>
  <c r="T144" i="8"/>
  <c r="S144" i="8"/>
  <c r="R144" i="8"/>
  <c r="Q144" i="8"/>
  <c r="P144" i="8"/>
  <c r="K144" i="8"/>
  <c r="J144" i="8"/>
  <c r="I144" i="8"/>
  <c r="H144" i="8"/>
  <c r="G144" i="8"/>
  <c r="AL143" i="8"/>
  <c r="AK143" i="8"/>
  <c r="AJ143" i="8"/>
  <c r="AI143" i="8"/>
  <c r="AH143" i="8"/>
  <c r="AG143" i="8"/>
  <c r="AF143" i="8"/>
  <c r="AE143" i="8"/>
  <c r="AD143" i="8"/>
  <c r="AC143" i="8"/>
  <c r="AA143" i="8"/>
  <c r="Y143" i="8"/>
  <c r="X143" i="8"/>
  <c r="W143" i="8"/>
  <c r="U143" i="8"/>
  <c r="T143" i="8"/>
  <c r="S143" i="8"/>
  <c r="R143" i="8"/>
  <c r="Q143" i="8"/>
  <c r="P143" i="8"/>
  <c r="K143" i="8"/>
  <c r="J143" i="8"/>
  <c r="I143" i="8"/>
  <c r="H143" i="8"/>
  <c r="G143" i="8"/>
  <c r="AL142" i="8"/>
  <c r="AK142" i="8"/>
  <c r="AI142" i="8"/>
  <c r="AH142" i="8"/>
  <c r="AG142" i="8"/>
  <c r="AF142" i="8"/>
  <c r="AD142" i="8"/>
  <c r="AC142" i="8"/>
  <c r="AB142" i="8"/>
  <c r="Z142" i="8"/>
  <c r="X142" i="8"/>
  <c r="W142" i="8"/>
  <c r="U142" i="8"/>
  <c r="T142" i="8"/>
  <c r="S142" i="8"/>
  <c r="R142" i="8"/>
  <c r="Q142" i="8"/>
  <c r="P142" i="8"/>
  <c r="K142" i="8"/>
  <c r="J142" i="8"/>
  <c r="I142" i="8"/>
  <c r="H142" i="8"/>
  <c r="G142" i="8"/>
  <c r="AK141" i="8"/>
  <c r="AI141" i="8"/>
  <c r="AH141" i="8"/>
  <c r="AF141" i="8"/>
  <c r="AE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P141" i="8"/>
  <c r="K141" i="8"/>
  <c r="J141" i="8"/>
  <c r="I141" i="8"/>
  <c r="H141" i="8"/>
  <c r="G141" i="8"/>
  <c r="AL140" i="8"/>
  <c r="AJ140" i="8"/>
  <c r="AH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P140" i="8"/>
  <c r="K140" i="8"/>
  <c r="J140" i="8"/>
  <c r="I140" i="8"/>
  <c r="H140" i="8"/>
  <c r="G140" i="8"/>
  <c r="AL139" i="8"/>
  <c r="AJ139" i="8"/>
  <c r="AI139" i="8"/>
  <c r="AH139" i="8"/>
  <c r="AF139" i="8"/>
  <c r="AE139" i="8"/>
  <c r="AD139" i="8"/>
  <c r="AC139" i="8"/>
  <c r="AB139" i="8"/>
  <c r="AA139" i="8"/>
  <c r="Z139" i="8"/>
  <c r="Y139" i="8"/>
  <c r="W139" i="8"/>
  <c r="V139" i="8"/>
  <c r="U139" i="8"/>
  <c r="T139" i="8"/>
  <c r="S139" i="8"/>
  <c r="P139" i="8"/>
  <c r="K139" i="8"/>
  <c r="J139" i="8"/>
  <c r="I139" i="8"/>
  <c r="H139" i="8"/>
  <c r="G139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V138" i="8"/>
  <c r="U138" i="8"/>
  <c r="T138" i="8"/>
  <c r="S138" i="8"/>
  <c r="R138" i="8"/>
  <c r="Q138" i="8"/>
  <c r="P138" i="8"/>
  <c r="K138" i="8"/>
  <c r="J138" i="8"/>
  <c r="I138" i="8"/>
  <c r="H138" i="8"/>
  <c r="G138" i="8"/>
  <c r="AL137" i="8"/>
  <c r="AK137" i="8"/>
  <c r="AJ137" i="8"/>
  <c r="AI137" i="8"/>
  <c r="AH137" i="8"/>
  <c r="AG137" i="8"/>
  <c r="AF137" i="8"/>
  <c r="AE137" i="8"/>
  <c r="AD137" i="8"/>
  <c r="AC137" i="8"/>
  <c r="AB137" i="8"/>
  <c r="Z137" i="8"/>
  <c r="X137" i="8"/>
  <c r="W137" i="8"/>
  <c r="V137" i="8"/>
  <c r="U137" i="8"/>
  <c r="T137" i="8"/>
  <c r="S137" i="8"/>
  <c r="R137" i="8"/>
  <c r="P137" i="8"/>
  <c r="K137" i="8"/>
  <c r="J137" i="8"/>
  <c r="I137" i="8"/>
  <c r="H137" i="8"/>
  <c r="G137" i="8"/>
  <c r="AL136" i="8"/>
  <c r="AK136" i="8"/>
  <c r="AJ136" i="8"/>
  <c r="AI136" i="8"/>
  <c r="AG136" i="8"/>
  <c r="AF136" i="8"/>
  <c r="AD136" i="8"/>
  <c r="AC136" i="8"/>
  <c r="AB136" i="8"/>
  <c r="AA136" i="8"/>
  <c r="Z136" i="8"/>
  <c r="X136" i="8"/>
  <c r="W136" i="8"/>
  <c r="T136" i="8"/>
  <c r="S136" i="8"/>
  <c r="R136" i="8"/>
  <c r="Q136" i="8"/>
  <c r="P136" i="8"/>
  <c r="K136" i="8"/>
  <c r="J136" i="8"/>
  <c r="I136" i="8"/>
  <c r="H136" i="8"/>
  <c r="G136" i="8"/>
  <c r="AL135" i="8"/>
  <c r="AK135" i="8"/>
  <c r="AI135" i="8"/>
  <c r="AH135" i="8"/>
  <c r="AG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P135" i="8"/>
  <c r="K135" i="8"/>
  <c r="J135" i="8"/>
  <c r="I135" i="8"/>
  <c r="H135" i="8"/>
  <c r="G135" i="8"/>
  <c r="AL134" i="8"/>
  <c r="AK134" i="8"/>
  <c r="AJ134" i="8"/>
  <c r="AI134" i="8"/>
  <c r="AH134" i="8"/>
  <c r="AG134" i="8"/>
  <c r="AE134" i="8"/>
  <c r="AD134" i="8"/>
  <c r="AB134" i="8"/>
  <c r="AA134" i="8"/>
  <c r="Z134" i="8"/>
  <c r="Y134" i="8"/>
  <c r="X134" i="8"/>
  <c r="W134" i="8"/>
  <c r="U134" i="8"/>
  <c r="T134" i="8"/>
  <c r="S134" i="8"/>
  <c r="R134" i="8"/>
  <c r="Q134" i="8"/>
  <c r="P134" i="8"/>
  <c r="K134" i="8"/>
  <c r="J134" i="8"/>
  <c r="I134" i="8"/>
  <c r="H134" i="8"/>
  <c r="G134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R133" i="8"/>
  <c r="Q133" i="8"/>
  <c r="P133" i="8"/>
  <c r="K133" i="8"/>
  <c r="J133" i="8"/>
  <c r="I133" i="8"/>
  <c r="H133" i="8"/>
  <c r="G133" i="8"/>
  <c r="AL132" i="8"/>
  <c r="AK132" i="8"/>
  <c r="AI132" i="8"/>
  <c r="AH132" i="8"/>
  <c r="AG132" i="8"/>
  <c r="AF132" i="8"/>
  <c r="AE132" i="8"/>
  <c r="AD132" i="8"/>
  <c r="AB132" i="8"/>
  <c r="Z132" i="8"/>
  <c r="Y132" i="8"/>
  <c r="X132" i="8"/>
  <c r="W132" i="8"/>
  <c r="V132" i="8"/>
  <c r="U132" i="8"/>
  <c r="T132" i="8"/>
  <c r="S132" i="8"/>
  <c r="R132" i="8"/>
  <c r="Q132" i="8"/>
  <c r="P132" i="8"/>
  <c r="K132" i="8"/>
  <c r="J132" i="8"/>
  <c r="I132" i="8"/>
  <c r="H132" i="8"/>
  <c r="G132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X131" i="8"/>
  <c r="V131" i="8"/>
  <c r="T131" i="8"/>
  <c r="S131" i="8"/>
  <c r="R131" i="8"/>
  <c r="Q131" i="8"/>
  <c r="P131" i="8"/>
  <c r="K131" i="8"/>
  <c r="J131" i="8"/>
  <c r="I131" i="8"/>
  <c r="H131" i="8"/>
  <c r="G131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X130" i="8"/>
  <c r="V130" i="8"/>
  <c r="T130" i="8"/>
  <c r="S130" i="8"/>
  <c r="R130" i="8"/>
  <c r="Q130" i="8"/>
  <c r="P130" i="8"/>
  <c r="K130" i="8"/>
  <c r="J130" i="8"/>
  <c r="I130" i="8"/>
  <c r="H130" i="8"/>
  <c r="G130" i="8"/>
  <c r="AL129" i="8"/>
  <c r="AK129" i="8"/>
  <c r="AJ129" i="8"/>
  <c r="AI129" i="8"/>
  <c r="AH129" i="8"/>
  <c r="AG129" i="8"/>
  <c r="AE129" i="8"/>
  <c r="AD129" i="8"/>
  <c r="AB129" i="8"/>
  <c r="AA129" i="8"/>
  <c r="Z129" i="8"/>
  <c r="Y129" i="8"/>
  <c r="X129" i="8"/>
  <c r="V129" i="8"/>
  <c r="U129" i="8"/>
  <c r="T129" i="8"/>
  <c r="S129" i="8"/>
  <c r="R129" i="8"/>
  <c r="Q129" i="8"/>
  <c r="P129" i="8"/>
  <c r="K129" i="8"/>
  <c r="J129" i="8"/>
  <c r="I129" i="8"/>
  <c r="H129" i="8"/>
  <c r="G129" i="8"/>
  <c r="AL128" i="8"/>
  <c r="AK128" i="8"/>
  <c r="AJ128" i="8"/>
  <c r="AI128" i="8"/>
  <c r="AG128" i="8"/>
  <c r="AE128" i="8"/>
  <c r="AD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K128" i="8"/>
  <c r="J128" i="8"/>
  <c r="I128" i="8"/>
  <c r="H128" i="8"/>
  <c r="G128" i="8"/>
  <c r="AL127" i="8"/>
  <c r="AK127" i="8"/>
  <c r="AJ127" i="8"/>
  <c r="AI127" i="8"/>
  <c r="AH127" i="8"/>
  <c r="AG127" i="8"/>
  <c r="AE127" i="8"/>
  <c r="AD127" i="8"/>
  <c r="AB127" i="8"/>
  <c r="AA127" i="8"/>
  <c r="Z127" i="8"/>
  <c r="Y127" i="8"/>
  <c r="X127" i="8"/>
  <c r="W127" i="8"/>
  <c r="V127" i="8"/>
  <c r="T127" i="8"/>
  <c r="S127" i="8"/>
  <c r="R127" i="8"/>
  <c r="Q127" i="8"/>
  <c r="P127" i="8"/>
  <c r="K127" i="8"/>
  <c r="J127" i="8"/>
  <c r="I127" i="8"/>
  <c r="H127" i="8"/>
  <c r="G127" i="8"/>
  <c r="AL126" i="8"/>
  <c r="AK126" i="8"/>
  <c r="AJ126" i="8"/>
  <c r="AI126" i="8"/>
  <c r="AG126" i="8"/>
  <c r="AF126" i="8"/>
  <c r="AE126" i="8"/>
  <c r="AD126" i="8"/>
  <c r="AC126" i="8"/>
  <c r="AB126" i="8"/>
  <c r="AA126" i="8"/>
  <c r="Z126" i="8"/>
  <c r="Y126" i="8"/>
  <c r="X126" i="8"/>
  <c r="V126" i="8"/>
  <c r="U126" i="8"/>
  <c r="S126" i="8"/>
  <c r="R126" i="8"/>
  <c r="Q126" i="8"/>
  <c r="P126" i="8"/>
  <c r="K126" i="8"/>
  <c r="J126" i="8"/>
  <c r="I126" i="8"/>
  <c r="H126" i="8"/>
  <c r="G126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X125" i="8"/>
  <c r="V125" i="8"/>
  <c r="T125" i="8"/>
  <c r="S125" i="8"/>
  <c r="R125" i="8"/>
  <c r="Q125" i="8"/>
  <c r="P125" i="8"/>
  <c r="K125" i="8"/>
  <c r="J125" i="8"/>
  <c r="I125" i="8"/>
  <c r="H125" i="8"/>
  <c r="G125" i="8"/>
  <c r="AL124" i="8"/>
  <c r="AK124" i="8"/>
  <c r="AI124" i="8"/>
  <c r="AH124" i="8"/>
  <c r="AF124" i="8"/>
  <c r="AE124" i="8"/>
  <c r="AD124" i="8"/>
  <c r="AC124" i="8"/>
  <c r="AA124" i="8"/>
  <c r="Y124" i="8"/>
  <c r="X124" i="8"/>
  <c r="W124" i="8"/>
  <c r="V124" i="8"/>
  <c r="U124" i="8"/>
  <c r="T124" i="8"/>
  <c r="S124" i="8"/>
  <c r="R124" i="8"/>
  <c r="P124" i="8"/>
  <c r="K124" i="8"/>
  <c r="J124" i="8"/>
  <c r="I124" i="8"/>
  <c r="H124" i="8"/>
  <c r="G124" i="8"/>
  <c r="AL123" i="8"/>
  <c r="AK123" i="8"/>
  <c r="AJ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U123" i="8"/>
  <c r="T123" i="8"/>
  <c r="S123" i="8"/>
  <c r="Q123" i="8"/>
  <c r="P123" i="8"/>
  <c r="K123" i="8"/>
  <c r="J123" i="8"/>
  <c r="I123" i="8"/>
  <c r="H123" i="8"/>
  <c r="G123" i="8"/>
  <c r="AL122" i="8"/>
  <c r="AK122" i="8"/>
  <c r="AJ122" i="8"/>
  <c r="AI122" i="8"/>
  <c r="AH122" i="8"/>
  <c r="AG122" i="8"/>
  <c r="AF122" i="8"/>
  <c r="AE122" i="8"/>
  <c r="AC122" i="8"/>
  <c r="AB122" i="8"/>
  <c r="AA122" i="8"/>
  <c r="Z122" i="8"/>
  <c r="Y122" i="8"/>
  <c r="W122" i="8"/>
  <c r="V122" i="8"/>
  <c r="T122" i="8"/>
  <c r="S122" i="8"/>
  <c r="R122" i="8"/>
  <c r="Q122" i="8"/>
  <c r="P122" i="8"/>
  <c r="K122" i="8"/>
  <c r="J122" i="8"/>
  <c r="I122" i="8"/>
  <c r="H122" i="8"/>
  <c r="G122" i="8"/>
  <c r="AL121" i="8"/>
  <c r="AK121" i="8"/>
  <c r="AJ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R121" i="8"/>
  <c r="P121" i="8"/>
  <c r="K121" i="8"/>
  <c r="J121" i="8"/>
  <c r="I121" i="8"/>
  <c r="H121" i="8"/>
  <c r="G121" i="8"/>
  <c r="AL120" i="8"/>
  <c r="AK120" i="8"/>
  <c r="AJ120" i="8"/>
  <c r="AH120" i="8"/>
  <c r="AF120" i="8"/>
  <c r="AE120" i="8"/>
  <c r="AD120" i="8"/>
  <c r="AB120" i="8"/>
  <c r="AA120" i="8"/>
  <c r="Z120" i="8"/>
  <c r="Y120" i="8"/>
  <c r="X120" i="8"/>
  <c r="W120" i="8"/>
  <c r="V120" i="8"/>
  <c r="U120" i="8"/>
  <c r="T120" i="8"/>
  <c r="R120" i="8"/>
  <c r="Q120" i="8"/>
  <c r="K120" i="8"/>
  <c r="J120" i="8"/>
  <c r="I120" i="8"/>
  <c r="H120" i="8"/>
  <c r="G120" i="8"/>
  <c r="AL119" i="8"/>
  <c r="AK119" i="8"/>
  <c r="AJ119" i="8"/>
  <c r="AI119" i="8"/>
  <c r="AH119" i="8"/>
  <c r="AF119" i="8"/>
  <c r="AE119" i="8"/>
  <c r="AD119" i="8"/>
  <c r="AC119" i="8"/>
  <c r="AA119" i="8"/>
  <c r="Y119" i="8"/>
  <c r="X119" i="8"/>
  <c r="W119" i="8"/>
  <c r="V119" i="8"/>
  <c r="U119" i="8"/>
  <c r="T119" i="8"/>
  <c r="S119" i="8"/>
  <c r="R119" i="8"/>
  <c r="Q119" i="8"/>
  <c r="P119" i="8"/>
  <c r="K119" i="8"/>
  <c r="J119" i="8"/>
  <c r="I119" i="8"/>
  <c r="H119" i="8"/>
  <c r="G119" i="8"/>
  <c r="AL118" i="8"/>
  <c r="AK118" i="8"/>
  <c r="AJ118" i="8"/>
  <c r="AI118" i="8"/>
  <c r="AG118" i="8"/>
  <c r="AF118" i="8"/>
  <c r="AE118" i="8"/>
  <c r="AD118" i="8"/>
  <c r="AC118" i="8"/>
  <c r="AB118" i="8"/>
  <c r="AA118" i="8"/>
  <c r="Y118" i="8"/>
  <c r="X118" i="8"/>
  <c r="W118" i="8"/>
  <c r="V118" i="8"/>
  <c r="U118" i="8"/>
  <c r="T118" i="8"/>
  <c r="S118" i="8"/>
  <c r="R118" i="8"/>
  <c r="Q118" i="8"/>
  <c r="K118" i="8"/>
  <c r="J118" i="8"/>
  <c r="I118" i="8"/>
  <c r="H118" i="8"/>
  <c r="G118" i="8"/>
  <c r="AL117" i="8"/>
  <c r="AK117" i="8"/>
  <c r="AJ117" i="8"/>
  <c r="AI117" i="8"/>
  <c r="AG117" i="8"/>
  <c r="AF117" i="8"/>
  <c r="AE117" i="8"/>
  <c r="AD117" i="8"/>
  <c r="AC117" i="8"/>
  <c r="AB117" i="8"/>
  <c r="AA117" i="8"/>
  <c r="Z117" i="8"/>
  <c r="Y117" i="8"/>
  <c r="X117" i="8"/>
  <c r="V117" i="8"/>
  <c r="U117" i="8"/>
  <c r="T117" i="8"/>
  <c r="R117" i="8"/>
  <c r="Q117" i="8"/>
  <c r="P117" i="8"/>
  <c r="K117" i="8"/>
  <c r="J117" i="8"/>
  <c r="I117" i="8"/>
  <c r="H117" i="8"/>
  <c r="G117" i="8"/>
  <c r="AL116" i="8"/>
  <c r="AK116" i="8"/>
  <c r="AI116" i="8"/>
  <c r="AH116" i="8"/>
  <c r="AG116" i="8"/>
  <c r="AF116" i="8"/>
  <c r="AE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P116" i="8"/>
  <c r="K116" i="8"/>
  <c r="J116" i="8"/>
  <c r="I116" i="8"/>
  <c r="H116" i="8"/>
  <c r="G116" i="8"/>
  <c r="AL115" i="8"/>
  <c r="AK115" i="8"/>
  <c r="AI115" i="8"/>
  <c r="AG115" i="8"/>
  <c r="AF115" i="8"/>
  <c r="AE115" i="8"/>
  <c r="AD115" i="8"/>
  <c r="AC115" i="8"/>
  <c r="AB115" i="8"/>
  <c r="AA115" i="8"/>
  <c r="Y115" i="8"/>
  <c r="X115" i="8"/>
  <c r="W115" i="8"/>
  <c r="V115" i="8"/>
  <c r="U115" i="8"/>
  <c r="T115" i="8"/>
  <c r="S115" i="8"/>
  <c r="R115" i="8"/>
  <c r="Q115" i="8"/>
  <c r="P115" i="8"/>
  <c r="K115" i="8"/>
  <c r="J115" i="8"/>
  <c r="I115" i="8"/>
  <c r="H115" i="8"/>
  <c r="G115" i="8"/>
  <c r="AL114" i="8"/>
  <c r="AJ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R114" i="8"/>
  <c r="Q114" i="8"/>
  <c r="P114" i="8"/>
  <c r="K114" i="8"/>
  <c r="J114" i="8"/>
  <c r="I114" i="8"/>
  <c r="H114" i="8"/>
  <c r="G114" i="8"/>
  <c r="AL113" i="8"/>
  <c r="AK113" i="8"/>
  <c r="AI113" i="8"/>
  <c r="AH113" i="8"/>
  <c r="AG113" i="8"/>
  <c r="AF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P113" i="8"/>
  <c r="K113" i="8"/>
  <c r="J113" i="8"/>
  <c r="I113" i="8"/>
  <c r="H113" i="8"/>
  <c r="G113" i="8"/>
  <c r="AL112" i="8"/>
  <c r="AK112" i="8"/>
  <c r="AJ112" i="8"/>
  <c r="AH112" i="8"/>
  <c r="AG112" i="8"/>
  <c r="AF112" i="8"/>
  <c r="AE112" i="8"/>
  <c r="AD112" i="8"/>
  <c r="AB112" i="8"/>
  <c r="AA112" i="8"/>
  <c r="Z112" i="8"/>
  <c r="Y112" i="8"/>
  <c r="X112" i="8"/>
  <c r="W112" i="8"/>
  <c r="U112" i="8"/>
  <c r="T112" i="8"/>
  <c r="S112" i="8"/>
  <c r="R112" i="8"/>
  <c r="Q112" i="8"/>
  <c r="P112" i="8"/>
  <c r="K112" i="8"/>
  <c r="J112" i="8"/>
  <c r="I112" i="8"/>
  <c r="H112" i="8"/>
  <c r="G112" i="8"/>
  <c r="AK111" i="8"/>
  <c r="AI111" i="8"/>
  <c r="AH111" i="8"/>
  <c r="AG111" i="8"/>
  <c r="AF111" i="8"/>
  <c r="AD111" i="8"/>
  <c r="AC111" i="8"/>
  <c r="AB111" i="8"/>
  <c r="AA111" i="8"/>
  <c r="Z111" i="8"/>
  <c r="Y111" i="8"/>
  <c r="X111" i="8"/>
  <c r="W111" i="8"/>
  <c r="V111" i="8"/>
  <c r="T111" i="8"/>
  <c r="R111" i="8"/>
  <c r="Q111" i="8"/>
  <c r="P111" i="8"/>
  <c r="K111" i="8"/>
  <c r="J111" i="8"/>
  <c r="I111" i="8"/>
  <c r="H111" i="8"/>
  <c r="G111" i="8"/>
  <c r="AL110" i="8"/>
  <c r="AK110" i="8"/>
  <c r="AJ110" i="8"/>
  <c r="AI110" i="8"/>
  <c r="AH110" i="8"/>
  <c r="AG110" i="8"/>
  <c r="AF110" i="8"/>
  <c r="AE110" i="8"/>
  <c r="AD110" i="8"/>
  <c r="AC110" i="8"/>
  <c r="AB110" i="8"/>
  <c r="Y110" i="8"/>
  <c r="W110" i="8"/>
  <c r="U110" i="8"/>
  <c r="S110" i="8"/>
  <c r="R110" i="8"/>
  <c r="Q110" i="8"/>
  <c r="P110" i="8"/>
  <c r="K110" i="8"/>
  <c r="J110" i="8"/>
  <c r="I110" i="8"/>
  <c r="H110" i="8"/>
  <c r="G110" i="8"/>
  <c r="AL109" i="8"/>
  <c r="AK109" i="8"/>
  <c r="AI109" i="8"/>
  <c r="AH109" i="8"/>
  <c r="AG109" i="8"/>
  <c r="AF109" i="8"/>
  <c r="AE109" i="8"/>
  <c r="AC109" i="8"/>
  <c r="AB109" i="8"/>
  <c r="AA109" i="8"/>
  <c r="Z109" i="8"/>
  <c r="Y109" i="8"/>
  <c r="X109" i="8"/>
  <c r="W109" i="8"/>
  <c r="U109" i="8"/>
  <c r="T109" i="8"/>
  <c r="S109" i="8"/>
  <c r="R109" i="8"/>
  <c r="Q109" i="8"/>
  <c r="P109" i="8"/>
  <c r="K109" i="8"/>
  <c r="J109" i="8"/>
  <c r="I109" i="8"/>
  <c r="H109" i="8"/>
  <c r="G109" i="8"/>
  <c r="AL108" i="8"/>
  <c r="AK108" i="8"/>
  <c r="AJ108" i="8"/>
  <c r="AI108" i="8"/>
  <c r="AG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P108" i="8"/>
  <c r="K108" i="8"/>
  <c r="J108" i="8"/>
  <c r="I108" i="8"/>
  <c r="H108" i="8"/>
  <c r="G108" i="8"/>
  <c r="AL107" i="8"/>
  <c r="AK107" i="8"/>
  <c r="AJ107" i="8"/>
  <c r="AI107" i="8"/>
  <c r="AG107" i="8"/>
  <c r="AF107" i="8"/>
  <c r="AE107" i="8"/>
  <c r="AD107" i="8"/>
  <c r="AC107" i="8"/>
  <c r="AB107" i="8"/>
  <c r="AA107" i="8"/>
  <c r="Z107" i="8"/>
  <c r="W107" i="8"/>
  <c r="U107" i="8"/>
  <c r="S107" i="8"/>
  <c r="R107" i="8"/>
  <c r="Q107" i="8"/>
  <c r="P107" i="8"/>
  <c r="K107" i="8"/>
  <c r="J107" i="8"/>
  <c r="I107" i="8"/>
  <c r="H107" i="8"/>
  <c r="G107" i="8"/>
  <c r="AL106" i="8"/>
  <c r="AK106" i="8"/>
  <c r="AJ106" i="8"/>
  <c r="AI106" i="8"/>
  <c r="AH106" i="8"/>
  <c r="AG106" i="8"/>
  <c r="AF106" i="8"/>
  <c r="AE106" i="8"/>
  <c r="AD106" i="8"/>
  <c r="AC106" i="8"/>
  <c r="AA106" i="8"/>
  <c r="Y106" i="8"/>
  <c r="X106" i="8"/>
  <c r="W106" i="8"/>
  <c r="V106" i="8"/>
  <c r="U106" i="8"/>
  <c r="T106" i="8"/>
  <c r="S106" i="8"/>
  <c r="R106" i="8"/>
  <c r="P106" i="8"/>
  <c r="K106" i="8"/>
  <c r="J106" i="8"/>
  <c r="I106" i="8"/>
  <c r="H106" i="8"/>
  <c r="G106" i="8"/>
  <c r="AL105" i="8"/>
  <c r="AK105" i="8"/>
  <c r="AJ105" i="8"/>
  <c r="AI105" i="8"/>
  <c r="AH105" i="8"/>
  <c r="AG105" i="8"/>
  <c r="AF105" i="8"/>
  <c r="AE105" i="8"/>
  <c r="AD105" i="8"/>
  <c r="AC105" i="8"/>
  <c r="AB105" i="8"/>
  <c r="Z105" i="8"/>
  <c r="Y105" i="8"/>
  <c r="W105" i="8"/>
  <c r="V105" i="8"/>
  <c r="T105" i="8"/>
  <c r="S105" i="8"/>
  <c r="R105" i="8"/>
  <c r="Q105" i="8"/>
  <c r="P105" i="8"/>
  <c r="K105" i="8"/>
  <c r="J105" i="8"/>
  <c r="I105" i="8"/>
  <c r="H105" i="8"/>
  <c r="G105" i="8"/>
  <c r="AK104" i="8"/>
  <c r="AJ104" i="8"/>
  <c r="AH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R104" i="8"/>
  <c r="P104" i="8"/>
  <c r="K104" i="8"/>
  <c r="J104" i="8"/>
  <c r="I104" i="8"/>
  <c r="H104" i="8"/>
  <c r="G104" i="8"/>
  <c r="AL103" i="8"/>
  <c r="AI103" i="8"/>
  <c r="AH103" i="8"/>
  <c r="AG103" i="8"/>
  <c r="AF103" i="8"/>
  <c r="AE103" i="8"/>
  <c r="AB103" i="8"/>
  <c r="AA103" i="8"/>
  <c r="Z103" i="8"/>
  <c r="Y103" i="8"/>
  <c r="X103" i="8"/>
  <c r="W103" i="8"/>
  <c r="V103" i="8"/>
  <c r="U103" i="8"/>
  <c r="S103" i="8"/>
  <c r="R103" i="8"/>
  <c r="Q103" i="8"/>
  <c r="P103" i="8"/>
  <c r="K103" i="8"/>
  <c r="J103" i="8"/>
  <c r="I103" i="8"/>
  <c r="H103" i="8"/>
  <c r="G103" i="8"/>
  <c r="AL102" i="8"/>
  <c r="AK102" i="8"/>
  <c r="AJ102" i="8"/>
  <c r="AI102" i="8"/>
  <c r="AG102" i="8"/>
  <c r="AF102" i="8"/>
  <c r="AD102" i="8"/>
  <c r="AC102" i="8"/>
  <c r="AB102" i="8"/>
  <c r="AA102" i="8"/>
  <c r="Z102" i="8"/>
  <c r="Y102" i="8"/>
  <c r="X102" i="8"/>
  <c r="W102" i="8"/>
  <c r="V102" i="8"/>
  <c r="U102" i="8"/>
  <c r="T102" i="8"/>
  <c r="R102" i="8"/>
  <c r="Q102" i="8"/>
  <c r="P102" i="8"/>
  <c r="K102" i="8"/>
  <c r="J102" i="8"/>
  <c r="I102" i="8"/>
  <c r="H102" i="8"/>
  <c r="G102" i="8"/>
  <c r="AK101" i="8"/>
  <c r="AJ101" i="8"/>
  <c r="AI101" i="8"/>
  <c r="AH101" i="8"/>
  <c r="AG101" i="8"/>
  <c r="AF101" i="8"/>
  <c r="AE101" i="8"/>
  <c r="AC101" i="8"/>
  <c r="AB101" i="8"/>
  <c r="AA101" i="8"/>
  <c r="Z101" i="8"/>
  <c r="Y101" i="8"/>
  <c r="W101" i="8"/>
  <c r="V101" i="8"/>
  <c r="U101" i="8"/>
  <c r="T101" i="8"/>
  <c r="S101" i="8"/>
  <c r="R101" i="8"/>
  <c r="Q101" i="8"/>
  <c r="P101" i="8"/>
  <c r="K101" i="8"/>
  <c r="J101" i="8"/>
  <c r="I101" i="8"/>
  <c r="H101" i="8"/>
  <c r="G101" i="8"/>
  <c r="AL100" i="8"/>
  <c r="AK100" i="8"/>
  <c r="AJ100" i="8"/>
  <c r="AI100" i="8"/>
  <c r="AH100" i="8"/>
  <c r="AG100" i="8"/>
  <c r="AF100" i="8"/>
  <c r="AE100" i="8"/>
  <c r="AB100" i="8"/>
  <c r="AA100" i="8"/>
  <c r="Z100" i="8"/>
  <c r="Y100" i="8"/>
  <c r="X100" i="8"/>
  <c r="V100" i="8"/>
  <c r="U100" i="8"/>
  <c r="T100" i="8"/>
  <c r="S100" i="8"/>
  <c r="R100" i="8"/>
  <c r="Q100" i="8"/>
  <c r="P100" i="8"/>
  <c r="K100" i="8"/>
  <c r="J100" i="8"/>
  <c r="I100" i="8"/>
  <c r="H100" i="8"/>
  <c r="G100" i="8"/>
  <c r="AK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K99" i="8"/>
  <c r="J99" i="8"/>
  <c r="I99" i="8"/>
  <c r="H99" i="8"/>
  <c r="G99" i="8"/>
  <c r="AL98" i="8"/>
  <c r="AK98" i="8"/>
  <c r="AJ98" i="8"/>
  <c r="AI98" i="8"/>
  <c r="AH98" i="8"/>
  <c r="AG98" i="8"/>
  <c r="AF98" i="8"/>
  <c r="AE98" i="8"/>
  <c r="AD98" i="8"/>
  <c r="AB98" i="8"/>
  <c r="AA98" i="8"/>
  <c r="Z98" i="8"/>
  <c r="Y98" i="8"/>
  <c r="X98" i="8"/>
  <c r="V98" i="8"/>
  <c r="U98" i="8"/>
  <c r="T98" i="8"/>
  <c r="S98" i="8"/>
  <c r="Q98" i="8"/>
  <c r="P98" i="8"/>
  <c r="K98" i="8"/>
  <c r="J98" i="8"/>
  <c r="I98" i="8"/>
  <c r="H98" i="8"/>
  <c r="G98" i="8"/>
  <c r="AL97" i="8"/>
  <c r="AJ97" i="8"/>
  <c r="AI97" i="8"/>
  <c r="AH97" i="8"/>
  <c r="AG97" i="8"/>
  <c r="AF97" i="8"/>
  <c r="AE97" i="8"/>
  <c r="AD97" i="8"/>
  <c r="AC97" i="8"/>
  <c r="AA97" i="8"/>
  <c r="Z97" i="8"/>
  <c r="Y97" i="8"/>
  <c r="X97" i="8"/>
  <c r="W97" i="8"/>
  <c r="V97" i="8"/>
  <c r="U97" i="8"/>
  <c r="S97" i="8"/>
  <c r="R97" i="8"/>
  <c r="Q97" i="8"/>
  <c r="P97" i="8"/>
  <c r="K97" i="8"/>
  <c r="J97" i="8"/>
  <c r="I97" i="8"/>
  <c r="H97" i="8"/>
  <c r="G97" i="8"/>
  <c r="AL96" i="8"/>
  <c r="AK96" i="8"/>
  <c r="AJ96" i="8"/>
  <c r="AI96" i="8"/>
  <c r="AG96" i="8"/>
  <c r="AE96" i="8"/>
  <c r="AD96" i="8"/>
  <c r="AB96" i="8"/>
  <c r="AA96" i="8"/>
  <c r="Z96" i="8"/>
  <c r="Y96" i="8"/>
  <c r="X96" i="8"/>
  <c r="W96" i="8"/>
  <c r="V96" i="8"/>
  <c r="U96" i="8"/>
  <c r="S96" i="8"/>
  <c r="R96" i="8"/>
  <c r="Q96" i="8"/>
  <c r="K96" i="8"/>
  <c r="J96" i="8"/>
  <c r="I96" i="8"/>
  <c r="H96" i="8"/>
  <c r="G96" i="8"/>
  <c r="AL95" i="8"/>
  <c r="AH95" i="8"/>
  <c r="AG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K95" i="8"/>
  <c r="J95" i="8"/>
  <c r="I95" i="8"/>
  <c r="H95" i="8"/>
  <c r="G95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R94" i="8"/>
  <c r="Q94" i="8"/>
  <c r="P94" i="8"/>
  <c r="K94" i="8"/>
  <c r="J94" i="8"/>
  <c r="I94" i="8"/>
  <c r="H94" i="8"/>
  <c r="G94" i="8"/>
  <c r="AL93" i="8"/>
  <c r="AJ93" i="8"/>
  <c r="AH93" i="8"/>
  <c r="AF93" i="8"/>
  <c r="AE93" i="8"/>
  <c r="AD93" i="8"/>
  <c r="AC93" i="8"/>
  <c r="AA93" i="8"/>
  <c r="Z93" i="8"/>
  <c r="Y93" i="8"/>
  <c r="X93" i="8"/>
  <c r="W93" i="8"/>
  <c r="V93" i="8"/>
  <c r="U93" i="8"/>
  <c r="T93" i="8"/>
  <c r="S93" i="8"/>
  <c r="R93" i="8"/>
  <c r="P93" i="8"/>
  <c r="K93" i="8"/>
  <c r="J93" i="8"/>
  <c r="I93" i="8"/>
  <c r="H93" i="8"/>
  <c r="G93" i="8"/>
  <c r="AL92" i="8"/>
  <c r="AK92" i="8"/>
  <c r="AJ92" i="8"/>
  <c r="AH92" i="8"/>
  <c r="AG92" i="8"/>
  <c r="AE92" i="8"/>
  <c r="AD92" i="8"/>
  <c r="AC92" i="8"/>
  <c r="AB92" i="8"/>
  <c r="AA92" i="8"/>
  <c r="Y92" i="8"/>
  <c r="X92" i="8"/>
  <c r="W92" i="8"/>
  <c r="V92" i="8"/>
  <c r="U92" i="8"/>
  <c r="T92" i="8"/>
  <c r="S92" i="8"/>
  <c r="R92" i="8"/>
  <c r="Q92" i="8"/>
  <c r="P92" i="8"/>
  <c r="K92" i="8"/>
  <c r="J92" i="8"/>
  <c r="I92" i="8"/>
  <c r="H92" i="8"/>
  <c r="G92" i="8"/>
  <c r="AL91" i="8"/>
  <c r="AK91" i="8"/>
  <c r="AJ91" i="8"/>
  <c r="AI91" i="8"/>
  <c r="AG91" i="8"/>
  <c r="AF91" i="8"/>
  <c r="AD91" i="8"/>
  <c r="AC91" i="8"/>
  <c r="AB91" i="8"/>
  <c r="Z91" i="8"/>
  <c r="Y91" i="8"/>
  <c r="X91" i="8"/>
  <c r="W91" i="8"/>
  <c r="V91" i="8"/>
  <c r="U91" i="8"/>
  <c r="T91" i="8"/>
  <c r="S91" i="8"/>
  <c r="R91" i="8"/>
  <c r="Q91" i="8"/>
  <c r="P91" i="8"/>
  <c r="K91" i="8"/>
  <c r="J91" i="8"/>
  <c r="I91" i="8"/>
  <c r="H91" i="8"/>
  <c r="G91" i="8"/>
  <c r="AK90" i="8"/>
  <c r="AJ90" i="8"/>
  <c r="AI90" i="8"/>
  <c r="AH90" i="8"/>
  <c r="AF90" i="8"/>
  <c r="AE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K90" i="8"/>
  <c r="J90" i="8"/>
  <c r="I90" i="8"/>
  <c r="H90" i="8"/>
  <c r="G90" i="8"/>
  <c r="AL89" i="8"/>
  <c r="AK89" i="8"/>
  <c r="AJ89" i="8"/>
  <c r="AI89" i="8"/>
  <c r="AH89" i="8"/>
  <c r="AG89" i="8"/>
  <c r="AF89" i="8"/>
  <c r="AE89" i="8"/>
  <c r="AD89" i="8"/>
  <c r="AB89" i="8"/>
  <c r="Z89" i="8"/>
  <c r="Y89" i="8"/>
  <c r="X89" i="8"/>
  <c r="W89" i="8"/>
  <c r="V89" i="8"/>
  <c r="U89" i="8"/>
  <c r="T89" i="8"/>
  <c r="S89" i="8"/>
  <c r="R89" i="8"/>
  <c r="P89" i="8"/>
  <c r="K89" i="8"/>
  <c r="J89" i="8"/>
  <c r="I89" i="8"/>
  <c r="H89" i="8"/>
  <c r="G89" i="8"/>
  <c r="AL88" i="8"/>
  <c r="AK88" i="8"/>
  <c r="AJ88" i="8"/>
  <c r="AI88" i="8"/>
  <c r="AH88" i="8"/>
  <c r="AG88" i="8"/>
  <c r="AF88" i="8"/>
  <c r="AE88" i="8"/>
  <c r="AD88" i="8"/>
  <c r="AC88" i="8"/>
  <c r="AA88" i="8"/>
  <c r="Y88" i="8"/>
  <c r="X88" i="8"/>
  <c r="W88" i="8"/>
  <c r="U88" i="8"/>
  <c r="T88" i="8"/>
  <c r="S88" i="8"/>
  <c r="R88" i="8"/>
  <c r="Q88" i="8"/>
  <c r="P88" i="8"/>
  <c r="K88" i="8"/>
  <c r="J88" i="8"/>
  <c r="I88" i="8"/>
  <c r="H88" i="8"/>
  <c r="G88" i="8"/>
  <c r="AL87" i="8"/>
  <c r="AK87" i="8"/>
  <c r="AJ87" i="8"/>
  <c r="AI87" i="8"/>
  <c r="AH87" i="8"/>
  <c r="AG87" i="8"/>
  <c r="AE87" i="8"/>
  <c r="AD87" i="8"/>
  <c r="AC87" i="8"/>
  <c r="AB87" i="8"/>
  <c r="AA87" i="8"/>
  <c r="Z87" i="8"/>
  <c r="Y87" i="8"/>
  <c r="X87" i="8"/>
  <c r="W87" i="8"/>
  <c r="U87" i="8"/>
  <c r="T87" i="8"/>
  <c r="S87" i="8"/>
  <c r="R87" i="8"/>
  <c r="P87" i="8"/>
  <c r="K87" i="8"/>
  <c r="J87" i="8"/>
  <c r="I87" i="8"/>
  <c r="H87" i="8"/>
  <c r="G87" i="8"/>
  <c r="AK86" i="8"/>
  <c r="AI86" i="8"/>
  <c r="AG86" i="8"/>
  <c r="AF86" i="8"/>
  <c r="AE86" i="8"/>
  <c r="AC86" i="8"/>
  <c r="AB86" i="8"/>
  <c r="AA86" i="8"/>
  <c r="Z86" i="8"/>
  <c r="Y86" i="8"/>
  <c r="X86" i="8"/>
  <c r="W86" i="8"/>
  <c r="V86" i="8"/>
  <c r="U86" i="8"/>
  <c r="T86" i="8"/>
  <c r="S86" i="8"/>
  <c r="R86" i="8"/>
  <c r="P86" i="8"/>
  <c r="K86" i="8"/>
  <c r="J86" i="8"/>
  <c r="I86" i="8"/>
  <c r="H86" i="8"/>
  <c r="G86" i="8"/>
  <c r="AL85" i="8"/>
  <c r="AK85" i="8"/>
  <c r="AJ85" i="8"/>
  <c r="AI85" i="8"/>
  <c r="AH85" i="8"/>
  <c r="AG85" i="8"/>
  <c r="AE85" i="8"/>
  <c r="AD85" i="8"/>
  <c r="AC85" i="8"/>
  <c r="Z85" i="8"/>
  <c r="Y85" i="8"/>
  <c r="X85" i="8"/>
  <c r="W85" i="8"/>
  <c r="V85" i="8"/>
  <c r="U85" i="8"/>
  <c r="T85" i="8"/>
  <c r="S85" i="8"/>
  <c r="R85" i="8"/>
  <c r="Q85" i="8"/>
  <c r="P85" i="8"/>
  <c r="K85" i="8"/>
  <c r="J85" i="8"/>
  <c r="I85" i="8"/>
  <c r="H85" i="8"/>
  <c r="G85" i="8"/>
  <c r="AL84" i="8"/>
  <c r="AK84" i="8"/>
  <c r="AJ84" i="8"/>
  <c r="AI84" i="8"/>
  <c r="AH84" i="8"/>
  <c r="AG84" i="8"/>
  <c r="AF84" i="8"/>
  <c r="AE84" i="8"/>
  <c r="AD84" i="8"/>
  <c r="AB84" i="8"/>
  <c r="Z84" i="8"/>
  <c r="Y84" i="8"/>
  <c r="X84" i="8"/>
  <c r="W84" i="8"/>
  <c r="V84" i="8"/>
  <c r="U84" i="8"/>
  <c r="S84" i="8"/>
  <c r="R84" i="8"/>
  <c r="Q84" i="8"/>
  <c r="P84" i="8"/>
  <c r="K84" i="8"/>
  <c r="J84" i="8"/>
  <c r="I84" i="8"/>
  <c r="H84" i="8"/>
  <c r="G84" i="8"/>
  <c r="AL83" i="8"/>
  <c r="AK83" i="8"/>
  <c r="AI83" i="8"/>
  <c r="AH83" i="8"/>
  <c r="AG83" i="8"/>
  <c r="AF83" i="8"/>
  <c r="AE83" i="8"/>
  <c r="AD83" i="8"/>
  <c r="AC83" i="8"/>
  <c r="AB83" i="8"/>
  <c r="AA83" i="8"/>
  <c r="Y83" i="8"/>
  <c r="X83" i="8"/>
  <c r="W83" i="8"/>
  <c r="V83" i="8"/>
  <c r="U83" i="8"/>
  <c r="T83" i="8"/>
  <c r="S83" i="8"/>
  <c r="R83" i="8"/>
  <c r="P83" i="8"/>
  <c r="K83" i="8"/>
  <c r="J83" i="8"/>
  <c r="I83" i="8"/>
  <c r="H83" i="8"/>
  <c r="G83" i="8"/>
  <c r="AL82" i="8"/>
  <c r="AK82" i="8"/>
  <c r="AJ82" i="8"/>
  <c r="AI82" i="8"/>
  <c r="AG82" i="8"/>
  <c r="AE82" i="8"/>
  <c r="AD82" i="8"/>
  <c r="AC82" i="8"/>
  <c r="AA82" i="8"/>
  <c r="Z82" i="8"/>
  <c r="Y82" i="8"/>
  <c r="X82" i="8"/>
  <c r="W82" i="8"/>
  <c r="V82" i="8"/>
  <c r="U82" i="8"/>
  <c r="T82" i="8"/>
  <c r="S82" i="8"/>
  <c r="R82" i="8"/>
  <c r="Q82" i="8"/>
  <c r="P82" i="8"/>
  <c r="K82" i="8"/>
  <c r="J82" i="8"/>
  <c r="I82" i="8"/>
  <c r="H82" i="8"/>
  <c r="G82" i="8"/>
  <c r="AL81" i="8"/>
  <c r="AK81" i="8"/>
  <c r="AJ81" i="8"/>
  <c r="AI81" i="8"/>
  <c r="AH81" i="8"/>
  <c r="AG81" i="8"/>
  <c r="AF81" i="8"/>
  <c r="AE81" i="8"/>
  <c r="AC81" i="8"/>
  <c r="AB81" i="8"/>
  <c r="AA81" i="8"/>
  <c r="Z81" i="8"/>
  <c r="Y81" i="8"/>
  <c r="X81" i="8"/>
  <c r="W81" i="8"/>
  <c r="V81" i="8"/>
  <c r="U81" i="8"/>
  <c r="T81" i="8"/>
  <c r="S81" i="8"/>
  <c r="P81" i="8"/>
  <c r="K81" i="8"/>
  <c r="J81" i="8"/>
  <c r="I81" i="8"/>
  <c r="H81" i="8"/>
  <c r="G81" i="8"/>
  <c r="AL80" i="8"/>
  <c r="AJ80" i="8"/>
  <c r="AI80" i="8"/>
  <c r="AH80" i="8"/>
  <c r="AG80" i="8"/>
  <c r="AF80" i="8"/>
  <c r="AE80" i="8"/>
  <c r="AD80" i="8"/>
  <c r="AC80" i="8"/>
  <c r="AB80" i="8"/>
  <c r="Z80" i="8"/>
  <c r="Y80" i="8"/>
  <c r="X80" i="8"/>
  <c r="W80" i="8"/>
  <c r="V80" i="8"/>
  <c r="U80" i="8"/>
  <c r="T80" i="8"/>
  <c r="R80" i="8"/>
  <c r="Q80" i="8"/>
  <c r="P80" i="8"/>
  <c r="K80" i="8"/>
  <c r="J80" i="8"/>
  <c r="I80" i="8"/>
  <c r="H80" i="8"/>
  <c r="G80" i="8"/>
  <c r="AL79" i="8"/>
  <c r="AK79" i="8"/>
  <c r="AJ79" i="8"/>
  <c r="AH79" i="8"/>
  <c r="AG79" i="8"/>
  <c r="AE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K79" i="8"/>
  <c r="J79" i="8"/>
  <c r="I79" i="8"/>
  <c r="H79" i="8"/>
  <c r="G79" i="8"/>
  <c r="AK78" i="8"/>
  <c r="AJ78" i="8"/>
  <c r="AI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R78" i="8"/>
  <c r="Q78" i="8"/>
  <c r="P78" i="8"/>
  <c r="K78" i="8"/>
  <c r="J78" i="8"/>
  <c r="I78" i="8"/>
  <c r="H78" i="8"/>
  <c r="G78" i="8"/>
  <c r="AK77" i="8"/>
  <c r="AJ77" i="8"/>
  <c r="AI77" i="8"/>
  <c r="AH77" i="8"/>
  <c r="AG77" i="8"/>
  <c r="AF77" i="8"/>
  <c r="AE77" i="8"/>
  <c r="AC77" i="8"/>
  <c r="AB77" i="8"/>
  <c r="AA77" i="8"/>
  <c r="Z77" i="8"/>
  <c r="Y77" i="8"/>
  <c r="W77" i="8"/>
  <c r="V77" i="8"/>
  <c r="U77" i="8"/>
  <c r="T77" i="8"/>
  <c r="S77" i="8"/>
  <c r="P77" i="8"/>
  <c r="K77" i="8"/>
  <c r="J77" i="8"/>
  <c r="I77" i="8"/>
  <c r="H77" i="8"/>
  <c r="G77" i="8"/>
  <c r="AL76" i="8"/>
  <c r="AK76" i="8"/>
  <c r="AJ76" i="8"/>
  <c r="AI76" i="8"/>
  <c r="AG76" i="8"/>
  <c r="AF76" i="8"/>
  <c r="AE76" i="8"/>
  <c r="AD76" i="8"/>
  <c r="AC76" i="8"/>
  <c r="AB76" i="8"/>
  <c r="AA76" i="8"/>
  <c r="Z76" i="8"/>
  <c r="Y76" i="8"/>
  <c r="X76" i="8"/>
  <c r="V76" i="8"/>
  <c r="U76" i="8"/>
  <c r="T76" i="8"/>
  <c r="S76" i="8"/>
  <c r="Q76" i="8"/>
  <c r="P76" i="8"/>
  <c r="K76" i="8"/>
  <c r="J76" i="8"/>
  <c r="I76" i="8"/>
  <c r="H76" i="8"/>
  <c r="G76" i="8"/>
  <c r="AL75" i="8"/>
  <c r="AK75" i="8"/>
  <c r="AJ75" i="8"/>
  <c r="AI75" i="8"/>
  <c r="AH75" i="8"/>
  <c r="AG75" i="8"/>
  <c r="AF75" i="8"/>
  <c r="AE75" i="8"/>
  <c r="AC75" i="8"/>
  <c r="AB75" i="8"/>
  <c r="AA75" i="8"/>
  <c r="Z75" i="8"/>
  <c r="Y75" i="8"/>
  <c r="V75" i="8"/>
  <c r="U75" i="8"/>
  <c r="T75" i="8"/>
  <c r="S75" i="8"/>
  <c r="R75" i="8"/>
  <c r="Q75" i="8"/>
  <c r="P75" i="8"/>
  <c r="K75" i="8"/>
  <c r="J75" i="8"/>
  <c r="I75" i="8"/>
  <c r="H75" i="8"/>
  <c r="G75" i="8"/>
  <c r="AL74" i="8"/>
  <c r="AJ74" i="8"/>
  <c r="AH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P74" i="8"/>
  <c r="K74" i="8"/>
  <c r="J74" i="8"/>
  <c r="I74" i="8"/>
  <c r="H74" i="8"/>
  <c r="G74" i="8"/>
  <c r="AK73" i="8"/>
  <c r="AI73" i="8"/>
  <c r="AH73" i="8"/>
  <c r="AG73" i="8"/>
  <c r="AF73" i="8"/>
  <c r="AE73" i="8"/>
  <c r="AC73" i="8"/>
  <c r="AB73" i="8"/>
  <c r="AA73" i="8"/>
  <c r="Z73" i="8"/>
  <c r="X73" i="8"/>
  <c r="W73" i="8"/>
  <c r="V73" i="8"/>
  <c r="U73" i="8"/>
  <c r="T73" i="8"/>
  <c r="S73" i="8"/>
  <c r="R73" i="8"/>
  <c r="Q73" i="8"/>
  <c r="K73" i="8"/>
  <c r="J73" i="8"/>
  <c r="I73" i="8"/>
  <c r="H73" i="8"/>
  <c r="G73" i="8"/>
  <c r="AL72" i="8"/>
  <c r="AK72" i="8"/>
  <c r="AJ72" i="8"/>
  <c r="AI72" i="8"/>
  <c r="AH72" i="8"/>
  <c r="AG72" i="8"/>
  <c r="AF72" i="8"/>
  <c r="AE72" i="8"/>
  <c r="AB72" i="8"/>
  <c r="AA72" i="8"/>
  <c r="Z72" i="8"/>
  <c r="Y72" i="8"/>
  <c r="X72" i="8"/>
  <c r="V72" i="8"/>
  <c r="U72" i="8"/>
  <c r="T72" i="8"/>
  <c r="S72" i="8"/>
  <c r="R72" i="8"/>
  <c r="Q72" i="8"/>
  <c r="P72" i="8"/>
  <c r="K72" i="8"/>
  <c r="J72" i="8"/>
  <c r="I72" i="8"/>
  <c r="H72" i="8"/>
  <c r="G72" i="8"/>
  <c r="AL71" i="8"/>
  <c r="AK71" i="8"/>
  <c r="AJ71" i="8"/>
  <c r="AI71" i="8"/>
  <c r="AH71" i="8"/>
  <c r="AG71" i="8"/>
  <c r="AF71" i="8"/>
  <c r="AE71" i="8"/>
  <c r="AC71" i="8"/>
  <c r="AB71" i="8"/>
  <c r="AA71" i="8"/>
  <c r="Z71" i="8"/>
  <c r="Y71" i="8"/>
  <c r="X71" i="8"/>
  <c r="V71" i="8"/>
  <c r="T71" i="8"/>
  <c r="S71" i="8"/>
  <c r="R71" i="8"/>
  <c r="Q71" i="8"/>
  <c r="P71" i="8"/>
  <c r="K71" i="8"/>
  <c r="J71" i="8"/>
  <c r="I71" i="8"/>
  <c r="H71" i="8"/>
  <c r="G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W70" i="8"/>
  <c r="U70" i="8"/>
  <c r="T70" i="8"/>
  <c r="S70" i="8"/>
  <c r="R70" i="8"/>
  <c r="P70" i="8"/>
  <c r="K70" i="8"/>
  <c r="J70" i="8"/>
  <c r="I70" i="8"/>
  <c r="H70" i="8"/>
  <c r="G70" i="8"/>
  <c r="AL69" i="8"/>
  <c r="AK69" i="8"/>
  <c r="AJ69" i="8"/>
  <c r="AI69" i="8"/>
  <c r="AH69" i="8"/>
  <c r="AG69" i="8"/>
  <c r="AE69" i="8"/>
  <c r="AD69" i="8"/>
  <c r="AB69" i="8"/>
  <c r="AA69" i="8"/>
  <c r="Z69" i="8"/>
  <c r="Y69" i="8"/>
  <c r="X69" i="8"/>
  <c r="V69" i="8"/>
  <c r="U69" i="8"/>
  <c r="T69" i="8"/>
  <c r="S69" i="8"/>
  <c r="R69" i="8"/>
  <c r="Q69" i="8"/>
  <c r="P69" i="8"/>
  <c r="K69" i="8"/>
  <c r="J69" i="8"/>
  <c r="I69" i="8"/>
  <c r="H69" i="8"/>
  <c r="G69" i="8"/>
  <c r="AL68" i="8"/>
  <c r="AK68" i="8"/>
  <c r="AJ68" i="8"/>
  <c r="AI68" i="8"/>
  <c r="AH68" i="8"/>
  <c r="AG68" i="8"/>
  <c r="AF68" i="8"/>
  <c r="AE68" i="8"/>
  <c r="AC68" i="8"/>
  <c r="AB68" i="8"/>
  <c r="AA68" i="8"/>
  <c r="Z68" i="8"/>
  <c r="X68" i="8"/>
  <c r="W68" i="8"/>
  <c r="V68" i="8"/>
  <c r="U68" i="8"/>
  <c r="T68" i="8"/>
  <c r="S68" i="8"/>
  <c r="R68" i="8"/>
  <c r="P68" i="8"/>
  <c r="K68" i="8"/>
  <c r="J68" i="8"/>
  <c r="I68" i="8"/>
  <c r="H68" i="8"/>
  <c r="G68" i="8"/>
  <c r="AL67" i="8"/>
  <c r="AI67" i="8"/>
  <c r="AH67" i="8"/>
  <c r="AG67" i="8"/>
  <c r="AF67" i="8"/>
  <c r="AE67" i="8"/>
  <c r="AD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K67" i="8"/>
  <c r="J67" i="8"/>
  <c r="I67" i="8"/>
  <c r="H67" i="8"/>
  <c r="G67" i="8"/>
  <c r="AL66" i="8"/>
  <c r="AK66" i="8"/>
  <c r="AJ66" i="8"/>
  <c r="AI66" i="8"/>
  <c r="AH66" i="8"/>
  <c r="AG66" i="8"/>
  <c r="AF66" i="8"/>
  <c r="AE66" i="8"/>
  <c r="AC66" i="8"/>
  <c r="AA66" i="8"/>
  <c r="Z66" i="8"/>
  <c r="Y66" i="8"/>
  <c r="X66" i="8"/>
  <c r="W66" i="8"/>
  <c r="V66" i="8"/>
  <c r="U66" i="8"/>
  <c r="T66" i="8"/>
  <c r="S66" i="8"/>
  <c r="R66" i="8"/>
  <c r="P66" i="8"/>
  <c r="K66" i="8"/>
  <c r="J66" i="8"/>
  <c r="I66" i="8"/>
  <c r="H66" i="8"/>
  <c r="G66" i="8"/>
  <c r="AL65" i="8"/>
  <c r="AK65" i="8"/>
  <c r="AJ65" i="8"/>
  <c r="AI65" i="8"/>
  <c r="AH65" i="8"/>
  <c r="AG65" i="8"/>
  <c r="AE65" i="8"/>
  <c r="AD65" i="8"/>
  <c r="AC65" i="8"/>
  <c r="AB65" i="8"/>
  <c r="AA65" i="8"/>
  <c r="Z65" i="8"/>
  <c r="Y65" i="8"/>
  <c r="X65" i="8"/>
  <c r="V65" i="8"/>
  <c r="U65" i="8"/>
  <c r="T65" i="8"/>
  <c r="S65" i="8"/>
  <c r="Q65" i="8"/>
  <c r="P65" i="8"/>
  <c r="K65" i="8"/>
  <c r="J65" i="8"/>
  <c r="I65" i="8"/>
  <c r="H65" i="8"/>
  <c r="G65" i="8"/>
  <c r="AK64" i="8"/>
  <c r="AJ64" i="8"/>
  <c r="AI64" i="8"/>
  <c r="AH64" i="8"/>
  <c r="AF64" i="8"/>
  <c r="AE64" i="8"/>
  <c r="AD64" i="8"/>
  <c r="AC64" i="8"/>
  <c r="AB64" i="8"/>
  <c r="AA64" i="8"/>
  <c r="Y64" i="8"/>
  <c r="X64" i="8"/>
  <c r="W64" i="8"/>
  <c r="V64" i="8"/>
  <c r="T64" i="8"/>
  <c r="R64" i="8"/>
  <c r="Q64" i="8"/>
  <c r="P64" i="8"/>
  <c r="K64" i="8"/>
  <c r="J64" i="8"/>
  <c r="I64" i="8"/>
  <c r="H64" i="8"/>
  <c r="G64" i="8"/>
  <c r="AL63" i="8"/>
  <c r="AJ63" i="8"/>
  <c r="AI63" i="8"/>
  <c r="AH63" i="8"/>
  <c r="AG63" i="8"/>
  <c r="AF63" i="8"/>
  <c r="AE63" i="8"/>
  <c r="AD63" i="8"/>
  <c r="AC63" i="8"/>
  <c r="AA63" i="8"/>
  <c r="Y63" i="8"/>
  <c r="X63" i="8"/>
  <c r="W63" i="8"/>
  <c r="V63" i="8"/>
  <c r="U63" i="8"/>
  <c r="T63" i="8"/>
  <c r="S63" i="8"/>
  <c r="R63" i="8"/>
  <c r="Q63" i="8"/>
  <c r="P63" i="8"/>
  <c r="K63" i="8"/>
  <c r="J63" i="8"/>
  <c r="I63" i="8"/>
  <c r="H63" i="8"/>
  <c r="G63" i="8"/>
  <c r="AL62" i="8"/>
  <c r="AK62" i="8"/>
  <c r="AJ62" i="8"/>
  <c r="AI62" i="8"/>
  <c r="AG62" i="8"/>
  <c r="AF62" i="8"/>
  <c r="AE62" i="8"/>
  <c r="AD62" i="8"/>
  <c r="AC62" i="8"/>
  <c r="AB62" i="8"/>
  <c r="AA62" i="8"/>
  <c r="Z62" i="8"/>
  <c r="X62" i="8"/>
  <c r="W62" i="8"/>
  <c r="V62" i="8"/>
  <c r="U62" i="8"/>
  <c r="T62" i="8"/>
  <c r="R62" i="8"/>
  <c r="Q62" i="8"/>
  <c r="P62" i="8"/>
  <c r="K62" i="8"/>
  <c r="J62" i="8"/>
  <c r="I62" i="8"/>
  <c r="H62" i="8"/>
  <c r="G62" i="8"/>
  <c r="AL61" i="8"/>
  <c r="AK61" i="8"/>
  <c r="AI61" i="8"/>
  <c r="AG61" i="8"/>
  <c r="AD61" i="8"/>
  <c r="AC61" i="8"/>
  <c r="AA61" i="8"/>
  <c r="Z61" i="8"/>
  <c r="Y61" i="8"/>
  <c r="X61" i="8"/>
  <c r="W61" i="8"/>
  <c r="V61" i="8"/>
  <c r="U61" i="8"/>
  <c r="T61" i="8"/>
  <c r="S61" i="8"/>
  <c r="R61" i="8"/>
  <c r="Q61" i="8"/>
  <c r="P61" i="8"/>
  <c r="K61" i="8"/>
  <c r="J61" i="8"/>
  <c r="I61" i="8"/>
  <c r="H61" i="8"/>
  <c r="G61" i="8"/>
  <c r="AL60" i="8"/>
  <c r="AK60" i="8"/>
  <c r="AJ60" i="8"/>
  <c r="AI60" i="8"/>
  <c r="AH60" i="8"/>
  <c r="AG60" i="8"/>
  <c r="AD60" i="8"/>
  <c r="AB60" i="8"/>
  <c r="AA60" i="8"/>
  <c r="Z60" i="8"/>
  <c r="Y60" i="8"/>
  <c r="X60" i="8"/>
  <c r="W60" i="8"/>
  <c r="V60" i="8"/>
  <c r="U60" i="8"/>
  <c r="S60" i="8"/>
  <c r="R60" i="8"/>
  <c r="Q60" i="8"/>
  <c r="K60" i="8"/>
  <c r="J60" i="8"/>
  <c r="I60" i="8"/>
  <c r="H60" i="8"/>
  <c r="G60" i="8"/>
  <c r="AK59" i="8"/>
  <c r="AI59" i="8"/>
  <c r="AH59" i="8"/>
  <c r="AF59" i="8"/>
  <c r="AE59" i="8"/>
  <c r="AC59" i="8"/>
  <c r="AA59" i="8"/>
  <c r="Z59" i="8"/>
  <c r="Y59" i="8"/>
  <c r="X59" i="8"/>
  <c r="W59" i="8"/>
  <c r="V59" i="8"/>
  <c r="U59" i="8"/>
  <c r="T59" i="8"/>
  <c r="S59" i="8"/>
  <c r="R59" i="8"/>
  <c r="Q59" i="8"/>
  <c r="P59" i="8"/>
  <c r="K59" i="8"/>
  <c r="J59" i="8"/>
  <c r="I59" i="8"/>
  <c r="H59" i="8"/>
  <c r="G59" i="8"/>
  <c r="AL58" i="8"/>
  <c r="AK58" i="8"/>
  <c r="AJ58" i="8"/>
  <c r="AI58" i="8"/>
  <c r="AH58" i="8"/>
  <c r="AG58" i="8"/>
  <c r="AF58" i="8"/>
  <c r="AE58" i="8"/>
  <c r="AC58" i="8"/>
  <c r="AB58" i="8"/>
  <c r="AA58" i="8"/>
  <c r="Y58" i="8"/>
  <c r="X58" i="8"/>
  <c r="W58" i="8"/>
  <c r="V58" i="8"/>
  <c r="U58" i="8"/>
  <c r="T58" i="8"/>
  <c r="S58" i="8"/>
  <c r="Q58" i="8"/>
  <c r="P58" i="8"/>
  <c r="K58" i="8"/>
  <c r="J58" i="8"/>
  <c r="I58" i="8"/>
  <c r="H58" i="8"/>
  <c r="G58" i="8"/>
  <c r="AL57" i="8"/>
  <c r="AK57" i="8"/>
  <c r="AJ57" i="8"/>
  <c r="AI57" i="8"/>
  <c r="AG57" i="8"/>
  <c r="AF57" i="8"/>
  <c r="AE57" i="8"/>
  <c r="AD57" i="8"/>
  <c r="AC57" i="8"/>
  <c r="AB57" i="8"/>
  <c r="Z57" i="8"/>
  <c r="X57" i="8"/>
  <c r="V57" i="8"/>
  <c r="U57" i="8"/>
  <c r="T57" i="8"/>
  <c r="S57" i="8"/>
  <c r="R57" i="8"/>
  <c r="P57" i="8"/>
  <c r="K57" i="8"/>
  <c r="J57" i="8"/>
  <c r="I57" i="8"/>
  <c r="H57" i="8"/>
  <c r="G57" i="8"/>
  <c r="AL56" i="8"/>
  <c r="AK56" i="8"/>
  <c r="AJ56" i="8"/>
  <c r="AI56" i="8"/>
  <c r="AG56" i="8"/>
  <c r="AF56" i="8"/>
  <c r="AE56" i="8"/>
  <c r="AD56" i="8"/>
  <c r="AC56" i="8"/>
  <c r="AA56" i="8"/>
  <c r="Y56" i="8"/>
  <c r="X56" i="8"/>
  <c r="W56" i="8"/>
  <c r="V56" i="8"/>
  <c r="U56" i="8"/>
  <c r="T56" i="8"/>
  <c r="S56" i="8"/>
  <c r="R56" i="8"/>
  <c r="Q56" i="8"/>
  <c r="P56" i="8"/>
  <c r="K56" i="8"/>
  <c r="J56" i="8"/>
  <c r="I56" i="8"/>
  <c r="H56" i="8"/>
  <c r="G56" i="8"/>
  <c r="AL55" i="8"/>
  <c r="AJ55" i="8"/>
  <c r="AI55" i="8"/>
  <c r="AH55" i="8"/>
  <c r="AG55" i="8"/>
  <c r="AF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K55" i="8"/>
  <c r="J55" i="8"/>
  <c r="I55" i="8"/>
  <c r="H55" i="8"/>
  <c r="G55" i="8"/>
  <c r="AK54" i="8"/>
  <c r="AJ54" i="8"/>
  <c r="AH54" i="8"/>
  <c r="AF54" i="8"/>
  <c r="AE54" i="8"/>
  <c r="AC54" i="8"/>
  <c r="AB54" i="8"/>
  <c r="AA54" i="8"/>
  <c r="Z54" i="8"/>
  <c r="Y54" i="8"/>
  <c r="W54" i="8"/>
  <c r="V54" i="8"/>
  <c r="U54" i="8"/>
  <c r="T54" i="8"/>
  <c r="S54" i="8"/>
  <c r="R54" i="8"/>
  <c r="Q54" i="8"/>
  <c r="P54" i="8"/>
  <c r="K54" i="8"/>
  <c r="J54" i="8"/>
  <c r="I54" i="8"/>
  <c r="H54" i="8"/>
  <c r="G54" i="8"/>
  <c r="AL53" i="8"/>
  <c r="AK53" i="8"/>
  <c r="AJ53" i="8"/>
  <c r="AI53" i="8"/>
  <c r="AH53" i="8"/>
  <c r="AG53" i="8"/>
  <c r="AF53" i="8"/>
  <c r="AE53" i="8"/>
  <c r="AD53" i="8"/>
  <c r="AC53" i="8"/>
  <c r="AB53" i="8"/>
  <c r="Y53" i="8"/>
  <c r="W53" i="8"/>
  <c r="U53" i="8"/>
  <c r="S53" i="8"/>
  <c r="R53" i="8"/>
  <c r="Q53" i="8"/>
  <c r="P53" i="8"/>
  <c r="K53" i="8"/>
  <c r="J53" i="8"/>
  <c r="I53" i="8"/>
  <c r="H53" i="8"/>
  <c r="G53" i="8"/>
  <c r="AL52" i="8"/>
  <c r="AK52" i="8"/>
  <c r="AJ52" i="8"/>
  <c r="AI52" i="8"/>
  <c r="AH52" i="8"/>
  <c r="AG52" i="8"/>
  <c r="AE52" i="8"/>
  <c r="AD52" i="8"/>
  <c r="AC52" i="8"/>
  <c r="AB52" i="8"/>
  <c r="AA52" i="8"/>
  <c r="Z52" i="8"/>
  <c r="Y52" i="8"/>
  <c r="X52" i="8"/>
  <c r="V52" i="8"/>
  <c r="U52" i="8"/>
  <c r="T52" i="8"/>
  <c r="S52" i="8"/>
  <c r="Q52" i="8"/>
  <c r="P52" i="8"/>
  <c r="K52" i="8"/>
  <c r="J52" i="8"/>
  <c r="I52" i="8"/>
  <c r="H52" i="8"/>
  <c r="G52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X51" i="8"/>
  <c r="W51" i="8"/>
  <c r="T51" i="8"/>
  <c r="S51" i="8"/>
  <c r="R51" i="8"/>
  <c r="Q51" i="8"/>
  <c r="P51" i="8"/>
  <c r="K51" i="8"/>
  <c r="J51" i="8"/>
  <c r="I51" i="8"/>
  <c r="H51" i="8"/>
  <c r="G51" i="8"/>
  <c r="AL50" i="8"/>
  <c r="AK50" i="8"/>
  <c r="AJ50" i="8"/>
  <c r="AI50" i="8"/>
  <c r="AH50" i="8"/>
  <c r="AG50" i="8"/>
  <c r="AE50" i="8"/>
  <c r="AD50" i="8"/>
  <c r="AC50" i="8"/>
  <c r="AA50" i="8"/>
  <c r="Y50" i="8"/>
  <c r="X50" i="8"/>
  <c r="W50" i="8"/>
  <c r="V50" i="8"/>
  <c r="U50" i="8"/>
  <c r="T50" i="8"/>
  <c r="S50" i="8"/>
  <c r="R50" i="8"/>
  <c r="Q50" i="8"/>
  <c r="P50" i="8"/>
  <c r="K50" i="8"/>
  <c r="J50" i="8"/>
  <c r="I50" i="8"/>
  <c r="H50" i="8"/>
  <c r="G50" i="8"/>
  <c r="AL49" i="8"/>
  <c r="AK49" i="8"/>
  <c r="AJ49" i="8"/>
  <c r="AI49" i="8"/>
  <c r="AH49" i="8"/>
  <c r="AG49" i="8"/>
  <c r="AE49" i="8"/>
  <c r="AD49" i="8"/>
  <c r="AC49" i="8"/>
  <c r="AB49" i="8"/>
  <c r="AA49" i="8"/>
  <c r="Z49" i="8"/>
  <c r="Y49" i="8"/>
  <c r="X49" i="8"/>
  <c r="W49" i="8"/>
  <c r="V49" i="8"/>
  <c r="U49" i="8"/>
  <c r="T49" i="8"/>
  <c r="R49" i="8"/>
  <c r="P49" i="8"/>
  <c r="K49" i="8"/>
  <c r="J49" i="8"/>
  <c r="I49" i="8"/>
  <c r="H49" i="8"/>
  <c r="G49" i="8"/>
  <c r="AK48" i="8"/>
  <c r="AJ48" i="8"/>
  <c r="AI48" i="8"/>
  <c r="AH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P48" i="8"/>
  <c r="K48" i="8"/>
  <c r="J48" i="8"/>
  <c r="I48" i="8"/>
  <c r="H48" i="8"/>
  <c r="G48" i="8"/>
  <c r="AL47" i="8"/>
  <c r="AK47" i="8"/>
  <c r="AJ47" i="8"/>
  <c r="AI47" i="8"/>
  <c r="AH47" i="8"/>
  <c r="AG47" i="8"/>
  <c r="AF47" i="8"/>
  <c r="AE47" i="8"/>
  <c r="AD47" i="8"/>
  <c r="AC47" i="8"/>
  <c r="AA47" i="8"/>
  <c r="Y47" i="8"/>
  <c r="X47" i="8"/>
  <c r="W47" i="8"/>
  <c r="U47" i="8"/>
  <c r="T47" i="8"/>
  <c r="S47" i="8"/>
  <c r="R47" i="8"/>
  <c r="Q47" i="8"/>
  <c r="P47" i="8"/>
  <c r="K47" i="8"/>
  <c r="J47" i="8"/>
  <c r="I47" i="8"/>
  <c r="H47" i="8"/>
  <c r="G47" i="8"/>
  <c r="AL46" i="8"/>
  <c r="AJ46" i="8"/>
  <c r="AI46" i="8"/>
  <c r="AH46" i="8"/>
  <c r="AG46" i="8"/>
  <c r="AF46" i="8"/>
  <c r="AE46" i="8"/>
  <c r="AC46" i="8"/>
  <c r="AA46" i="8"/>
  <c r="Z46" i="8"/>
  <c r="Y46" i="8"/>
  <c r="X46" i="8"/>
  <c r="W46" i="8"/>
  <c r="V46" i="8"/>
  <c r="U46" i="8"/>
  <c r="T46" i="8"/>
  <c r="S46" i="8"/>
  <c r="R46" i="8"/>
  <c r="Q46" i="8"/>
  <c r="P46" i="8"/>
  <c r="K46" i="8"/>
  <c r="J46" i="8"/>
  <c r="I46" i="8"/>
  <c r="H46" i="8"/>
  <c r="G46" i="8"/>
  <c r="AL45" i="8"/>
  <c r="AK45" i="8"/>
  <c r="AJ45" i="8"/>
  <c r="AI45" i="8"/>
  <c r="AH45" i="8"/>
  <c r="AG45" i="8"/>
  <c r="AF45" i="8"/>
  <c r="AE45" i="8"/>
  <c r="AD45" i="8"/>
  <c r="AB45" i="8"/>
  <c r="AA45" i="8"/>
  <c r="Z45" i="8"/>
  <c r="Y45" i="8"/>
  <c r="X45" i="8"/>
  <c r="V45" i="8"/>
  <c r="T45" i="8"/>
  <c r="S45" i="8"/>
  <c r="R45" i="8"/>
  <c r="Q45" i="8"/>
  <c r="P45" i="8"/>
  <c r="K45" i="8"/>
  <c r="J45" i="8"/>
  <c r="I45" i="8"/>
  <c r="H45" i="8"/>
  <c r="G45" i="8"/>
  <c r="AL44" i="8"/>
  <c r="AK44" i="8"/>
  <c r="AH44" i="8"/>
  <c r="AG44" i="8"/>
  <c r="AF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K44" i="8"/>
  <c r="J44" i="8"/>
  <c r="I44" i="8"/>
  <c r="H44" i="8"/>
  <c r="G44" i="8"/>
  <c r="AL43" i="8"/>
  <c r="AK43" i="8"/>
  <c r="AJ43" i="8"/>
  <c r="AI43" i="8"/>
  <c r="AH43" i="8"/>
  <c r="AG43" i="8"/>
  <c r="AF43" i="8"/>
  <c r="AE43" i="8"/>
  <c r="AD43" i="8"/>
  <c r="AC43" i="8"/>
  <c r="AB43" i="8"/>
  <c r="Z43" i="8"/>
  <c r="X43" i="8"/>
  <c r="W43" i="8"/>
  <c r="V43" i="8"/>
  <c r="U43" i="8"/>
  <c r="S43" i="8"/>
  <c r="R43" i="8"/>
  <c r="Q43" i="8"/>
  <c r="P43" i="8"/>
  <c r="K43" i="8"/>
  <c r="J43" i="8"/>
  <c r="I43" i="8"/>
  <c r="H43" i="8"/>
  <c r="G43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W42" i="8"/>
  <c r="U42" i="8"/>
  <c r="T42" i="8"/>
  <c r="S42" i="8"/>
  <c r="R42" i="8"/>
  <c r="Q42" i="8"/>
  <c r="P42" i="8"/>
  <c r="K42" i="8"/>
  <c r="J42" i="8"/>
  <c r="I42" i="8"/>
  <c r="H42" i="8"/>
  <c r="G42" i="8"/>
  <c r="AL41" i="8"/>
  <c r="AK41" i="8"/>
  <c r="AJ41" i="8"/>
  <c r="AI41" i="8"/>
  <c r="AH41" i="8"/>
  <c r="AG41" i="8"/>
  <c r="AE41" i="8"/>
  <c r="AD41" i="8"/>
  <c r="AB41" i="8"/>
  <c r="Z41" i="8"/>
  <c r="Y41" i="8"/>
  <c r="X41" i="8"/>
  <c r="W41" i="8"/>
  <c r="V41" i="8"/>
  <c r="U41" i="8"/>
  <c r="T41" i="8"/>
  <c r="S41" i="8"/>
  <c r="R41" i="8"/>
  <c r="Q41" i="8"/>
  <c r="P41" i="8"/>
  <c r="K41" i="8"/>
  <c r="J41" i="8"/>
  <c r="I41" i="8"/>
  <c r="H41" i="8"/>
  <c r="G41" i="8"/>
  <c r="AL40" i="8"/>
  <c r="AK40" i="8"/>
  <c r="AJ40" i="8"/>
  <c r="AI40" i="8"/>
  <c r="AH40" i="8"/>
  <c r="AF40" i="8"/>
  <c r="AE40" i="8"/>
  <c r="AD40" i="8"/>
  <c r="AC40" i="8"/>
  <c r="AA40" i="8"/>
  <c r="Z40" i="8"/>
  <c r="Y40" i="8"/>
  <c r="X40" i="8"/>
  <c r="W40" i="8"/>
  <c r="V40" i="8"/>
  <c r="U40" i="8"/>
  <c r="T40" i="8"/>
  <c r="R40" i="8"/>
  <c r="Q40" i="8"/>
  <c r="P40" i="8"/>
  <c r="K40" i="8"/>
  <c r="J40" i="8"/>
  <c r="I40" i="8"/>
  <c r="H40" i="8"/>
  <c r="G40" i="8"/>
  <c r="AL39" i="8"/>
  <c r="AI39" i="8"/>
  <c r="AH39" i="8"/>
  <c r="AG39" i="8"/>
  <c r="AF39" i="8"/>
  <c r="AE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K39" i="8"/>
  <c r="J39" i="8"/>
  <c r="I39" i="8"/>
  <c r="H39" i="8"/>
  <c r="G39" i="8"/>
  <c r="AL38" i="8"/>
  <c r="AK38" i="8"/>
  <c r="AJ38" i="8"/>
  <c r="AI38" i="8"/>
  <c r="AH38" i="8"/>
  <c r="AG38" i="8"/>
  <c r="AF38" i="8"/>
  <c r="AE38" i="8"/>
  <c r="AD38" i="8"/>
  <c r="AC38" i="8"/>
  <c r="AA38" i="8"/>
  <c r="Y38" i="8"/>
  <c r="X38" i="8"/>
  <c r="W38" i="8"/>
  <c r="U38" i="8"/>
  <c r="T38" i="8"/>
  <c r="S38" i="8"/>
  <c r="R38" i="8"/>
  <c r="Q38" i="8"/>
  <c r="P38" i="8"/>
  <c r="K38" i="8"/>
  <c r="J38" i="8"/>
  <c r="I38" i="8"/>
  <c r="H38" i="8"/>
  <c r="G38" i="8"/>
  <c r="AL37" i="8"/>
  <c r="AJ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P37" i="8"/>
  <c r="K37" i="8"/>
  <c r="J37" i="8"/>
  <c r="I37" i="8"/>
  <c r="H37" i="8"/>
  <c r="G37" i="8"/>
  <c r="AL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P36" i="8"/>
  <c r="K36" i="8"/>
  <c r="J36" i="8"/>
  <c r="I36" i="8"/>
  <c r="H36" i="8"/>
  <c r="G36" i="8"/>
  <c r="AL35" i="8"/>
  <c r="AJ35" i="8"/>
  <c r="AI35" i="8"/>
  <c r="AH35" i="8"/>
  <c r="AG35" i="8"/>
  <c r="AF35" i="8"/>
  <c r="AE35" i="8"/>
  <c r="AD35" i="8"/>
  <c r="AC35" i="8"/>
  <c r="AB35" i="8"/>
  <c r="Z35" i="8"/>
  <c r="Y35" i="8"/>
  <c r="X35" i="8"/>
  <c r="W35" i="8"/>
  <c r="V35" i="8"/>
  <c r="U35" i="8"/>
  <c r="S35" i="8"/>
  <c r="R35" i="8"/>
  <c r="Q35" i="8"/>
  <c r="P35" i="8"/>
  <c r="K35" i="8"/>
  <c r="J35" i="8"/>
  <c r="I35" i="8"/>
  <c r="H35" i="8"/>
  <c r="G35" i="8"/>
  <c r="AL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R34" i="8"/>
  <c r="P34" i="8"/>
  <c r="K34" i="8"/>
  <c r="J34" i="8"/>
  <c r="I34" i="8"/>
  <c r="H34" i="8"/>
  <c r="G34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K33" i="8"/>
  <c r="J33" i="8"/>
  <c r="I33" i="8"/>
  <c r="H33" i="8"/>
  <c r="G33" i="8"/>
  <c r="AK32" i="8"/>
  <c r="AJ32" i="8"/>
  <c r="AI32" i="8"/>
  <c r="AH32" i="8"/>
  <c r="AF32" i="8"/>
  <c r="AE32" i="8"/>
  <c r="AD32" i="8"/>
  <c r="AC32" i="8"/>
  <c r="AB32" i="8"/>
  <c r="AA32" i="8"/>
  <c r="Z32" i="8"/>
  <c r="Y32" i="8"/>
  <c r="X32" i="8"/>
  <c r="W32" i="8"/>
  <c r="U32" i="8"/>
  <c r="T32" i="8"/>
  <c r="S32" i="8"/>
  <c r="R32" i="8"/>
  <c r="Q32" i="8"/>
  <c r="P32" i="8"/>
  <c r="K32" i="8"/>
  <c r="J32" i="8"/>
  <c r="I32" i="8"/>
  <c r="H32" i="8"/>
  <c r="G32" i="8"/>
  <c r="AL31" i="8"/>
  <c r="AI31" i="8"/>
  <c r="AH31" i="8"/>
  <c r="AG31" i="8"/>
  <c r="AF31" i="8"/>
  <c r="AE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K31" i="8"/>
  <c r="J31" i="8"/>
  <c r="I31" i="8"/>
  <c r="H31" i="8"/>
  <c r="G31" i="8"/>
  <c r="AL30" i="8"/>
  <c r="AK30" i="8"/>
  <c r="AJ30" i="8"/>
  <c r="AI30" i="8"/>
  <c r="AH30" i="8"/>
  <c r="AG30" i="8"/>
  <c r="AE30" i="8"/>
  <c r="AD30" i="8"/>
  <c r="AC30" i="8"/>
  <c r="AB30" i="8"/>
  <c r="Z30" i="8"/>
  <c r="Y30" i="8"/>
  <c r="W30" i="8"/>
  <c r="V30" i="8"/>
  <c r="U30" i="8"/>
  <c r="T30" i="8"/>
  <c r="S30" i="8"/>
  <c r="R30" i="8"/>
  <c r="Q30" i="8"/>
  <c r="P30" i="8"/>
  <c r="K30" i="8"/>
  <c r="J30" i="8"/>
  <c r="I30" i="8"/>
  <c r="H30" i="8"/>
  <c r="G30" i="8"/>
  <c r="AL29" i="8"/>
  <c r="AK29" i="8"/>
  <c r="AJ29" i="8"/>
  <c r="AI29" i="8"/>
  <c r="AG29" i="8"/>
  <c r="AF29" i="8"/>
  <c r="AE29" i="8"/>
  <c r="AD29" i="8"/>
  <c r="AC29" i="8"/>
  <c r="AB29" i="8"/>
  <c r="AA29" i="8"/>
  <c r="Z29" i="8"/>
  <c r="X29" i="8"/>
  <c r="W29" i="8"/>
  <c r="V29" i="8"/>
  <c r="U29" i="8"/>
  <c r="T29" i="8"/>
  <c r="R29" i="8"/>
  <c r="Q29" i="8"/>
  <c r="P29" i="8"/>
  <c r="K29" i="8"/>
  <c r="J29" i="8"/>
  <c r="I29" i="8"/>
  <c r="H29" i="8"/>
  <c r="G29" i="8"/>
  <c r="AK28" i="8"/>
  <c r="AJ28" i="8"/>
  <c r="AH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K28" i="8"/>
  <c r="J28" i="8"/>
  <c r="I28" i="8"/>
  <c r="H28" i="8"/>
  <c r="G28" i="8"/>
  <c r="AL27" i="8"/>
  <c r="AK27" i="8"/>
  <c r="AJ27" i="8"/>
  <c r="AI27" i="8"/>
  <c r="AH27" i="8"/>
  <c r="AF27" i="8"/>
  <c r="AE27" i="8"/>
  <c r="AD27" i="8"/>
  <c r="AC27" i="8"/>
  <c r="AB27" i="8"/>
  <c r="AA27" i="8"/>
  <c r="Z27" i="8"/>
  <c r="X27" i="8"/>
  <c r="W27" i="8"/>
  <c r="V27" i="8"/>
  <c r="U27" i="8"/>
  <c r="T27" i="8"/>
  <c r="S27" i="8"/>
  <c r="R27" i="8"/>
  <c r="Q27" i="8"/>
  <c r="K27" i="8"/>
  <c r="J27" i="8"/>
  <c r="I27" i="8"/>
  <c r="H27" i="8"/>
  <c r="G27" i="8"/>
  <c r="AL26" i="8"/>
  <c r="AK26" i="8"/>
  <c r="AJ26" i="8"/>
  <c r="AI26" i="8"/>
  <c r="AG26" i="8"/>
  <c r="AE26" i="8"/>
  <c r="AD26" i="8"/>
  <c r="AC26" i="8"/>
  <c r="AB26" i="8"/>
  <c r="AA26" i="8"/>
  <c r="Z26" i="8"/>
  <c r="Y26" i="8"/>
  <c r="X26" i="8"/>
  <c r="W26" i="8"/>
  <c r="V26" i="8"/>
  <c r="U26" i="8"/>
  <c r="T26" i="8"/>
  <c r="R26" i="8"/>
  <c r="Q26" i="8"/>
  <c r="P26" i="8"/>
  <c r="K26" i="8"/>
  <c r="J26" i="8"/>
  <c r="I26" i="8"/>
  <c r="H26" i="8"/>
  <c r="G26" i="8"/>
  <c r="AK25" i="8"/>
  <c r="AJ25" i="8"/>
  <c r="AI25" i="8"/>
  <c r="AG25" i="8"/>
  <c r="AF25" i="8"/>
  <c r="AE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K25" i="8"/>
  <c r="J25" i="8"/>
  <c r="I25" i="8"/>
  <c r="H25" i="8"/>
  <c r="G25" i="8"/>
  <c r="AK24" i="8"/>
  <c r="AJ24" i="8"/>
  <c r="AI24" i="8"/>
  <c r="AH24" i="8"/>
  <c r="AG24" i="8"/>
  <c r="AF24" i="8"/>
  <c r="AE24" i="8"/>
  <c r="AC24" i="8"/>
  <c r="AB24" i="8"/>
  <c r="AA24" i="8"/>
  <c r="Z24" i="8"/>
  <c r="Y24" i="8"/>
  <c r="X24" i="8"/>
  <c r="W24" i="8"/>
  <c r="V24" i="8"/>
  <c r="U24" i="8"/>
  <c r="S24" i="8"/>
  <c r="R24" i="8"/>
  <c r="Q24" i="8"/>
  <c r="P24" i="8"/>
  <c r="K24" i="8"/>
  <c r="J24" i="8"/>
  <c r="I24" i="8"/>
  <c r="H24" i="8"/>
  <c r="G24" i="8"/>
  <c r="AK23" i="8"/>
  <c r="AJ23" i="8"/>
  <c r="AH23" i="8"/>
  <c r="AG23" i="8"/>
  <c r="AF23" i="8"/>
  <c r="AE23" i="8"/>
  <c r="AD23" i="8"/>
  <c r="AC23" i="8"/>
  <c r="AB23" i="8"/>
  <c r="AA23" i="8"/>
  <c r="Z23" i="8"/>
  <c r="X23" i="8"/>
  <c r="W23" i="8"/>
  <c r="V23" i="8"/>
  <c r="U23" i="8"/>
  <c r="T23" i="8"/>
  <c r="S23" i="8"/>
  <c r="R23" i="8"/>
  <c r="Q23" i="8"/>
  <c r="P23" i="8"/>
  <c r="K23" i="8"/>
  <c r="J23" i="8"/>
  <c r="I23" i="8"/>
  <c r="H23" i="8"/>
  <c r="G23" i="8"/>
  <c r="AL22" i="8"/>
  <c r="AK22" i="8"/>
  <c r="AJ22" i="8"/>
  <c r="AI22" i="8"/>
  <c r="AH22" i="8"/>
  <c r="AG22" i="8"/>
  <c r="AF22" i="8"/>
  <c r="AE22" i="8"/>
  <c r="AC22" i="8"/>
  <c r="AB22" i="8"/>
  <c r="AA22" i="8"/>
  <c r="Y22" i="8"/>
  <c r="X22" i="8"/>
  <c r="W22" i="8"/>
  <c r="V22" i="8"/>
  <c r="U22" i="8"/>
  <c r="T22" i="8"/>
  <c r="S22" i="8"/>
  <c r="Q22" i="8"/>
  <c r="P22" i="8"/>
  <c r="K22" i="8"/>
  <c r="J22" i="8"/>
  <c r="I22" i="8"/>
  <c r="H22" i="8"/>
  <c r="G22" i="8"/>
  <c r="AL21" i="8"/>
  <c r="AK21" i="8"/>
  <c r="AH21" i="8"/>
  <c r="AG21" i="8"/>
  <c r="AF21" i="8"/>
  <c r="AE21" i="8"/>
  <c r="AD21" i="8"/>
  <c r="AC21" i="8"/>
  <c r="AB21" i="8"/>
  <c r="AA21" i="8"/>
  <c r="Z21" i="8"/>
  <c r="X21" i="8"/>
  <c r="W21" i="8"/>
  <c r="V21" i="8"/>
  <c r="U21" i="8"/>
  <c r="T21" i="8"/>
  <c r="S21" i="8"/>
  <c r="R21" i="8"/>
  <c r="Q21" i="8"/>
  <c r="P21" i="8"/>
  <c r="K21" i="8"/>
  <c r="J21" i="8"/>
  <c r="I21" i="8"/>
  <c r="H21" i="8"/>
  <c r="G21" i="8"/>
  <c r="AL20" i="8"/>
  <c r="AK20" i="8"/>
  <c r="AJ20" i="8"/>
  <c r="AI20" i="8"/>
  <c r="AH20" i="8"/>
  <c r="AF20" i="8"/>
  <c r="AE20" i="8"/>
  <c r="AD20" i="8"/>
  <c r="AC20" i="8"/>
  <c r="AB20" i="8"/>
  <c r="AA20" i="8"/>
  <c r="Z20" i="8"/>
  <c r="X20" i="8"/>
  <c r="W20" i="8"/>
  <c r="V20" i="8"/>
  <c r="T20" i="8"/>
  <c r="S20" i="8"/>
  <c r="R20" i="8"/>
  <c r="Q20" i="8"/>
  <c r="P20" i="8"/>
  <c r="K20" i="8"/>
  <c r="J20" i="8"/>
  <c r="I20" i="8"/>
  <c r="H20" i="8"/>
  <c r="G20" i="8"/>
  <c r="AL19" i="8"/>
  <c r="AK19" i="8"/>
  <c r="AJ19" i="8"/>
  <c r="AI19" i="8"/>
  <c r="AG19" i="8"/>
  <c r="AE19" i="8"/>
  <c r="AD19" i="8"/>
  <c r="AC19" i="8"/>
  <c r="AB19" i="8"/>
  <c r="AA19" i="8"/>
  <c r="Z19" i="8"/>
  <c r="Y19" i="8"/>
  <c r="X19" i="8"/>
  <c r="W19" i="8"/>
  <c r="V19" i="8"/>
  <c r="U19" i="8"/>
  <c r="T19" i="8"/>
  <c r="R19" i="8"/>
  <c r="Q19" i="8"/>
  <c r="P19" i="8"/>
  <c r="K19" i="8"/>
  <c r="J19" i="8"/>
  <c r="I19" i="8"/>
  <c r="H19" i="8"/>
  <c r="G19" i="8"/>
  <c r="AL18" i="8"/>
  <c r="AK18" i="8"/>
  <c r="AI18" i="8"/>
  <c r="AH18" i="8"/>
  <c r="AG18" i="8"/>
  <c r="AF18" i="8"/>
  <c r="AE18" i="8"/>
  <c r="AD18" i="8"/>
  <c r="AC18" i="8"/>
  <c r="AB18" i="8"/>
  <c r="AA18" i="8"/>
  <c r="Z18" i="8"/>
  <c r="Y18" i="8"/>
  <c r="W18" i="8"/>
  <c r="U18" i="8"/>
  <c r="T18" i="8"/>
  <c r="S18" i="8"/>
  <c r="R18" i="8"/>
  <c r="Q18" i="8"/>
  <c r="P18" i="8"/>
  <c r="K18" i="8"/>
  <c r="J18" i="8"/>
  <c r="I18" i="8"/>
  <c r="H18" i="8"/>
  <c r="G18" i="8"/>
  <c r="AL17" i="8"/>
  <c r="AK17" i="8"/>
  <c r="AJ17" i="8"/>
  <c r="AI17" i="8"/>
  <c r="AH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R17" i="8"/>
  <c r="P17" i="8"/>
  <c r="K17" i="8"/>
  <c r="J17" i="8"/>
  <c r="I17" i="8"/>
  <c r="H17" i="8"/>
  <c r="G17" i="8"/>
  <c r="AK16" i="8"/>
  <c r="AI16" i="8"/>
  <c r="AH16" i="8"/>
  <c r="AF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K16" i="8"/>
  <c r="J16" i="8"/>
  <c r="I16" i="8"/>
  <c r="H16" i="8"/>
  <c r="G16" i="8"/>
  <c r="AL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V15" i="8"/>
  <c r="U15" i="8"/>
  <c r="T15" i="8"/>
  <c r="S15" i="8"/>
  <c r="R15" i="8"/>
  <c r="P15" i="8"/>
  <c r="K15" i="8"/>
  <c r="J15" i="8"/>
  <c r="I15" i="8"/>
  <c r="H15" i="8"/>
  <c r="G15" i="8"/>
  <c r="AL14" i="8"/>
  <c r="AK14" i="8"/>
  <c r="AJ14" i="8"/>
  <c r="AI14" i="8"/>
  <c r="AH14" i="8"/>
  <c r="AG14" i="8"/>
  <c r="AE14" i="8"/>
  <c r="AD14" i="8"/>
  <c r="AC14" i="8"/>
  <c r="AB14" i="8"/>
  <c r="AA14" i="8"/>
  <c r="Z14" i="8"/>
  <c r="Y14" i="8"/>
  <c r="X14" i="8"/>
  <c r="V14" i="8"/>
  <c r="U14" i="8"/>
  <c r="T14" i="8"/>
  <c r="S14" i="8"/>
  <c r="R14" i="8"/>
  <c r="P14" i="8"/>
  <c r="K14" i="8"/>
  <c r="J14" i="8"/>
  <c r="I14" i="8"/>
  <c r="H14" i="8"/>
  <c r="G14" i="8"/>
  <c r="AL13" i="8"/>
  <c r="AK13" i="8"/>
  <c r="AJ13" i="8"/>
  <c r="AI13" i="8"/>
  <c r="AH13" i="8"/>
  <c r="AG13" i="8"/>
  <c r="AF13" i="8"/>
  <c r="AE13" i="8"/>
  <c r="AC13" i="8"/>
  <c r="AB13" i="8"/>
  <c r="AA13" i="8"/>
  <c r="Y13" i="8"/>
  <c r="X13" i="8"/>
  <c r="W13" i="8"/>
  <c r="V13" i="8"/>
  <c r="U13" i="8"/>
  <c r="T13" i="8"/>
  <c r="S13" i="8"/>
  <c r="Q13" i="8"/>
  <c r="P13" i="8"/>
  <c r="K13" i="8"/>
  <c r="J13" i="8"/>
  <c r="I13" i="8"/>
  <c r="H13" i="8"/>
  <c r="G13" i="8"/>
  <c r="AL12" i="8"/>
  <c r="AK12" i="8"/>
  <c r="AJ12" i="8"/>
  <c r="AH12" i="8"/>
  <c r="AF12" i="8"/>
  <c r="AE12" i="8"/>
  <c r="AD12" i="8"/>
  <c r="AC12" i="8"/>
  <c r="AA12" i="8"/>
  <c r="Y12" i="8"/>
  <c r="X12" i="8"/>
  <c r="W12" i="8"/>
  <c r="V12" i="8"/>
  <c r="U12" i="8"/>
  <c r="T12" i="8"/>
  <c r="S12" i="8"/>
  <c r="R12" i="8"/>
  <c r="P12" i="8"/>
  <c r="K12" i="8"/>
  <c r="J12" i="8"/>
  <c r="I12" i="8"/>
  <c r="H12" i="8"/>
  <c r="G12" i="8"/>
  <c r="AL11" i="8"/>
  <c r="AK11" i="8"/>
  <c r="AI11" i="8"/>
  <c r="AH11" i="8"/>
  <c r="AF11" i="8"/>
  <c r="AE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K11" i="8"/>
  <c r="J11" i="8"/>
  <c r="I11" i="8"/>
  <c r="H11" i="8"/>
  <c r="G11" i="8"/>
  <c r="AL10" i="8"/>
  <c r="AJ10" i="8"/>
  <c r="AI10" i="8"/>
  <c r="AH10" i="8"/>
  <c r="AG10" i="8"/>
  <c r="AF10" i="8"/>
  <c r="AE10" i="8"/>
  <c r="AC10" i="8"/>
  <c r="AB10" i="8"/>
  <c r="Z10" i="8"/>
  <c r="X10" i="8"/>
  <c r="V10" i="8"/>
  <c r="U10" i="8"/>
  <c r="T10" i="8"/>
  <c r="S10" i="8"/>
  <c r="R10" i="8"/>
  <c r="Q10" i="8"/>
  <c r="P10" i="8"/>
  <c r="K10" i="8"/>
  <c r="J10" i="8"/>
  <c r="I10" i="8"/>
  <c r="H10" i="8"/>
  <c r="G10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W9" i="8"/>
  <c r="V9" i="8"/>
  <c r="U9" i="8"/>
  <c r="T9" i="8"/>
  <c r="R9" i="8"/>
  <c r="Q9" i="8"/>
  <c r="P9" i="8"/>
  <c r="K9" i="8"/>
  <c r="J9" i="8"/>
  <c r="I9" i="8"/>
  <c r="H9" i="8"/>
  <c r="G9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X8" i="8"/>
  <c r="W8" i="8"/>
  <c r="V8" i="8"/>
  <c r="U8" i="8"/>
  <c r="T8" i="8"/>
  <c r="R8" i="8"/>
  <c r="P8" i="8"/>
  <c r="K8" i="8"/>
  <c r="J8" i="8"/>
  <c r="I8" i="8"/>
  <c r="H8" i="8"/>
  <c r="G8" i="8"/>
  <c r="AK7" i="8"/>
  <c r="AJ7" i="8"/>
  <c r="AI7" i="8"/>
  <c r="AH7" i="8"/>
  <c r="AG7" i="8"/>
  <c r="AF7" i="8"/>
  <c r="AE7" i="8"/>
  <c r="AC7" i="8"/>
  <c r="AB7" i="8"/>
  <c r="AA7" i="8"/>
  <c r="Z7" i="8"/>
  <c r="Y7" i="8"/>
  <c r="W7" i="8"/>
  <c r="V7" i="8"/>
  <c r="U7" i="8"/>
  <c r="T7" i="8"/>
  <c r="S7" i="8"/>
  <c r="R7" i="8"/>
  <c r="Q7" i="8"/>
  <c r="P7" i="8"/>
  <c r="K7" i="8"/>
  <c r="J7" i="8"/>
  <c r="I7" i="8"/>
  <c r="H7" i="8"/>
  <c r="G7" i="8"/>
  <c r="AL6" i="8"/>
  <c r="AI6" i="8"/>
  <c r="AG6" i="8"/>
  <c r="AE6" i="8"/>
  <c r="AD6" i="8"/>
  <c r="AC6" i="8"/>
  <c r="AB6" i="8"/>
  <c r="AA6" i="8"/>
  <c r="Z6" i="8"/>
  <c r="X6" i="8"/>
  <c r="W6" i="8"/>
  <c r="V6" i="8"/>
  <c r="U6" i="8"/>
  <c r="T6" i="8"/>
  <c r="S6" i="8"/>
  <c r="R6" i="8"/>
  <c r="Q6" i="8"/>
  <c r="P6" i="8"/>
  <c r="K6" i="8"/>
  <c r="J6" i="8"/>
  <c r="I6" i="8"/>
  <c r="H6" i="8"/>
  <c r="G6" i="8"/>
  <c r="AL5" i="8"/>
  <c r="AK5" i="8"/>
  <c r="AJ5" i="8"/>
  <c r="AI5" i="8"/>
  <c r="AG5" i="8"/>
  <c r="AF5" i="8"/>
  <c r="AD5" i="8"/>
  <c r="AC5" i="8"/>
  <c r="AB5" i="8"/>
  <c r="AA5" i="8"/>
  <c r="Z5" i="8"/>
  <c r="Y5" i="8"/>
  <c r="X5" i="8"/>
  <c r="W5" i="8"/>
  <c r="V5" i="8"/>
  <c r="U5" i="8"/>
  <c r="S5" i="8"/>
  <c r="R5" i="8"/>
  <c r="Q5" i="8"/>
  <c r="P5" i="8"/>
  <c r="K5" i="8"/>
  <c r="J5" i="8"/>
  <c r="I5" i="8"/>
  <c r="H5" i="8"/>
  <c r="G5" i="8"/>
  <c r="AL4" i="8"/>
  <c r="AJ4" i="8"/>
  <c r="AH4" i="8"/>
  <c r="AF4" i="8"/>
  <c r="AE4" i="8"/>
  <c r="AC4" i="8"/>
  <c r="AB4" i="8"/>
  <c r="AA4" i="8"/>
  <c r="Z4" i="8"/>
  <c r="Y4" i="8"/>
  <c r="X4" i="8"/>
  <c r="W4" i="8"/>
  <c r="V4" i="8"/>
  <c r="U4" i="8"/>
  <c r="T4" i="8"/>
  <c r="S4" i="8"/>
  <c r="R4" i="8"/>
  <c r="P4" i="8"/>
  <c r="K4" i="8"/>
  <c r="J4" i="8"/>
  <c r="I4" i="8"/>
  <c r="H4" i="8"/>
  <c r="G4" i="8"/>
  <c r="AL3" i="8"/>
  <c r="AJ3" i="8"/>
  <c r="AI3" i="8"/>
  <c r="AH3" i="8"/>
  <c r="AG3" i="8"/>
  <c r="AF3" i="8"/>
  <c r="AE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K3" i="8"/>
  <c r="J3" i="8"/>
  <c r="I3" i="8"/>
  <c r="H3" i="8"/>
  <c r="G3" i="8"/>
  <c r="AK2" i="8"/>
  <c r="AJ2" i="8"/>
  <c r="AI2" i="8"/>
  <c r="AH2" i="8"/>
  <c r="AG2" i="8"/>
  <c r="AF2" i="8"/>
  <c r="AE2" i="8"/>
  <c r="AD2" i="8"/>
  <c r="AC2" i="8"/>
  <c r="AA2" i="8"/>
  <c r="Z2" i="8"/>
  <c r="Y2" i="8"/>
  <c r="X2" i="8"/>
  <c r="W2" i="8"/>
  <c r="U2" i="8"/>
  <c r="T2" i="8"/>
  <c r="S2" i="8"/>
  <c r="R2" i="8"/>
  <c r="Q2" i="8"/>
  <c r="P2" i="8"/>
  <c r="K2" i="8"/>
  <c r="J2" i="8"/>
  <c r="I2" i="8"/>
  <c r="H2" i="8"/>
  <c r="G2" i="8"/>
  <c r="AI1" i="8"/>
  <c r="AI4" i="8" s="1"/>
  <c r="AF1" i="8"/>
  <c r="AE1" i="8"/>
  <c r="Z1" i="8"/>
  <c r="P1" i="8" a="1"/>
  <c r="P1" i="8"/>
  <c r="F17" i="7"/>
  <c r="B266" i="6" a="1"/>
  <c r="B266" i="6" s="1"/>
  <c r="B265" i="6" a="1"/>
  <c r="B265" i="6" s="1"/>
  <c r="B264" i="6" a="1"/>
  <c r="B264" i="6" s="1"/>
  <c r="B263" i="6" a="1"/>
  <c r="B263" i="6" s="1"/>
  <c r="B262" i="6" a="1"/>
  <c r="B262" i="6" s="1"/>
  <c r="B261" i="6" a="1"/>
  <c r="B261" i="6" s="1"/>
  <c r="B260" i="6" a="1"/>
  <c r="B260" i="6" s="1"/>
  <c r="B259" i="6" a="1"/>
  <c r="B259" i="6" s="1"/>
  <c r="B258" i="6" a="1"/>
  <c r="B258" i="6" s="1"/>
  <c r="B257" i="6" a="1"/>
  <c r="B257" i="6" s="1"/>
  <c r="B256" i="6" a="1"/>
  <c r="B256" i="6" s="1"/>
  <c r="B255" i="6" a="1"/>
  <c r="B255" i="6" s="1"/>
  <c r="B254" i="6" a="1"/>
  <c r="B254" i="6" s="1"/>
  <c r="B253" i="6" a="1"/>
  <c r="B253" i="6" s="1"/>
  <c r="B252" i="6" a="1"/>
  <c r="B252" i="6" s="1"/>
  <c r="B251" i="6" a="1"/>
  <c r="B251" i="6" s="1"/>
  <c r="B250" i="6" a="1"/>
  <c r="B250" i="6" s="1"/>
  <c r="B249" i="6" a="1"/>
  <c r="B249" i="6" s="1"/>
  <c r="B248" i="6" a="1"/>
  <c r="B248" i="6" s="1"/>
  <c r="B247" i="6" a="1"/>
  <c r="B247" i="6" s="1"/>
  <c r="B246" i="6" a="1"/>
  <c r="B246" i="6" s="1"/>
  <c r="B245" i="6" a="1"/>
  <c r="B245" i="6" s="1"/>
  <c r="B244" i="6" a="1"/>
  <c r="B244" i="6" s="1"/>
  <c r="B243" i="6" a="1"/>
  <c r="B243" i="6" s="1"/>
  <c r="B242" i="6" a="1"/>
  <c r="B242" i="6" s="1"/>
  <c r="B241" i="6" a="1"/>
  <c r="B241" i="6" s="1"/>
  <c r="B240" i="6" a="1"/>
  <c r="B240" i="6" s="1"/>
  <c r="B239" i="6" a="1"/>
  <c r="B239" i="6" s="1"/>
  <c r="B238" i="6" a="1"/>
  <c r="B238" i="6" s="1"/>
  <c r="B237" i="6" a="1"/>
  <c r="B237" i="6" s="1"/>
  <c r="B236" i="6" a="1"/>
  <c r="B236" i="6" s="1"/>
  <c r="B235" i="6" a="1"/>
  <c r="B235" i="6" s="1"/>
  <c r="B234" i="6" a="1"/>
  <c r="B234" i="6" s="1"/>
  <c r="B233" i="6" a="1"/>
  <c r="B233" i="6" s="1"/>
  <c r="B232" i="6" a="1"/>
  <c r="B232" i="6" s="1"/>
  <c r="B231" i="6" a="1"/>
  <c r="B231" i="6" s="1"/>
  <c r="B230" i="6" a="1"/>
  <c r="B230" i="6" s="1"/>
  <c r="B229" i="6" a="1"/>
  <c r="B229" i="6" s="1"/>
  <c r="B228" i="6" a="1"/>
  <c r="B228" i="6" s="1"/>
  <c r="B227" i="6" a="1"/>
  <c r="B227" i="6" s="1"/>
  <c r="B226" i="6" a="1"/>
  <c r="B226" i="6" s="1"/>
  <c r="B225" i="6" a="1"/>
  <c r="B225" i="6" s="1"/>
  <c r="B224" i="6" a="1"/>
  <c r="B224" i="6" s="1"/>
  <c r="B223" i="6" a="1"/>
  <c r="B223" i="6" s="1"/>
  <c r="B222" i="6" a="1"/>
  <c r="B222" i="6" s="1"/>
  <c r="B221" i="6" a="1"/>
  <c r="B221" i="6" s="1"/>
  <c r="B220" i="6" a="1"/>
  <c r="B220" i="6" s="1"/>
  <c r="B219" i="6" a="1"/>
  <c r="B219" i="6" s="1"/>
  <c r="B218" i="6" a="1"/>
  <c r="B218" i="6" s="1"/>
  <c r="B217" i="6" a="1"/>
  <c r="B217" i="6" s="1"/>
  <c r="B216" i="6" a="1"/>
  <c r="B216" i="6" s="1"/>
  <c r="B215" i="6" a="1"/>
  <c r="B215" i="6" s="1"/>
  <c r="B214" i="6" a="1"/>
  <c r="B214" i="6" s="1"/>
  <c r="B213" i="6" a="1"/>
  <c r="B213" i="6" s="1"/>
  <c r="B212" i="6" a="1"/>
  <c r="B212" i="6" s="1"/>
  <c r="B211" i="6" a="1"/>
  <c r="B211" i="6" s="1"/>
  <c r="B210" i="6" a="1"/>
  <c r="B210" i="6" s="1"/>
  <c r="B209" i="6" a="1"/>
  <c r="B209" i="6" s="1"/>
  <c r="B208" i="6" a="1"/>
  <c r="B208" i="6" s="1"/>
  <c r="B207" i="6" a="1"/>
  <c r="B207" i="6" s="1"/>
  <c r="B206" i="6" a="1"/>
  <c r="B206" i="6" s="1"/>
  <c r="B205" i="6" a="1"/>
  <c r="B205" i="6" s="1"/>
  <c r="B204" i="6" a="1"/>
  <c r="B204" i="6" s="1"/>
  <c r="B203" i="6" a="1"/>
  <c r="B203" i="6" s="1"/>
  <c r="B202" i="6" a="1"/>
  <c r="B202" i="6" s="1"/>
  <c r="B201" i="6" a="1"/>
  <c r="B201" i="6" s="1"/>
  <c r="B200" i="6" a="1"/>
  <c r="B200" i="6" s="1"/>
  <c r="B199" i="6" a="1"/>
  <c r="B199" i="6" s="1"/>
  <c r="B198" i="6" a="1"/>
  <c r="B198" i="6" s="1"/>
  <c r="B197" i="6" a="1"/>
  <c r="B197" i="6" s="1"/>
  <c r="B196" i="6" a="1"/>
  <c r="B196" i="6" s="1"/>
  <c r="B195" i="6" a="1"/>
  <c r="B195" i="6" s="1"/>
  <c r="B194" i="6" a="1"/>
  <c r="B194" i="6" s="1"/>
  <c r="B193" i="6" a="1"/>
  <c r="B193" i="6" s="1"/>
  <c r="B192" i="6" a="1"/>
  <c r="B192" i="6" s="1"/>
  <c r="B191" i="6" a="1"/>
  <c r="B191" i="6" s="1"/>
  <c r="B190" i="6" a="1"/>
  <c r="B190" i="6" s="1"/>
  <c r="B189" i="6" a="1"/>
  <c r="B189" i="6" s="1"/>
  <c r="B188" i="6" a="1"/>
  <c r="B188" i="6" s="1"/>
  <c r="B187" i="6" a="1"/>
  <c r="B187" i="6" s="1"/>
  <c r="B186" i="6" a="1"/>
  <c r="B186" i="6" s="1"/>
  <c r="B185" i="6" a="1"/>
  <c r="B185" i="6" s="1"/>
  <c r="B184" i="6" a="1"/>
  <c r="B184" i="6" s="1"/>
  <c r="B183" i="6" a="1"/>
  <c r="B183" i="6" s="1"/>
  <c r="B182" i="6" a="1"/>
  <c r="B182" i="6" s="1"/>
  <c r="B181" i="6" a="1"/>
  <c r="B181" i="6" s="1"/>
  <c r="B180" i="6" a="1"/>
  <c r="B180" i="6" s="1"/>
  <c r="B179" i="6" a="1"/>
  <c r="B179" i="6" s="1"/>
  <c r="B178" i="6" a="1"/>
  <c r="B178" i="6" s="1"/>
  <c r="B177" i="6" a="1"/>
  <c r="B177" i="6" s="1"/>
  <c r="B176" i="6" a="1"/>
  <c r="B176" i="6" s="1"/>
  <c r="B175" i="6" a="1"/>
  <c r="B175" i="6" s="1"/>
  <c r="B174" i="6" a="1"/>
  <c r="B174" i="6" s="1"/>
  <c r="B173" i="6" a="1"/>
  <c r="B173" i="6" s="1"/>
  <c r="B172" i="6" a="1"/>
  <c r="B172" i="6" s="1"/>
  <c r="B171" i="6" a="1"/>
  <c r="B171" i="6" s="1"/>
  <c r="B170" i="6" a="1"/>
  <c r="B170" i="6" s="1"/>
  <c r="B169" i="6" a="1"/>
  <c r="B169" i="6" s="1"/>
  <c r="B168" i="6" a="1"/>
  <c r="B168" i="6" s="1"/>
  <c r="B167" i="6" a="1"/>
  <c r="B167" i="6" s="1"/>
  <c r="B166" i="6" a="1"/>
  <c r="B166" i="6" s="1"/>
  <c r="B165" i="6" a="1"/>
  <c r="B165" i="6" s="1"/>
  <c r="B164" i="6" a="1"/>
  <c r="B164" i="6" s="1"/>
  <c r="B163" i="6" a="1"/>
  <c r="B163" i="6" s="1"/>
  <c r="B162" i="6" a="1"/>
  <c r="B162" i="6" s="1"/>
  <c r="B161" i="6" a="1"/>
  <c r="B161" i="6" s="1"/>
  <c r="B160" i="6" a="1"/>
  <c r="B160" i="6" s="1"/>
  <c r="B159" i="6" a="1"/>
  <c r="B159" i="6" s="1"/>
  <c r="B158" i="6" a="1"/>
  <c r="B158" i="6" s="1"/>
  <c r="B157" i="6" a="1"/>
  <c r="B157" i="6" s="1"/>
  <c r="B156" i="6" a="1"/>
  <c r="B156" i="6" s="1"/>
  <c r="B155" i="6" a="1"/>
  <c r="B155" i="6" s="1"/>
  <c r="B154" i="6" a="1"/>
  <c r="B154" i="6" s="1"/>
  <c r="B153" i="6" a="1"/>
  <c r="B153" i="6" s="1"/>
  <c r="B152" i="6" a="1"/>
  <c r="B152" i="6" s="1"/>
  <c r="B151" i="6" a="1"/>
  <c r="B151" i="6" s="1"/>
  <c r="B150" i="6" a="1"/>
  <c r="B150" i="6" s="1"/>
  <c r="B149" i="6" a="1"/>
  <c r="B149" i="6" s="1"/>
  <c r="B148" i="6" a="1"/>
  <c r="B148" i="6" s="1"/>
  <c r="B147" i="6" a="1"/>
  <c r="B147" i="6" s="1"/>
  <c r="B146" i="6" a="1"/>
  <c r="B146" i="6" s="1"/>
  <c r="B145" i="6" a="1"/>
  <c r="B145" i="6" s="1"/>
  <c r="B144" i="6" a="1"/>
  <c r="B144" i="6" s="1"/>
  <c r="B143" i="6" a="1"/>
  <c r="B143" i="6" s="1"/>
  <c r="B142" i="6" a="1"/>
  <c r="B142" i="6" s="1"/>
  <c r="B141" i="6" a="1"/>
  <c r="B141" i="6" s="1"/>
  <c r="B140" i="6" a="1"/>
  <c r="B140" i="6" s="1"/>
  <c r="B139" i="6" a="1"/>
  <c r="B139" i="6" s="1"/>
  <c r="B138" i="6" a="1"/>
  <c r="B138" i="6" s="1"/>
  <c r="B137" i="6" a="1"/>
  <c r="B137" i="6" s="1"/>
  <c r="B136" i="6" a="1"/>
  <c r="B136" i="6" s="1"/>
  <c r="B135" i="6" a="1"/>
  <c r="B135" i="6" s="1"/>
  <c r="B134" i="6" a="1"/>
  <c r="B134" i="6" s="1"/>
  <c r="B133" i="6" a="1"/>
  <c r="B133" i="6" s="1"/>
  <c r="B132" i="6" a="1"/>
  <c r="B132" i="6" s="1"/>
  <c r="B131" i="6" a="1"/>
  <c r="B131" i="6" s="1"/>
  <c r="B130" i="6" a="1"/>
  <c r="B130" i="6" s="1"/>
  <c r="B129" i="6" a="1"/>
  <c r="B129" i="6" s="1"/>
  <c r="B128" i="6" a="1"/>
  <c r="B128" i="6" s="1"/>
  <c r="B127" i="6" a="1"/>
  <c r="B127" i="6" s="1"/>
  <c r="B126" i="6" a="1"/>
  <c r="B126" i="6" s="1"/>
  <c r="B125" i="6" a="1"/>
  <c r="B125" i="6" s="1"/>
  <c r="B124" i="6" a="1"/>
  <c r="B124" i="6" s="1"/>
  <c r="B123" i="6" a="1"/>
  <c r="B123" i="6" s="1"/>
  <c r="B122" i="6" a="1"/>
  <c r="B122" i="6" s="1"/>
  <c r="B121" i="6" a="1"/>
  <c r="B121" i="6" s="1"/>
  <c r="B120" i="6" a="1"/>
  <c r="B120" i="6" s="1"/>
  <c r="B119" i="6" a="1"/>
  <c r="B119" i="6" s="1"/>
  <c r="B118" i="6" a="1"/>
  <c r="B118" i="6" s="1"/>
  <c r="B117" i="6" a="1"/>
  <c r="B117" i="6" s="1"/>
  <c r="B116" i="6" a="1"/>
  <c r="B116" i="6" s="1"/>
  <c r="B115" i="6" a="1"/>
  <c r="B115" i="6" s="1"/>
  <c r="B114" i="6" a="1"/>
  <c r="B114" i="6" s="1"/>
  <c r="B113" i="6" a="1"/>
  <c r="B113" i="6" s="1"/>
  <c r="B112" i="6" a="1"/>
  <c r="B112" i="6" s="1"/>
  <c r="B111" i="6" a="1"/>
  <c r="B111" i="6" s="1"/>
  <c r="B110" i="6" a="1"/>
  <c r="B110" i="6" s="1"/>
  <c r="B109" i="6" a="1"/>
  <c r="B109" i="6" s="1"/>
  <c r="B108" i="6" a="1"/>
  <c r="B108" i="6" s="1"/>
  <c r="B107" i="6" a="1"/>
  <c r="B107" i="6" s="1"/>
  <c r="B106" i="6" a="1"/>
  <c r="B106" i="6" s="1"/>
  <c r="B105" i="6" a="1"/>
  <c r="B105" i="6" s="1"/>
  <c r="B104" i="6" a="1"/>
  <c r="B104" i="6" s="1"/>
  <c r="B103" i="6" a="1"/>
  <c r="B103" i="6" s="1"/>
  <c r="B102" i="6" a="1"/>
  <c r="B102" i="6" s="1"/>
  <c r="B101" i="6" a="1"/>
  <c r="B101" i="6" s="1"/>
  <c r="B100" i="6" a="1"/>
  <c r="B100" i="6" s="1"/>
  <c r="B99" i="6" a="1"/>
  <c r="B99" i="6" s="1"/>
  <c r="B98" i="6" a="1"/>
  <c r="B98" i="6" s="1"/>
  <c r="B97" i="6" a="1"/>
  <c r="B97" i="6" s="1"/>
  <c r="B96" i="6" a="1"/>
  <c r="B96" i="6" s="1"/>
  <c r="B95" i="6" a="1"/>
  <c r="B95" i="6" s="1"/>
  <c r="B94" i="6" a="1"/>
  <c r="B94" i="6" s="1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2" i="6" a="1"/>
  <c r="B82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3" i="6" a="1"/>
  <c r="B63" i="6" s="1"/>
  <c r="B62" i="6" a="1"/>
  <c r="B62" i="6" s="1"/>
  <c r="B61" i="6" a="1"/>
  <c r="B61" i="6" s="1"/>
  <c r="B60" i="6" a="1"/>
  <c r="B60" i="6" s="1"/>
  <c r="B59" i="6" a="1"/>
  <c r="B59" i="6" s="1"/>
  <c r="B58" i="6" a="1"/>
  <c r="B58" i="6" s="1"/>
  <c r="B57" i="6" a="1"/>
  <c r="B57" i="6" s="1"/>
  <c r="B56" i="6" a="1"/>
  <c r="B56" i="6" s="1"/>
  <c r="B55" i="6" a="1"/>
  <c r="B55" i="6" s="1"/>
  <c r="B54" i="6" a="1"/>
  <c r="B54" i="6" s="1"/>
  <c r="B53" i="6" a="1"/>
  <c r="B53" i="6" s="1"/>
  <c r="B52" i="6" a="1"/>
  <c r="B52" i="6" s="1"/>
  <c r="B51" i="6" a="1"/>
  <c r="B51" i="6" s="1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44" i="6" a="1"/>
  <c r="B44" i="6" s="1"/>
  <c r="B43" i="6" a="1"/>
  <c r="B43" i="6" s="1"/>
  <c r="B42" i="6" a="1"/>
  <c r="B42" i="6" s="1"/>
  <c r="B41" i="6" a="1"/>
  <c r="B41" i="6" s="1"/>
  <c r="B40" i="6" a="1"/>
  <c r="B40" i="6" s="1"/>
  <c r="B39" i="6" a="1"/>
  <c r="B39" i="6" s="1"/>
  <c r="B38" i="6" a="1"/>
  <c r="B38" i="6" s="1"/>
  <c r="B37" i="6" a="1"/>
  <c r="B37" i="6" s="1"/>
  <c r="B36" i="6" a="1"/>
  <c r="B36" i="6" s="1"/>
  <c r="B35" i="6" a="1"/>
  <c r="B35" i="6" s="1"/>
  <c r="B34" i="6" a="1"/>
  <c r="B34" i="6" s="1"/>
  <c r="B33" i="6" a="1"/>
  <c r="B33" i="6" s="1"/>
  <c r="B32" i="6" a="1"/>
  <c r="B32" i="6" s="1"/>
  <c r="B31" i="6" a="1"/>
  <c r="B31" i="6" s="1"/>
  <c r="B30" i="6" a="1"/>
  <c r="B30" i="6" s="1"/>
  <c r="B29" i="6" a="1"/>
  <c r="B29" i="6" s="1"/>
  <c r="B28" i="6" a="1"/>
  <c r="B28" i="6" s="1"/>
  <c r="B27" i="6" a="1"/>
  <c r="B27" i="6" s="1"/>
  <c r="B26" i="6" a="1"/>
  <c r="B26" i="6" s="1"/>
  <c r="B25" i="6" a="1"/>
  <c r="B25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B13" i="6" a="1"/>
  <c r="B13" i="6" s="1"/>
  <c r="B12" i="6" a="1"/>
  <c r="B12" i="6" s="1"/>
  <c r="B11" i="6" a="1"/>
  <c r="B11" i="6" s="1"/>
  <c r="B10" i="6" a="1"/>
  <c r="B10" i="6" s="1"/>
  <c r="B9" i="6" a="1"/>
  <c r="B9" i="6" s="1"/>
  <c r="B8" i="6" a="1"/>
  <c r="B8" i="6" s="1"/>
  <c r="B7" i="6" a="1"/>
  <c r="B7" i="6" s="1"/>
  <c r="B6" i="6" a="1"/>
  <c r="B6" i="6" s="1"/>
  <c r="B5" i="6" a="1"/>
  <c r="B5" i="6" s="1"/>
  <c r="B4" i="6" a="1"/>
  <c r="B4" i="6" s="1"/>
  <c r="B3" i="6" a="1"/>
  <c r="B3" i="6" s="1"/>
  <c r="B2" i="6" a="1"/>
  <c r="B2" i="6" s="1"/>
  <c r="X23" i="5" a="1"/>
  <c r="X23" i="5"/>
  <c r="W22" i="5" a="1"/>
  <c r="W22" i="5" s="1"/>
  <c r="V21" i="5" a="1"/>
  <c r="V21" i="5"/>
  <c r="X20" i="5"/>
  <c r="U20" i="5" a="1"/>
  <c r="W20" i="5" s="1"/>
  <c r="U20" i="5"/>
  <c r="T19" i="5" a="1"/>
  <c r="U19" i="5" s="1"/>
  <c r="T19" i="5"/>
  <c r="W18" i="5"/>
  <c r="V18" i="5"/>
  <c r="U18" i="5"/>
  <c r="T18" i="5"/>
  <c r="S18" i="5" a="1"/>
  <c r="X18" i="5" s="1"/>
  <c r="R17" i="5" a="1"/>
  <c r="T17" i="5" s="1"/>
  <c r="U16" i="5"/>
  <c r="T16" i="5"/>
  <c r="Q16" i="5" a="1"/>
  <c r="Q16" i="5"/>
  <c r="U15" i="5"/>
  <c r="T15" i="5"/>
  <c r="S15" i="5"/>
  <c r="Q15" i="5"/>
  <c r="P15" i="5" a="1"/>
  <c r="P15" i="5"/>
  <c r="O14" i="5" a="1"/>
  <c r="U14" i="5" s="1"/>
  <c r="V13" i="5"/>
  <c r="U13" i="5"/>
  <c r="T13" i="5"/>
  <c r="R13" i="5"/>
  <c r="Q13" i="5"/>
  <c r="P13" i="5"/>
  <c r="N13" i="5" a="1"/>
  <c r="S13" i="5" s="1"/>
  <c r="X12" i="5"/>
  <c r="W12" i="5"/>
  <c r="V12" i="5"/>
  <c r="T12" i="5"/>
  <c r="S12" i="5"/>
  <c r="R12" i="5"/>
  <c r="P12" i="5"/>
  <c r="N12" i="5"/>
  <c r="M12" i="5" a="1"/>
  <c r="M12" i="5"/>
  <c r="W11" i="5"/>
  <c r="V11" i="5"/>
  <c r="U11" i="5"/>
  <c r="S11" i="5"/>
  <c r="Q11" i="5"/>
  <c r="P11" i="5"/>
  <c r="O11" i="5"/>
  <c r="M11" i="5"/>
  <c r="L11" i="5" a="1"/>
  <c r="L11" i="5"/>
  <c r="V10" i="5"/>
  <c r="U10" i="5"/>
  <c r="T10" i="5"/>
  <c r="S10" i="5"/>
  <c r="O10" i="5"/>
  <c r="K10" i="5" a="1"/>
  <c r="K10" i="5"/>
  <c r="J9" i="5" a="1"/>
  <c r="N9" i="5" s="1"/>
  <c r="X8" i="5"/>
  <c r="W8" i="5"/>
  <c r="V8" i="5"/>
  <c r="U8" i="5"/>
  <c r="T8" i="5"/>
  <c r="R8" i="5"/>
  <c r="Q8" i="5"/>
  <c r="P8" i="5"/>
  <c r="O8" i="5"/>
  <c r="N8" i="5"/>
  <c r="M8" i="5"/>
  <c r="L8" i="5"/>
  <c r="K8" i="5"/>
  <c r="J8" i="5"/>
  <c r="I8" i="5" a="1"/>
  <c r="S8" i="5" s="1"/>
  <c r="I8" i="5"/>
  <c r="X7" i="5"/>
  <c r="W7" i="5"/>
  <c r="V7" i="5"/>
  <c r="M7" i="5"/>
  <c r="L7" i="5"/>
  <c r="K7" i="5"/>
  <c r="H7" i="5" a="1"/>
  <c r="P7" i="5" s="1"/>
  <c r="G6" i="5" a="1"/>
  <c r="U6" i="5" s="1"/>
  <c r="P5" i="5"/>
  <c r="O5" i="5"/>
  <c r="F5" i="5" a="1"/>
  <c r="V5" i="5" s="1"/>
  <c r="F5" i="5"/>
  <c r="X4" i="5"/>
  <c r="Q4" i="5"/>
  <c r="O4" i="5"/>
  <c r="N4" i="5"/>
  <c r="L4" i="5"/>
  <c r="H4" i="5"/>
  <c r="F4" i="5"/>
  <c r="E4" i="5" a="1"/>
  <c r="E4" i="5"/>
  <c r="W3" i="5"/>
  <c r="V3" i="5"/>
  <c r="U3" i="5"/>
  <c r="T3" i="5"/>
  <c r="S3" i="5"/>
  <c r="R3" i="5"/>
  <c r="Q3" i="5"/>
  <c r="P3" i="5"/>
  <c r="O3" i="5"/>
  <c r="M3" i="5"/>
  <c r="L3" i="5"/>
  <c r="K3" i="5"/>
  <c r="J3" i="5"/>
  <c r="I3" i="5"/>
  <c r="H3" i="5"/>
  <c r="G3" i="5"/>
  <c r="F3" i="5"/>
  <c r="E3" i="5"/>
  <c r="D3" i="5" a="1"/>
  <c r="X3" i="5" s="1"/>
  <c r="D3" i="5"/>
  <c r="X2" i="5"/>
  <c r="W2" i="5"/>
  <c r="M2" i="5"/>
  <c r="L2" i="5"/>
  <c r="C2" i="5" a="1"/>
  <c r="O2" i="5" s="1"/>
  <c r="C2" i="5"/>
  <c r="A7" i="4"/>
  <c r="F50" i="8" l="1"/>
  <c r="F431" i="8"/>
  <c r="F30" i="8"/>
  <c r="F40" i="8"/>
  <c r="F46" i="8"/>
  <c r="F48" i="8"/>
  <c r="F185" i="8"/>
  <c r="F282" i="8"/>
  <c r="F12" i="8"/>
  <c r="F219" i="8"/>
  <c r="F17" i="8"/>
  <c r="F210" i="8"/>
  <c r="F414" i="8"/>
  <c r="F16" i="8"/>
  <c r="F180" i="8"/>
  <c r="F171" i="8"/>
  <c r="F181" i="8"/>
  <c r="F79" i="8"/>
  <c r="F94" i="8"/>
  <c r="F172" i="8"/>
  <c r="F68" i="8"/>
  <c r="F77" i="8"/>
  <c r="F141" i="8"/>
  <c r="F64" i="8"/>
  <c r="F126" i="8"/>
  <c r="F136" i="8"/>
  <c r="F152" i="8"/>
  <c r="F338" i="8"/>
  <c r="F381" i="8"/>
  <c r="F241" i="8"/>
  <c r="F261" i="8"/>
  <c r="F273" i="8"/>
  <c r="F275" i="8"/>
  <c r="F327" i="8"/>
  <c r="F332" i="8"/>
  <c r="F336" i="8"/>
  <c r="F421" i="8"/>
  <c r="F422" i="8"/>
  <c r="F19" i="8"/>
  <c r="F105" i="8"/>
  <c r="F107" i="8"/>
  <c r="F109" i="8"/>
  <c r="F111" i="8"/>
  <c r="F131" i="8"/>
  <c r="F151" i="8"/>
  <c r="F167" i="8"/>
  <c r="F178" i="8"/>
  <c r="F183" i="8"/>
  <c r="F280" i="8"/>
  <c r="F311" i="8"/>
  <c r="F323" i="8"/>
  <c r="F325" i="8"/>
  <c r="F346" i="8"/>
  <c r="F370" i="8"/>
  <c r="F6" i="8"/>
  <c r="F26" i="8"/>
  <c r="F66" i="8"/>
  <c r="F96" i="8"/>
  <c r="F158" i="8"/>
  <c r="F205" i="8"/>
  <c r="F259" i="8"/>
  <c r="F300" i="8"/>
  <c r="F304" i="8"/>
  <c r="F328" i="8"/>
  <c r="F36" i="8"/>
  <c r="F38" i="8"/>
  <c r="F70" i="8"/>
  <c r="F121" i="8"/>
  <c r="F188" i="8"/>
  <c r="F143" i="8"/>
  <c r="F366" i="8"/>
  <c r="F14" i="8"/>
  <c r="F161" i="8"/>
  <c r="C7" i="13"/>
  <c r="F420" i="8"/>
  <c r="F80" i="8"/>
  <c r="F95" i="8"/>
  <c r="F9" i="8"/>
  <c r="F190" i="8"/>
  <c r="F361" i="8"/>
  <c r="F135" i="8"/>
  <c r="F239" i="8"/>
  <c r="F312" i="8"/>
  <c r="F314" i="8"/>
  <c r="F352" i="8"/>
  <c r="F390" i="8"/>
  <c r="F400" i="8"/>
  <c r="F410" i="8"/>
  <c r="F412" i="8"/>
  <c r="F430" i="8"/>
  <c r="F35" i="8"/>
  <c r="F227" i="8"/>
  <c r="F224" i="8"/>
  <c r="F301" i="8"/>
  <c r="C38" i="17"/>
  <c r="C27" i="13"/>
  <c r="F86" i="8"/>
  <c r="F235" i="8"/>
  <c r="F24" i="8"/>
  <c r="F207" i="8"/>
  <c r="F244" i="8"/>
  <c r="F254" i="8"/>
  <c r="F258" i="8"/>
  <c r="F284" i="8"/>
  <c r="F288" i="8"/>
  <c r="F348" i="8"/>
  <c r="F434" i="8"/>
  <c r="F148" i="8"/>
  <c r="F360" i="8"/>
  <c r="F423" i="8"/>
  <c r="F189" i="8"/>
  <c r="F269" i="8"/>
  <c r="F347" i="8"/>
  <c r="F357" i="8"/>
  <c r="F373" i="8"/>
  <c r="F401" i="8"/>
  <c r="F23" i="8"/>
  <c r="F191" i="8"/>
  <c r="F213" i="8"/>
  <c r="F302" i="8"/>
  <c r="F101" i="8"/>
  <c r="F187" i="8"/>
  <c r="F196" i="8"/>
  <c r="F200" i="8"/>
  <c r="F211" i="8"/>
  <c r="F230" i="8"/>
  <c r="F337" i="8"/>
  <c r="F354" i="8"/>
  <c r="F358" i="8"/>
  <c r="F10" i="8"/>
  <c r="F202" i="8"/>
  <c r="F330" i="8"/>
  <c r="F362" i="8"/>
  <c r="F383" i="8"/>
  <c r="F55" i="8"/>
  <c r="F60" i="8"/>
  <c r="F116" i="8"/>
  <c r="F166" i="8"/>
  <c r="F218" i="8"/>
  <c r="F322" i="8"/>
  <c r="F369" i="8"/>
  <c r="F45" i="8"/>
  <c r="F5" i="8"/>
  <c r="F248" i="8"/>
  <c r="F44" i="8"/>
  <c r="F215" i="8"/>
  <c r="F155" i="8"/>
  <c r="F204" i="8"/>
  <c r="F237" i="8"/>
  <c r="F271" i="8"/>
  <c r="F39" i="8"/>
  <c r="F149" i="8"/>
  <c r="F163" i="8"/>
  <c r="F198" i="8"/>
  <c r="F292" i="8"/>
  <c r="F321" i="8"/>
  <c r="F334" i="8"/>
  <c r="F340" i="8"/>
  <c r="F342" i="8"/>
  <c r="F344" i="8"/>
  <c r="F363" i="8"/>
  <c r="F374" i="8"/>
  <c r="F380" i="8"/>
  <c r="F407" i="8"/>
  <c r="F433" i="8"/>
  <c r="F435" i="8"/>
  <c r="F291" i="8"/>
  <c r="F8" i="8"/>
  <c r="F199" i="8"/>
  <c r="F182" i="8"/>
  <c r="F194" i="8"/>
  <c r="F268" i="8"/>
  <c r="F7" i="8"/>
  <c r="F76" i="8"/>
  <c r="F115" i="8"/>
  <c r="F119" i="8"/>
  <c r="F130" i="8"/>
  <c r="F132" i="8"/>
  <c r="F138" i="8"/>
  <c r="F145" i="8"/>
  <c r="F154" i="8"/>
  <c r="F169" i="8"/>
  <c r="F192" i="8"/>
  <c r="F382" i="8"/>
  <c r="F384" i="8"/>
  <c r="F388" i="8"/>
  <c r="F429" i="8"/>
  <c r="F28" i="8"/>
  <c r="F118" i="8"/>
  <c r="F32" i="8"/>
  <c r="F54" i="8"/>
  <c r="F42" i="8"/>
  <c r="F221" i="8"/>
  <c r="F277" i="8"/>
  <c r="F350" i="8"/>
  <c r="F51" i="8"/>
  <c r="F100" i="8"/>
  <c r="F102" i="8"/>
  <c r="F122" i="8"/>
  <c r="F124" i="8"/>
  <c r="F128" i="8"/>
  <c r="F165" i="8"/>
  <c r="F293" i="8"/>
  <c r="F295" i="8"/>
  <c r="F310" i="8"/>
  <c r="F353" i="8"/>
  <c r="F392" i="8"/>
  <c r="F398" i="8"/>
  <c r="C15" i="14"/>
  <c r="C19" i="17"/>
  <c r="F238" i="8"/>
  <c r="F308" i="8"/>
  <c r="F34" i="8"/>
  <c r="F89" i="8"/>
  <c r="F217" i="8"/>
  <c r="F234" i="8"/>
  <c r="F242" i="8"/>
  <c r="F153" i="8"/>
  <c r="F53" i="8"/>
  <c r="F61" i="8"/>
  <c r="F18" i="8"/>
  <c r="F20" i="8"/>
  <c r="F22" i="8"/>
  <c r="F49" i="8"/>
  <c r="F56" i="8"/>
  <c r="F87" i="8"/>
  <c r="F112" i="8"/>
  <c r="F114" i="8"/>
  <c r="F134" i="8"/>
  <c r="F150" i="8"/>
  <c r="F176" i="8"/>
  <c r="F272" i="8"/>
  <c r="F278" i="8"/>
  <c r="F281" i="8"/>
  <c r="F303" i="8"/>
  <c r="F316" i="8"/>
  <c r="F320" i="8"/>
  <c r="F364" i="8"/>
  <c r="F394" i="8"/>
  <c r="F396" i="8"/>
  <c r="F402" i="8"/>
  <c r="F404" i="8"/>
  <c r="C13" i="13"/>
  <c r="F27" i="8"/>
  <c r="F52" i="8"/>
  <c r="F57" i="8"/>
  <c r="F59" i="8"/>
  <c r="F91" i="8"/>
  <c r="F127" i="8"/>
  <c r="F137" i="8"/>
  <c r="F142" i="8"/>
  <c r="F159" i="8"/>
  <c r="F164" i="8"/>
  <c r="F168" i="8"/>
  <c r="F170" i="8"/>
  <c r="F177" i="8"/>
  <c r="F179" i="8"/>
  <c r="F228" i="8"/>
  <c r="F251" i="8"/>
  <c r="F257" i="8"/>
  <c r="F262" i="8"/>
  <c r="F290" i="8"/>
  <c r="F294" i="8"/>
  <c r="F324" i="8"/>
  <c r="F331" i="8"/>
  <c r="F333" i="8"/>
  <c r="F335" i="8"/>
  <c r="F351" i="8"/>
  <c r="F371" i="8"/>
  <c r="F391" i="8"/>
  <c r="F393" i="8"/>
  <c r="F395" i="8"/>
  <c r="F399" i="8"/>
  <c r="F31" i="8"/>
  <c r="F33" i="8"/>
  <c r="F37" i="8"/>
  <c r="F65" i="8"/>
  <c r="F85" i="8"/>
  <c r="F92" i="8"/>
  <c r="F103" i="8"/>
  <c r="F108" i="8"/>
  <c r="F156" i="8"/>
  <c r="F232" i="8"/>
  <c r="F264" i="8"/>
  <c r="F283" i="8"/>
  <c r="F318" i="8"/>
  <c r="F426" i="8"/>
  <c r="F432" i="8"/>
  <c r="C5" i="13"/>
  <c r="C13" i="17"/>
  <c r="F29" i="8"/>
  <c r="F69" i="8"/>
  <c r="F71" i="8"/>
  <c r="F75" i="8"/>
  <c r="F81" i="8"/>
  <c r="F106" i="8"/>
  <c r="F113" i="8"/>
  <c r="F117" i="8"/>
  <c r="F123" i="8"/>
  <c r="F125" i="8"/>
  <c r="F129" i="8"/>
  <c r="F133" i="8"/>
  <c r="F139" i="8"/>
  <c r="F146" i="8"/>
  <c r="F157" i="8"/>
  <c r="F162" i="8"/>
  <c r="F184" i="8"/>
  <c r="F197" i="8"/>
  <c r="F209" i="8"/>
  <c r="F212" i="8"/>
  <c r="F214" i="8"/>
  <c r="F270" i="8"/>
  <c r="F274" i="8"/>
  <c r="F298" i="8"/>
  <c r="F329" i="8"/>
  <c r="F339" i="8"/>
  <c r="F343" i="8"/>
  <c r="F378" i="8"/>
  <c r="F403" i="8"/>
  <c r="F405" i="8"/>
  <c r="F409" i="8"/>
  <c r="F424" i="8"/>
  <c r="F15" i="8"/>
  <c r="F25" i="8"/>
  <c r="F41" i="8"/>
  <c r="F43" i="8"/>
  <c r="F47" i="8"/>
  <c r="F58" i="8"/>
  <c r="F63" i="8"/>
  <c r="F73" i="8"/>
  <c r="F78" i="8"/>
  <c r="F84" i="8"/>
  <c r="F140" i="8"/>
  <c r="F147" i="8"/>
  <c r="F160" i="8"/>
  <c r="F173" i="8"/>
  <c r="F175" i="8"/>
  <c r="F195" i="8"/>
  <c r="F201" i="8"/>
  <c r="F208" i="8"/>
  <c r="F222" i="8"/>
  <c r="F225" i="8"/>
  <c r="F229" i="8"/>
  <c r="F252" i="8"/>
  <c r="F265" i="8"/>
  <c r="F313" i="8"/>
  <c r="F319" i="8"/>
  <c r="F341" i="8"/>
  <c r="F345" i="8"/>
  <c r="F372" i="8"/>
  <c r="F411" i="8"/>
  <c r="F413" i="8"/>
  <c r="C32" i="13"/>
  <c r="D2" i="5"/>
  <c r="W4" i="5"/>
  <c r="M4" i="5"/>
  <c r="P4" i="5"/>
  <c r="G5" i="5"/>
  <c r="R5" i="5"/>
  <c r="J6" i="5"/>
  <c r="N7" i="5"/>
  <c r="P14" i="5"/>
  <c r="V17" i="5"/>
  <c r="AG1" i="8"/>
  <c r="W1" i="8"/>
  <c r="AC1" i="8"/>
  <c r="S1" i="8"/>
  <c r="AL1" i="8"/>
  <c r="AB1" i="8"/>
  <c r="R1" i="8"/>
  <c r="AK1" i="8"/>
  <c r="AA1" i="8"/>
  <c r="Q1" i="8"/>
  <c r="AJ1" i="8"/>
  <c r="AH1" i="8"/>
  <c r="X1" i="8"/>
  <c r="F2" i="8"/>
  <c r="X6" i="5"/>
  <c r="N6" i="5"/>
  <c r="W9" i="5"/>
  <c r="M9" i="5"/>
  <c r="U9" i="5"/>
  <c r="S17" i="5"/>
  <c r="P2" i="5"/>
  <c r="F2" i="5"/>
  <c r="Q5" i="5"/>
  <c r="L9" i="5"/>
  <c r="E2" i="5"/>
  <c r="Q2" i="5"/>
  <c r="H5" i="5"/>
  <c r="S5" i="5"/>
  <c r="K6" i="5"/>
  <c r="V6" i="5"/>
  <c r="O7" i="5"/>
  <c r="O9" i="5"/>
  <c r="R10" i="5"/>
  <c r="X10" i="5"/>
  <c r="N10" i="5"/>
  <c r="W10" i="5"/>
  <c r="Q14" i="5"/>
  <c r="W17" i="5"/>
  <c r="T1" i="8"/>
  <c r="S6" i="5"/>
  <c r="X22" i="5"/>
  <c r="G2" i="5"/>
  <c r="R2" i="5"/>
  <c r="G4" i="5"/>
  <c r="R4" i="5"/>
  <c r="I5" i="5"/>
  <c r="T5" i="5"/>
  <c r="L6" i="5"/>
  <c r="W6" i="5"/>
  <c r="Q7" i="5"/>
  <c r="P9" i="5"/>
  <c r="L10" i="5"/>
  <c r="S14" i="5"/>
  <c r="S16" i="5"/>
  <c r="X16" i="5"/>
  <c r="W16" i="5"/>
  <c r="X17" i="5"/>
  <c r="U1" i="8"/>
  <c r="F4" i="8"/>
  <c r="H6" i="5"/>
  <c r="V9" i="5"/>
  <c r="H2" i="5"/>
  <c r="S2" i="5"/>
  <c r="S4" i="5"/>
  <c r="J5" i="5"/>
  <c r="U5" i="5"/>
  <c r="M6" i="5"/>
  <c r="H7" i="5"/>
  <c r="R7" i="5"/>
  <c r="Q9" i="5"/>
  <c r="M10" i="5"/>
  <c r="X11" i="5"/>
  <c r="N11" i="5"/>
  <c r="T11" i="5"/>
  <c r="R11" i="5"/>
  <c r="U12" i="5"/>
  <c r="Q12" i="5"/>
  <c r="O12" i="5"/>
  <c r="T14" i="5"/>
  <c r="R16" i="5"/>
  <c r="V20" i="5"/>
  <c r="V1" i="8"/>
  <c r="R6" i="5"/>
  <c r="U17" i="5"/>
  <c r="R17" i="5"/>
  <c r="AF417" i="8"/>
  <c r="AF369" i="8"/>
  <c r="AF361" i="8"/>
  <c r="AF344" i="8"/>
  <c r="AF355" i="8"/>
  <c r="AF275" i="8"/>
  <c r="AF265" i="8"/>
  <c r="AF326" i="8"/>
  <c r="AF356" i="8"/>
  <c r="AF257" i="8"/>
  <c r="AF298" i="8"/>
  <c r="AF178" i="8"/>
  <c r="AF309" i="8"/>
  <c r="AF289" i="8"/>
  <c r="AF279" i="8"/>
  <c r="AF300" i="8"/>
  <c r="AF301" i="8"/>
  <c r="AF281" i="8"/>
  <c r="AF342" i="8"/>
  <c r="AF322" i="8"/>
  <c r="AF350" i="8"/>
  <c r="AF283" i="8"/>
  <c r="AF296" i="8"/>
  <c r="AF240" i="8"/>
  <c r="AF164" i="8"/>
  <c r="AF144" i="8"/>
  <c r="AF134" i="8"/>
  <c r="AF221" i="8"/>
  <c r="AF155" i="8"/>
  <c r="AF135" i="8"/>
  <c r="AF95" i="8"/>
  <c r="AF85" i="8"/>
  <c r="AF65" i="8"/>
  <c r="AF253" i="8"/>
  <c r="AF182" i="8"/>
  <c r="AF166" i="8"/>
  <c r="AF146" i="8"/>
  <c r="AF96" i="8"/>
  <c r="AF324" i="8"/>
  <c r="AF266" i="8"/>
  <c r="AF157" i="8"/>
  <c r="AF127" i="8"/>
  <c r="AF189" i="8"/>
  <c r="AF183" i="8"/>
  <c r="AF264" i="8"/>
  <c r="AF223" i="8"/>
  <c r="AF190" i="8"/>
  <c r="AF159" i="8"/>
  <c r="AF129" i="8"/>
  <c r="AF79" i="8"/>
  <c r="AF69" i="8"/>
  <c r="AF179" i="8"/>
  <c r="AF160" i="8"/>
  <c r="AF274" i="8"/>
  <c r="AF180" i="8"/>
  <c r="AF230" i="8"/>
  <c r="AF172" i="8"/>
  <c r="AF92" i="8"/>
  <c r="AF82" i="8"/>
  <c r="AF60" i="8"/>
  <c r="AF50" i="8"/>
  <c r="AF30" i="8"/>
  <c r="AF181" i="8"/>
  <c r="AF61" i="8"/>
  <c r="AF41" i="8"/>
  <c r="AF52" i="8"/>
  <c r="AF316" i="8"/>
  <c r="AF128" i="8"/>
  <c r="AF14" i="8"/>
  <c r="AF213" i="8"/>
  <c r="AF108" i="8"/>
  <c r="AF26" i="8"/>
  <c r="AF6" i="8"/>
  <c r="AF439" i="8" s="1"/>
  <c r="AF87" i="8"/>
  <c r="AF49" i="8"/>
  <c r="AF19" i="8"/>
  <c r="I6" i="5"/>
  <c r="X19" i="5"/>
  <c r="W19" i="5"/>
  <c r="V19" i="5"/>
  <c r="P361" i="8"/>
  <c r="P351" i="8"/>
  <c r="P362" i="8"/>
  <c r="P373" i="8"/>
  <c r="P364" i="8"/>
  <c r="P375" i="8"/>
  <c r="P365" i="8"/>
  <c r="P360" i="8"/>
  <c r="P353" i="8"/>
  <c r="P347" i="8"/>
  <c r="P279" i="8"/>
  <c r="P340" i="8"/>
  <c r="P341" i="8"/>
  <c r="P261" i="8"/>
  <c r="P342" i="8"/>
  <c r="P282" i="8"/>
  <c r="P262" i="8"/>
  <c r="P350" i="8"/>
  <c r="P333" i="8"/>
  <c r="P313" i="8"/>
  <c r="P303" i="8"/>
  <c r="P283" i="8"/>
  <c r="P263" i="8"/>
  <c r="P344" i="8"/>
  <c r="P304" i="8"/>
  <c r="P284" i="8"/>
  <c r="P335" i="8"/>
  <c r="P275" i="8"/>
  <c r="P336" i="8"/>
  <c r="P306" i="8"/>
  <c r="P296" i="8"/>
  <c r="P266" i="8"/>
  <c r="P346" i="8"/>
  <c r="P327" i="8"/>
  <c r="P277" i="8"/>
  <c r="P250" i="8"/>
  <c r="P168" i="8"/>
  <c r="P118" i="8"/>
  <c r="P300" i="8"/>
  <c r="P257" i="8"/>
  <c r="P206" i="8"/>
  <c r="P149" i="8"/>
  <c r="P218" i="8"/>
  <c r="P120" i="8"/>
  <c r="P260" i="8"/>
  <c r="P180" i="8"/>
  <c r="P171" i="8"/>
  <c r="P268" i="8"/>
  <c r="P172" i="8"/>
  <c r="P231" i="8"/>
  <c r="P220" i="8"/>
  <c r="P73" i="8"/>
  <c r="P174" i="8"/>
  <c r="P226" i="8"/>
  <c r="P187" i="8"/>
  <c r="P175" i="8"/>
  <c r="P165" i="8"/>
  <c r="P288" i="8"/>
  <c r="P278" i="8"/>
  <c r="P96" i="8"/>
  <c r="P264" i="8"/>
  <c r="P27" i="8"/>
  <c r="P439" i="8" s="1"/>
  <c r="P60" i="8"/>
  <c r="P233" i="8"/>
  <c r="AI410" i="8"/>
  <c r="AI371" i="8"/>
  <c r="AI372" i="8"/>
  <c r="AI373" i="8"/>
  <c r="AI363" i="8"/>
  <c r="AI384" i="8"/>
  <c r="AI374" i="8"/>
  <c r="AI364" i="8"/>
  <c r="AI354" i="8"/>
  <c r="AI346" i="8"/>
  <c r="AI327" i="8"/>
  <c r="AI338" i="8"/>
  <c r="AI328" i="8"/>
  <c r="AI318" i="8"/>
  <c r="AI409" i="8"/>
  <c r="AI339" i="8"/>
  <c r="AI329" i="8"/>
  <c r="AI348" i="8"/>
  <c r="AI320" i="8"/>
  <c r="AI388" i="8"/>
  <c r="AI341" i="8"/>
  <c r="AI181" i="8"/>
  <c r="AI407" i="8"/>
  <c r="AI349" i="8"/>
  <c r="AI332" i="8"/>
  <c r="AI358" i="8"/>
  <c r="AI416" i="8"/>
  <c r="AI376" i="8"/>
  <c r="AI285" i="8"/>
  <c r="AI245" i="8"/>
  <c r="AI345" i="8"/>
  <c r="AI306" i="8"/>
  <c r="AI296" i="8"/>
  <c r="AI246" i="8"/>
  <c r="AI297" i="8"/>
  <c r="AI148" i="8"/>
  <c r="AI99" i="8"/>
  <c r="AI79" i="8"/>
  <c r="AI140" i="8"/>
  <c r="AI120" i="8"/>
  <c r="AI219" i="8"/>
  <c r="AI185" i="8"/>
  <c r="AI162" i="8"/>
  <c r="AI112" i="8"/>
  <c r="AI92" i="8"/>
  <c r="AI163" i="8"/>
  <c r="AI123" i="8"/>
  <c r="AI93" i="8"/>
  <c r="AI114" i="8"/>
  <c r="AI104" i="8"/>
  <c r="AI243" i="8"/>
  <c r="AI210" i="8"/>
  <c r="AI204" i="8"/>
  <c r="AI187" i="8"/>
  <c r="AI95" i="8"/>
  <c r="AI23" i="8"/>
  <c r="AI54" i="8"/>
  <c r="AI44" i="8"/>
  <c r="AI176" i="8"/>
  <c r="AI121" i="8"/>
  <c r="AI37" i="8"/>
  <c r="AI28" i="8"/>
  <c r="AI21" i="8"/>
  <c r="AI249" i="8"/>
  <c r="AI74" i="8"/>
  <c r="AI12" i="8"/>
  <c r="AI439" i="8" s="1"/>
  <c r="A11" i="4"/>
  <c r="I2" i="5"/>
  <c r="T2" i="5"/>
  <c r="I4" i="5"/>
  <c r="T4" i="5"/>
  <c r="K5" i="5"/>
  <c r="O6" i="5"/>
  <c r="S7" i="5"/>
  <c r="R9" i="5"/>
  <c r="Y1" i="8"/>
  <c r="AE426" i="8"/>
  <c r="AE396" i="8"/>
  <c r="AE427" i="8"/>
  <c r="AE417" i="8"/>
  <c r="AE407" i="8"/>
  <c r="AE397" i="8"/>
  <c r="AE387" i="8"/>
  <c r="AE428" i="8"/>
  <c r="AE408" i="8"/>
  <c r="AE388" i="8"/>
  <c r="AE378" i="8"/>
  <c r="AE368" i="8"/>
  <c r="AE429" i="8"/>
  <c r="AE419" i="8"/>
  <c r="AE399" i="8"/>
  <c r="AE420" i="8"/>
  <c r="AE380" i="8"/>
  <c r="AE415" i="8"/>
  <c r="AE411" i="8"/>
  <c r="AE393" i="8"/>
  <c r="AE284" i="8"/>
  <c r="AE184" i="8"/>
  <c r="AE383" i="8"/>
  <c r="AE394" i="8"/>
  <c r="AE316" i="8"/>
  <c r="AE276" i="8"/>
  <c r="AE425" i="8"/>
  <c r="AE413" i="8"/>
  <c r="AE237" i="8"/>
  <c r="AE227" i="8"/>
  <c r="AE288" i="8"/>
  <c r="AE278" i="8"/>
  <c r="AE414" i="8"/>
  <c r="AE395" i="8"/>
  <c r="AE279" i="8"/>
  <c r="AE240" i="8"/>
  <c r="AE241" i="8"/>
  <c r="AE402" i="8"/>
  <c r="AE385" i="8"/>
  <c r="AE173" i="8"/>
  <c r="AE113" i="8"/>
  <c r="AE323" i="8"/>
  <c r="AE154" i="8"/>
  <c r="AE243" i="8"/>
  <c r="AE198" i="8"/>
  <c r="AE155" i="8"/>
  <c r="AE95" i="8"/>
  <c r="AE193" i="8"/>
  <c r="AE176" i="8"/>
  <c r="AE136" i="8"/>
  <c r="AE177" i="8"/>
  <c r="AE157" i="8"/>
  <c r="AE189" i="8"/>
  <c r="AE178" i="8"/>
  <c r="AE259" i="8"/>
  <c r="AE169" i="8"/>
  <c r="AE149" i="8"/>
  <c r="AE160" i="8"/>
  <c r="AE180" i="8"/>
  <c r="AE161" i="8"/>
  <c r="AE111" i="8"/>
  <c r="AE91" i="8"/>
  <c r="AE102" i="8"/>
  <c r="AE60" i="8"/>
  <c r="AE265" i="8"/>
  <c r="AE61" i="8"/>
  <c r="AE142" i="8"/>
  <c r="AE44" i="8"/>
  <c r="AE55" i="8"/>
  <c r="AE5" i="8"/>
  <c r="AE439" i="8" s="1"/>
  <c r="AE16" i="8"/>
  <c r="K9" i="5"/>
  <c r="W5" i="5"/>
  <c r="M5" i="5"/>
  <c r="J2" i="5"/>
  <c r="U2" i="5"/>
  <c r="J4" i="5"/>
  <c r="U4" i="5"/>
  <c r="L5" i="5"/>
  <c r="X5" i="5"/>
  <c r="P6" i="5"/>
  <c r="I7" i="5"/>
  <c r="T7" i="5"/>
  <c r="S9" i="5"/>
  <c r="P10" i="5"/>
  <c r="Z421" i="8"/>
  <c r="Z361" i="8"/>
  <c r="Z362" i="8"/>
  <c r="Z423" i="8"/>
  <c r="Z405" i="8"/>
  <c r="Z365" i="8"/>
  <c r="Z345" i="8"/>
  <c r="Z390" i="8"/>
  <c r="Z360" i="8"/>
  <c r="Z338" i="8"/>
  <c r="Z328" i="8"/>
  <c r="Z299" i="8"/>
  <c r="Z398" i="8"/>
  <c r="Z330" i="8"/>
  <c r="Z366" i="8"/>
  <c r="Z321" i="8"/>
  <c r="Z342" i="8"/>
  <c r="Z312" i="8"/>
  <c r="Z302" i="8"/>
  <c r="Z292" i="8"/>
  <c r="Z252" i="8"/>
  <c r="Z192" i="8"/>
  <c r="Z182" i="8"/>
  <c r="Z350" i="8"/>
  <c r="Z343" i="8"/>
  <c r="Z323" i="8"/>
  <c r="Z243" i="8"/>
  <c r="Z367" i="8"/>
  <c r="Z274" i="8"/>
  <c r="Z256" i="8"/>
  <c r="Z377" i="8"/>
  <c r="Z356" i="8"/>
  <c r="Z337" i="8"/>
  <c r="Z317" i="8"/>
  <c r="Z223" i="8"/>
  <c r="Z118" i="8"/>
  <c r="Z88" i="8"/>
  <c r="Z254" i="8"/>
  <c r="Z228" i="8"/>
  <c r="Z184" i="8"/>
  <c r="Z119" i="8"/>
  <c r="Z110" i="8"/>
  <c r="Z247" i="8"/>
  <c r="Z248" i="8"/>
  <c r="Z225" i="8"/>
  <c r="Z153" i="8"/>
  <c r="Z143" i="8"/>
  <c r="Z83" i="8"/>
  <c r="Z124" i="8"/>
  <c r="Z210" i="8"/>
  <c r="Z175" i="8"/>
  <c r="Z115" i="8"/>
  <c r="Z156" i="8"/>
  <c r="Z106" i="8"/>
  <c r="Z63" i="8"/>
  <c r="Z205" i="8"/>
  <c r="Z64" i="8"/>
  <c r="Z56" i="8"/>
  <c r="Z92" i="8"/>
  <c r="Z47" i="8"/>
  <c r="Z439" i="8" s="1"/>
  <c r="Z167" i="8"/>
  <c r="Z58" i="8"/>
  <c r="Z38" i="8"/>
  <c r="Z50" i="8"/>
  <c r="Z22" i="8"/>
  <c r="Z12" i="8"/>
  <c r="Z53" i="8"/>
  <c r="Z13" i="8"/>
  <c r="F3" i="8"/>
  <c r="F13" i="8"/>
  <c r="N2" i="5"/>
  <c r="T6" i="5"/>
  <c r="X9" i="5"/>
  <c r="R14" i="5"/>
  <c r="X14" i="5"/>
  <c r="O14" i="5"/>
  <c r="W14" i="5"/>
  <c r="V14" i="5"/>
  <c r="K2" i="5"/>
  <c r="V2" i="5"/>
  <c r="K4" i="5"/>
  <c r="V4" i="5"/>
  <c r="N5" i="5"/>
  <c r="G6" i="5"/>
  <c r="Q6" i="5"/>
  <c r="J7" i="5"/>
  <c r="U7" i="5"/>
  <c r="J9" i="5"/>
  <c r="T9" i="5"/>
  <c r="Q10" i="5"/>
  <c r="R15" i="5"/>
  <c r="X15" i="5"/>
  <c r="W15" i="5"/>
  <c r="V15" i="5"/>
  <c r="V16" i="5"/>
  <c r="X21" i="5"/>
  <c r="W21" i="5"/>
  <c r="AD1" i="8"/>
  <c r="F11" i="8"/>
  <c r="F21" i="8"/>
  <c r="F90" i="8"/>
  <c r="F220" i="8"/>
  <c r="F82" i="8"/>
  <c r="F99" i="8"/>
  <c r="N13" i="5"/>
  <c r="W13" i="5"/>
  <c r="S18" i="5"/>
  <c r="X13" i="5"/>
  <c r="F110" i="8"/>
  <c r="F174" i="8"/>
  <c r="O13" i="5"/>
  <c r="F62" i="8"/>
  <c r="F67" i="8"/>
  <c r="F98" i="8"/>
  <c r="F72" i="8"/>
  <c r="F231" i="8"/>
  <c r="F74" i="8"/>
  <c r="F83" i="8"/>
  <c r="F93" i="8"/>
  <c r="F120" i="8"/>
  <c r="N3" i="5"/>
  <c r="F88" i="8"/>
  <c r="F97" i="8"/>
  <c r="F104" i="8"/>
  <c r="F144" i="8"/>
  <c r="F245" i="8"/>
  <c r="F255" i="8"/>
  <c r="F260" i="8"/>
  <c r="F305" i="8"/>
  <c r="F307" i="8"/>
  <c r="F279" i="8"/>
  <c r="F287" i="8"/>
  <c r="F206" i="8"/>
  <c r="F285" i="8"/>
  <c r="F289" i="8"/>
  <c r="F216" i="8"/>
  <c r="F223" i="8"/>
  <c r="F247" i="8"/>
  <c r="F250" i="8"/>
  <c r="F267" i="8"/>
  <c r="F276" i="8"/>
  <c r="F233" i="8"/>
  <c r="F315" i="8"/>
  <c r="C3" i="17"/>
  <c r="C2" i="13"/>
  <c r="F193" i="8"/>
  <c r="F253" i="8"/>
  <c r="F297" i="8"/>
  <c r="C21" i="13"/>
  <c r="C31" i="17"/>
  <c r="F226" i="8"/>
  <c r="F246" i="8"/>
  <c r="F256" i="8"/>
  <c r="F266" i="8"/>
  <c r="F306" i="8"/>
  <c r="F317" i="8"/>
  <c r="F186" i="8"/>
  <c r="F249" i="8"/>
  <c r="F286" i="8"/>
  <c r="F299" i="8"/>
  <c r="F309" i="8"/>
  <c r="F203" i="8"/>
  <c r="F236" i="8"/>
  <c r="F240" i="8"/>
  <c r="F243" i="8"/>
  <c r="F263" i="8"/>
  <c r="F296" i="8"/>
  <c r="F326" i="8"/>
  <c r="F349" i="8"/>
  <c r="F375" i="8"/>
  <c r="F436" i="8"/>
  <c r="C16" i="17"/>
  <c r="C12" i="13"/>
  <c r="F385" i="8"/>
  <c r="F415" i="8"/>
  <c r="C24" i="13"/>
  <c r="C32" i="17"/>
  <c r="C18" i="16"/>
  <c r="C14" i="13"/>
  <c r="C51" i="17"/>
  <c r="C38" i="13"/>
  <c r="F377" i="8"/>
  <c r="F428" i="8"/>
  <c r="F356" i="8"/>
  <c r="F419" i="8"/>
  <c r="F437" i="8"/>
  <c r="F355" i="8"/>
  <c r="F359" i="8"/>
  <c r="F365" i="8"/>
  <c r="F368" i="8"/>
  <c r="F387" i="8"/>
  <c r="F406" i="8"/>
  <c r="F416" i="8"/>
  <c r="F417" i="8"/>
  <c r="F425" i="8"/>
  <c r="F367" i="8"/>
  <c r="F376" i="8"/>
  <c r="F408" i="8"/>
  <c r="F379" i="8"/>
  <c r="F386" i="8"/>
  <c r="F389" i="8"/>
  <c r="F397" i="8"/>
  <c r="F418" i="8"/>
  <c r="F427" i="8"/>
  <c r="F438" i="8"/>
  <c r="C37" i="13"/>
  <c r="C44" i="17"/>
  <c r="C52" i="17"/>
  <c r="C4" i="13"/>
  <c r="C19" i="13"/>
  <c r="AL353" i="8" l="1"/>
  <c r="AL374" i="8"/>
  <c r="AL365" i="8"/>
  <c r="AL347" i="8"/>
  <c r="AL348" i="8"/>
  <c r="AL330" i="8"/>
  <c r="AL271" i="8"/>
  <c r="AL241" i="8"/>
  <c r="AL358" i="8"/>
  <c r="AL303" i="8"/>
  <c r="AL273" i="8"/>
  <c r="AL263" i="8"/>
  <c r="AL334" i="8"/>
  <c r="AL224" i="8"/>
  <c r="AL214" i="8"/>
  <c r="AL204" i="8"/>
  <c r="AL325" i="8"/>
  <c r="AL295" i="8"/>
  <c r="AL336" i="8"/>
  <c r="AL306" i="8"/>
  <c r="AL286" i="8"/>
  <c r="AL276" i="8"/>
  <c r="AL346" i="8"/>
  <c r="AL307" i="8"/>
  <c r="AL297" i="8"/>
  <c r="AL360" i="8"/>
  <c r="AL308" i="8"/>
  <c r="AL371" i="8"/>
  <c r="AL269" i="8"/>
  <c r="AL90" i="8"/>
  <c r="AL239" i="8"/>
  <c r="AL171" i="8"/>
  <c r="AL141" i="8"/>
  <c r="AL111" i="8"/>
  <c r="AL101" i="8"/>
  <c r="AL162" i="8"/>
  <c r="AL163" i="8"/>
  <c r="AL133" i="8"/>
  <c r="AL209" i="8"/>
  <c r="AL186" i="8"/>
  <c r="AL154" i="8"/>
  <c r="AL272" i="8"/>
  <c r="AL210" i="8"/>
  <c r="AL86" i="8"/>
  <c r="AL282" i="8"/>
  <c r="AL188" i="8"/>
  <c r="AL233" i="8"/>
  <c r="AL227" i="8"/>
  <c r="AL158" i="8"/>
  <c r="AL250" i="8"/>
  <c r="AL94" i="8"/>
  <c r="AL64" i="8"/>
  <c r="AL16" i="8"/>
  <c r="AL48" i="8"/>
  <c r="AL28" i="8"/>
  <c r="AL73" i="8"/>
  <c r="AL59" i="8"/>
  <c r="AL99" i="8"/>
  <c r="AL104" i="8"/>
  <c r="AL77" i="8"/>
  <c r="AL42" i="8"/>
  <c r="AL32" i="8"/>
  <c r="AL2" i="8"/>
  <c r="AL439" i="8" s="1"/>
  <c r="AL33" i="8"/>
  <c r="AL23" i="8"/>
  <c r="AL54" i="8"/>
  <c r="AL24" i="8"/>
  <c r="AL78" i="8"/>
  <c r="AL25" i="8"/>
  <c r="AL7" i="8"/>
  <c r="AD366" i="8"/>
  <c r="AD369" i="8"/>
  <c r="AD382" i="8"/>
  <c r="AD306" i="8"/>
  <c r="AD337" i="8"/>
  <c r="AD287" i="8"/>
  <c r="AD257" i="8"/>
  <c r="AD347" i="8"/>
  <c r="AD391" i="8"/>
  <c r="AD289" i="8"/>
  <c r="AD330" i="8"/>
  <c r="AD172" i="8"/>
  <c r="AD122" i="8"/>
  <c r="AD72" i="8"/>
  <c r="AD153" i="8"/>
  <c r="AD103" i="8"/>
  <c r="AD73" i="8"/>
  <c r="AD252" i="8"/>
  <c r="AD231" i="8"/>
  <c r="AD192" i="8"/>
  <c r="AD174" i="8"/>
  <c r="AD258" i="8"/>
  <c r="AD232" i="8"/>
  <c r="AD165" i="8"/>
  <c r="AD199" i="8"/>
  <c r="AD324" i="8"/>
  <c r="AD292" i="8"/>
  <c r="AD282" i="8"/>
  <c r="AD77" i="8"/>
  <c r="AD312" i="8"/>
  <c r="AD168" i="8"/>
  <c r="AD148" i="8"/>
  <c r="AD244" i="8"/>
  <c r="AD201" i="8"/>
  <c r="AD109" i="8"/>
  <c r="AD238" i="8"/>
  <c r="AD218" i="8"/>
  <c r="AD150" i="8"/>
  <c r="AD100" i="8"/>
  <c r="AD90" i="8"/>
  <c r="AD58" i="8"/>
  <c r="AD59" i="8"/>
  <c r="AD39" i="8"/>
  <c r="AD71" i="8"/>
  <c r="AD10" i="8"/>
  <c r="AD66" i="8"/>
  <c r="AD31" i="8"/>
  <c r="AD11" i="8"/>
  <c r="AD86" i="8"/>
  <c r="AD22" i="8"/>
  <c r="AD235" i="8"/>
  <c r="AD13" i="8"/>
  <c r="AD3" i="8"/>
  <c r="AD219" i="8"/>
  <c r="AD141" i="8"/>
  <c r="AD116" i="8"/>
  <c r="AD81" i="8"/>
  <c r="AD54" i="8"/>
  <c r="AD24" i="8"/>
  <c r="AD4" i="8"/>
  <c r="AD439" i="8" s="1"/>
  <c r="AD75" i="8"/>
  <c r="AD68" i="8"/>
  <c r="AD55" i="8"/>
  <c r="AD25" i="8"/>
  <c r="AD242" i="8"/>
  <c r="AD101" i="8"/>
  <c r="AD79" i="8"/>
  <c r="AD46" i="8"/>
  <c r="AD16" i="8"/>
  <c r="AD7" i="8"/>
  <c r="Y370" i="8"/>
  <c r="Y431" i="8"/>
  <c r="Y381" i="8"/>
  <c r="Y422" i="8"/>
  <c r="Y392" i="8"/>
  <c r="Y372" i="8"/>
  <c r="Y373" i="8"/>
  <c r="Y354" i="8"/>
  <c r="Y387" i="8"/>
  <c r="Y318" i="8"/>
  <c r="Y198" i="8"/>
  <c r="Y188" i="8"/>
  <c r="Y409" i="8"/>
  <c r="Y369" i="8"/>
  <c r="Y357" i="8"/>
  <c r="Y339" i="8"/>
  <c r="Y329" i="8"/>
  <c r="Y310" i="8"/>
  <c r="Y260" i="8"/>
  <c r="Y281" i="8"/>
  <c r="Y191" i="8"/>
  <c r="Y181" i="8"/>
  <c r="Y396" i="8"/>
  <c r="Y349" i="8"/>
  <c r="Y332" i="8"/>
  <c r="Y262" i="8"/>
  <c r="Y375" i="8"/>
  <c r="Y313" i="8"/>
  <c r="Y418" i="8"/>
  <c r="Y379" i="8"/>
  <c r="Y344" i="8"/>
  <c r="Y244" i="8"/>
  <c r="Y416" i="8"/>
  <c r="Y376" i="8"/>
  <c r="Y359" i="8"/>
  <c r="Y352" i="8"/>
  <c r="Y137" i="8"/>
  <c r="Y107" i="8"/>
  <c r="Y200" i="8"/>
  <c r="Y178" i="8"/>
  <c r="Y138" i="8"/>
  <c r="Y68" i="8"/>
  <c r="Y217" i="8"/>
  <c r="Y130" i="8"/>
  <c r="Y171" i="8"/>
  <c r="Y185" i="8"/>
  <c r="Y152" i="8"/>
  <c r="Y142" i="8"/>
  <c r="Y197" i="8"/>
  <c r="Y173" i="8"/>
  <c r="Y203" i="8"/>
  <c r="Y174" i="8"/>
  <c r="Y232" i="8"/>
  <c r="Y125" i="8"/>
  <c r="Y199" i="8"/>
  <c r="Y62" i="8"/>
  <c r="Y43" i="8"/>
  <c r="Y23" i="8"/>
  <c r="Y6" i="8"/>
  <c r="Y439" i="8" s="1"/>
  <c r="Y319" i="8"/>
  <c r="Y131" i="8"/>
  <c r="Y73" i="8"/>
  <c r="Y57" i="8"/>
  <c r="Y27" i="8"/>
  <c r="Y136" i="8"/>
  <c r="Y8" i="8"/>
  <c r="Y29" i="8"/>
  <c r="Y9" i="8"/>
  <c r="Y20" i="8"/>
  <c r="Y10" i="8"/>
  <c r="Y51" i="8"/>
  <c r="Y21" i="8"/>
  <c r="S417" i="8"/>
  <c r="S357" i="8"/>
  <c r="S322" i="8"/>
  <c r="S212" i="8"/>
  <c r="S264" i="8"/>
  <c r="S185" i="8"/>
  <c r="S352" i="8"/>
  <c r="S286" i="8"/>
  <c r="S266" i="8"/>
  <c r="S246" i="8"/>
  <c r="S363" i="8"/>
  <c r="S353" i="8"/>
  <c r="S279" i="8"/>
  <c r="S320" i="8"/>
  <c r="S270" i="8"/>
  <c r="S313" i="8"/>
  <c r="S121" i="8"/>
  <c r="S111" i="8"/>
  <c r="S181" i="8"/>
  <c r="S102" i="8"/>
  <c r="S220" i="8"/>
  <c r="S173" i="8"/>
  <c r="S133" i="8"/>
  <c r="S114" i="8"/>
  <c r="S253" i="8"/>
  <c r="S193" i="8"/>
  <c r="S273" i="8"/>
  <c r="S157" i="8"/>
  <c r="S117" i="8"/>
  <c r="S190" i="8"/>
  <c r="S169" i="8"/>
  <c r="S17" i="8"/>
  <c r="S160" i="8"/>
  <c r="S80" i="8"/>
  <c r="S49" i="8"/>
  <c r="S29" i="8"/>
  <c r="S19" i="8"/>
  <c r="S9" i="8"/>
  <c r="S104" i="8"/>
  <c r="S40" i="8"/>
  <c r="S120" i="8"/>
  <c r="S62" i="8"/>
  <c r="S78" i="8"/>
  <c r="S34" i="8"/>
  <c r="S94" i="8"/>
  <c r="S64" i="8"/>
  <c r="S26" i="8"/>
  <c r="S8" i="8"/>
  <c r="S439" i="8" s="1"/>
  <c r="U426" i="8"/>
  <c r="U366" i="8"/>
  <c r="U397" i="8"/>
  <c r="U428" i="8"/>
  <c r="U378" i="8"/>
  <c r="U399" i="8"/>
  <c r="U430" i="8"/>
  <c r="U420" i="8"/>
  <c r="U380" i="8"/>
  <c r="U370" i="8"/>
  <c r="U411" i="8"/>
  <c r="U403" i="8"/>
  <c r="U412" i="8"/>
  <c r="U383" i="8"/>
  <c r="U334" i="8"/>
  <c r="U355" i="8"/>
  <c r="U337" i="8"/>
  <c r="U307" i="8"/>
  <c r="U414" i="8"/>
  <c r="U401" i="8"/>
  <c r="U258" i="8"/>
  <c r="U435" i="8"/>
  <c r="U330" i="8"/>
  <c r="U310" i="8"/>
  <c r="U385" i="8"/>
  <c r="U331" i="8"/>
  <c r="U321" i="8"/>
  <c r="U311" i="8"/>
  <c r="U281" i="8"/>
  <c r="U312" i="8"/>
  <c r="U292" i="8"/>
  <c r="U64" i="8"/>
  <c r="U125" i="8"/>
  <c r="U105" i="8"/>
  <c r="U136" i="8"/>
  <c r="U159" i="8"/>
  <c r="U170" i="8"/>
  <c r="U130" i="8"/>
  <c r="U131" i="8"/>
  <c r="U111" i="8"/>
  <c r="U127" i="8"/>
  <c r="U71" i="8"/>
  <c r="U51" i="8"/>
  <c r="U439" i="8" s="1"/>
  <c r="U45" i="8"/>
  <c r="U122" i="8"/>
  <c r="U20" i="8"/>
  <c r="X429" i="8"/>
  <c r="X409" i="8"/>
  <c r="X400" i="8"/>
  <c r="X390" i="8"/>
  <c r="X421" i="8"/>
  <c r="X382" i="8"/>
  <c r="X423" i="8"/>
  <c r="X413" i="8"/>
  <c r="X377" i="8"/>
  <c r="X307" i="8"/>
  <c r="X297" i="8"/>
  <c r="X207" i="8"/>
  <c r="X395" i="8"/>
  <c r="X398" i="8"/>
  <c r="X290" i="8"/>
  <c r="X220" i="8"/>
  <c r="X424" i="8"/>
  <c r="X321" i="8"/>
  <c r="X292" i="8"/>
  <c r="X282" i="8"/>
  <c r="X293" i="8"/>
  <c r="X386" i="8"/>
  <c r="X264" i="8"/>
  <c r="X254" i="8"/>
  <c r="X416" i="8"/>
  <c r="X355" i="8"/>
  <c r="X325" i="8"/>
  <c r="X278" i="8"/>
  <c r="X193" i="8"/>
  <c r="X167" i="8"/>
  <c r="X147" i="8"/>
  <c r="X107" i="8"/>
  <c r="X77" i="8"/>
  <c r="X189" i="8"/>
  <c r="X158" i="8"/>
  <c r="X138" i="8"/>
  <c r="X228" i="8"/>
  <c r="X139" i="8"/>
  <c r="X298" i="8"/>
  <c r="X191" i="8"/>
  <c r="X101" i="8"/>
  <c r="X248" i="8"/>
  <c r="X152" i="8"/>
  <c r="X122" i="8"/>
  <c r="X173" i="8"/>
  <c r="X163" i="8"/>
  <c r="X153" i="8"/>
  <c r="X203" i="8"/>
  <c r="X42" i="8"/>
  <c r="X221" i="8"/>
  <c r="X105" i="8"/>
  <c r="X53" i="8"/>
  <c r="X145" i="8"/>
  <c r="X54" i="8"/>
  <c r="X439" i="8" s="1"/>
  <c r="X75" i="8"/>
  <c r="X110" i="8"/>
  <c r="X7" i="8"/>
  <c r="X18" i="8"/>
  <c r="X70" i="8"/>
  <c r="X9" i="8"/>
  <c r="X30" i="8"/>
  <c r="AC424" i="8"/>
  <c r="AC425" i="8"/>
  <c r="AC415" i="8"/>
  <c r="AC395" i="8"/>
  <c r="AC406" i="8"/>
  <c r="AC386" i="8"/>
  <c r="AC407" i="8"/>
  <c r="AC331" i="8"/>
  <c r="AC242" i="8"/>
  <c r="AC202" i="8"/>
  <c r="AC333" i="8"/>
  <c r="AC304" i="8"/>
  <c r="AC412" i="8"/>
  <c r="AC315" i="8"/>
  <c r="AC285" i="8"/>
  <c r="AC275" i="8"/>
  <c r="AC195" i="8"/>
  <c r="AC286" i="8"/>
  <c r="AC437" i="8"/>
  <c r="AC413" i="8"/>
  <c r="AC327" i="8"/>
  <c r="AC287" i="8"/>
  <c r="AC363" i="8"/>
  <c r="AC278" i="8"/>
  <c r="AC259" i="8"/>
  <c r="AC283" i="8"/>
  <c r="AC151" i="8"/>
  <c r="AC230" i="8"/>
  <c r="AC196" i="8"/>
  <c r="AC162" i="8"/>
  <c r="AC132" i="8"/>
  <c r="AC112" i="8"/>
  <c r="AC72" i="8"/>
  <c r="AC208" i="8"/>
  <c r="AC103" i="8"/>
  <c r="AC214" i="8"/>
  <c r="AC186" i="8"/>
  <c r="AC134" i="8"/>
  <c r="AC221" i="8"/>
  <c r="AC145" i="8"/>
  <c r="AC193" i="8"/>
  <c r="AC96" i="8"/>
  <c r="AC233" i="8"/>
  <c r="AC177" i="8"/>
  <c r="AC127" i="8"/>
  <c r="AC194" i="8"/>
  <c r="AC189" i="8"/>
  <c r="AC183" i="8"/>
  <c r="AC128" i="8"/>
  <c r="AC98" i="8"/>
  <c r="AC234" i="8"/>
  <c r="AC201" i="8"/>
  <c r="AC129" i="8"/>
  <c r="AC89" i="8"/>
  <c r="AC84" i="8"/>
  <c r="AC179" i="8"/>
  <c r="AC257" i="8"/>
  <c r="AC60" i="8"/>
  <c r="AC120" i="8"/>
  <c r="AC41" i="8"/>
  <c r="AC439" i="8" s="1"/>
  <c r="AC267" i="8"/>
  <c r="AC170" i="8"/>
  <c r="AC100" i="8"/>
  <c r="AC67" i="8"/>
  <c r="AC3" i="8"/>
  <c r="AC45" i="8"/>
  <c r="AC69" i="8"/>
  <c r="AH359" i="8"/>
  <c r="AH362" i="8"/>
  <c r="AH352" i="8"/>
  <c r="AH353" i="8"/>
  <c r="AH336" i="8"/>
  <c r="AH368" i="8"/>
  <c r="AH356" i="8"/>
  <c r="AH287" i="8"/>
  <c r="AH277" i="8"/>
  <c r="AH357" i="8"/>
  <c r="AH319" i="8"/>
  <c r="AH309" i="8"/>
  <c r="AH269" i="8"/>
  <c r="AH300" i="8"/>
  <c r="AH270" i="8"/>
  <c r="AH190" i="8"/>
  <c r="AH331" i="8"/>
  <c r="AH271" i="8"/>
  <c r="AH261" i="8"/>
  <c r="AH241" i="8"/>
  <c r="AH302" i="8"/>
  <c r="AH272" i="8"/>
  <c r="AH375" i="8"/>
  <c r="AH343" i="8"/>
  <c r="AH333" i="8"/>
  <c r="AH263" i="8"/>
  <c r="AH294" i="8"/>
  <c r="AH351" i="8"/>
  <c r="AH335" i="8"/>
  <c r="AH315" i="8"/>
  <c r="AH222" i="8"/>
  <c r="AH182" i="8"/>
  <c r="AH136" i="8"/>
  <c r="AH126" i="8"/>
  <c r="AH96" i="8"/>
  <c r="AH86" i="8"/>
  <c r="AH76" i="8"/>
  <c r="AH288" i="8"/>
  <c r="AH177" i="8"/>
  <c r="AH117" i="8"/>
  <c r="AH107" i="8"/>
  <c r="AH278" i="8"/>
  <c r="AH216" i="8"/>
  <c r="AH128" i="8"/>
  <c r="AH118" i="8"/>
  <c r="AH108" i="8"/>
  <c r="AH78" i="8"/>
  <c r="AH276" i="8"/>
  <c r="AH169" i="8"/>
  <c r="AH159" i="8"/>
  <c r="AH212" i="8"/>
  <c r="AH160" i="8"/>
  <c r="AH262" i="8"/>
  <c r="AH224" i="8"/>
  <c r="AH171" i="8"/>
  <c r="AH91" i="8"/>
  <c r="AH102" i="8"/>
  <c r="AH82" i="8"/>
  <c r="AH265" i="8"/>
  <c r="AH225" i="8"/>
  <c r="AH209" i="8"/>
  <c r="AH62" i="8"/>
  <c r="AH25" i="8"/>
  <c r="AH5" i="8"/>
  <c r="AH439" i="8" s="1"/>
  <c r="AH56" i="8"/>
  <c r="AH26" i="8"/>
  <c r="AH6" i="8"/>
  <c r="AH57" i="8"/>
  <c r="AH29" i="8"/>
  <c r="AH19" i="8"/>
  <c r="AH198" i="8"/>
  <c r="AH115" i="8"/>
  <c r="AH61" i="8"/>
  <c r="W398" i="8"/>
  <c r="W389" i="8"/>
  <c r="W430" i="8"/>
  <c r="W400" i="8"/>
  <c r="W390" i="8"/>
  <c r="W431" i="8"/>
  <c r="W421" i="8"/>
  <c r="W401" i="8"/>
  <c r="W381" i="8"/>
  <c r="W402" i="8"/>
  <c r="W326" i="8"/>
  <c r="W236" i="8"/>
  <c r="W377" i="8"/>
  <c r="W423" i="8"/>
  <c r="W268" i="8"/>
  <c r="W229" i="8"/>
  <c r="W260" i="8"/>
  <c r="W311" i="8"/>
  <c r="W292" i="8"/>
  <c r="W282" i="8"/>
  <c r="W272" i="8"/>
  <c r="W427" i="8"/>
  <c r="W125" i="8"/>
  <c r="W75" i="8"/>
  <c r="W65" i="8"/>
  <c r="W215" i="8"/>
  <c r="W126" i="8"/>
  <c r="W76" i="8"/>
  <c r="W211" i="8"/>
  <c r="W117" i="8"/>
  <c r="W158" i="8"/>
  <c r="W138" i="8"/>
  <c r="W201" i="8"/>
  <c r="W251" i="8"/>
  <c r="W212" i="8"/>
  <c r="W202" i="8"/>
  <c r="W130" i="8"/>
  <c r="W100" i="8"/>
  <c r="W171" i="8"/>
  <c r="W151" i="8"/>
  <c r="W131" i="8"/>
  <c r="W152" i="8"/>
  <c r="W277" i="8"/>
  <c r="W197" i="8"/>
  <c r="W72" i="8"/>
  <c r="W52" i="8"/>
  <c r="W14" i="8"/>
  <c r="W98" i="8"/>
  <c r="W45" i="8"/>
  <c r="W15" i="8"/>
  <c r="W69" i="8"/>
  <c r="W129" i="8"/>
  <c r="W57" i="8"/>
  <c r="W71" i="8"/>
  <c r="W10" i="8"/>
  <c r="W439" i="8" s="1"/>
  <c r="AJ371" i="8"/>
  <c r="AJ363" i="8"/>
  <c r="AJ404" i="8"/>
  <c r="AJ299" i="8"/>
  <c r="AJ340" i="8"/>
  <c r="AJ291" i="8"/>
  <c r="AJ261" i="8"/>
  <c r="AJ322" i="8"/>
  <c r="AJ358" i="8"/>
  <c r="AJ323" i="8"/>
  <c r="AJ293" i="8"/>
  <c r="AJ243" i="8"/>
  <c r="AJ367" i="8"/>
  <c r="AJ376" i="8"/>
  <c r="AJ305" i="8"/>
  <c r="AJ368" i="8"/>
  <c r="AJ346" i="8"/>
  <c r="AJ317" i="8"/>
  <c r="AJ280" i="8"/>
  <c r="AJ216" i="8"/>
  <c r="AJ148" i="8"/>
  <c r="AJ234" i="8"/>
  <c r="AJ109" i="8"/>
  <c r="AJ99" i="8"/>
  <c r="AJ267" i="8"/>
  <c r="AJ218" i="8"/>
  <c r="AJ184" i="8"/>
  <c r="AJ160" i="8"/>
  <c r="AJ224" i="8"/>
  <c r="AJ180" i="8"/>
  <c r="AJ141" i="8"/>
  <c r="AJ111" i="8"/>
  <c r="AJ298" i="8"/>
  <c r="AJ185" i="8"/>
  <c r="AJ172" i="8"/>
  <c r="AJ162" i="8"/>
  <c r="AJ142" i="8"/>
  <c r="AJ318" i="8"/>
  <c r="AJ225" i="8"/>
  <c r="AJ208" i="8"/>
  <c r="AJ113" i="8"/>
  <c r="AJ103" i="8"/>
  <c r="AJ83" i="8"/>
  <c r="AJ73" i="8"/>
  <c r="AJ214" i="8"/>
  <c r="AJ124" i="8"/>
  <c r="AJ145" i="8"/>
  <c r="AJ135" i="8"/>
  <c r="AJ115" i="8"/>
  <c r="AJ95" i="8"/>
  <c r="AJ146" i="8"/>
  <c r="AJ116" i="8"/>
  <c r="AJ86" i="8"/>
  <c r="AJ44" i="8"/>
  <c r="AJ147" i="8"/>
  <c r="AJ36" i="8"/>
  <c r="AJ16" i="8"/>
  <c r="AJ6" i="8"/>
  <c r="AJ18" i="8"/>
  <c r="AJ59" i="8"/>
  <c r="AJ39" i="8"/>
  <c r="AJ132" i="8"/>
  <c r="AJ61" i="8"/>
  <c r="AJ31" i="8"/>
  <c r="AJ21" i="8"/>
  <c r="AJ11" i="8"/>
  <c r="AJ439" i="8" s="1"/>
  <c r="AJ270" i="8"/>
  <c r="AJ233" i="8"/>
  <c r="AJ67" i="8"/>
  <c r="AJ33" i="8"/>
  <c r="AG358" i="8"/>
  <c r="AG371" i="8"/>
  <c r="AG373" i="8"/>
  <c r="AG306" i="8"/>
  <c r="AG246" i="8"/>
  <c r="AG346" i="8"/>
  <c r="AG327" i="8"/>
  <c r="AG374" i="8"/>
  <c r="AG339" i="8"/>
  <c r="AG329" i="8"/>
  <c r="AG249" i="8"/>
  <c r="AG219" i="8"/>
  <c r="AG199" i="8"/>
  <c r="AG348" i="8"/>
  <c r="AG340" i="8"/>
  <c r="AG280" i="8"/>
  <c r="AG341" i="8"/>
  <c r="AG291" i="8"/>
  <c r="AG364" i="8"/>
  <c r="AG303" i="8"/>
  <c r="AG273" i="8"/>
  <c r="AG334" i="8"/>
  <c r="AG304" i="8"/>
  <c r="AG284" i="8"/>
  <c r="AG232" i="8"/>
  <c r="AG204" i="8"/>
  <c r="AG187" i="8"/>
  <c r="AG227" i="8"/>
  <c r="AG211" i="8"/>
  <c r="AG200" i="8"/>
  <c r="AG237" i="8"/>
  <c r="AG217" i="8"/>
  <c r="AG325" i="8"/>
  <c r="AG140" i="8"/>
  <c r="AG120" i="8"/>
  <c r="AG90" i="8"/>
  <c r="AG202" i="8"/>
  <c r="AG161" i="8"/>
  <c r="AG141" i="8"/>
  <c r="AG305" i="8"/>
  <c r="AG185" i="8"/>
  <c r="AG162" i="8"/>
  <c r="AG197" i="8"/>
  <c r="AG93" i="8"/>
  <c r="AG11" i="8"/>
  <c r="AG74" i="8"/>
  <c r="AG32" i="8"/>
  <c r="AG139" i="8"/>
  <c r="AG54" i="8"/>
  <c r="AG4" i="8"/>
  <c r="AG439" i="8" s="1"/>
  <c r="AG64" i="8"/>
  <c r="AG16" i="8"/>
  <c r="AG27" i="8"/>
  <c r="AG17" i="8"/>
  <c r="AG154" i="8"/>
  <c r="AG124" i="8"/>
  <c r="AG119" i="8"/>
  <c r="AG48" i="8"/>
  <c r="AG28" i="8"/>
  <c r="AG59" i="8"/>
  <c r="AG104" i="8"/>
  <c r="AG40" i="8"/>
  <c r="AG20" i="8"/>
  <c r="AG12" i="8"/>
  <c r="T437" i="8"/>
  <c r="T405" i="8"/>
  <c r="T436" i="8"/>
  <c r="T406" i="8"/>
  <c r="T396" i="8"/>
  <c r="T417" i="8"/>
  <c r="T418" i="8"/>
  <c r="T358" i="8"/>
  <c r="T389" i="8"/>
  <c r="T379" i="8"/>
  <c r="T359" i="8"/>
  <c r="T433" i="8"/>
  <c r="T203" i="8"/>
  <c r="T422" i="8"/>
  <c r="T373" i="8"/>
  <c r="T351" i="8"/>
  <c r="T335" i="8"/>
  <c r="T256" i="8"/>
  <c r="T236" i="8"/>
  <c r="T226" i="8"/>
  <c r="T206" i="8"/>
  <c r="T431" i="8"/>
  <c r="T327" i="8"/>
  <c r="T247" i="8"/>
  <c r="T237" i="8"/>
  <c r="T353" i="8"/>
  <c r="T391" i="8"/>
  <c r="T269" i="8"/>
  <c r="T432" i="8"/>
  <c r="T392" i="8"/>
  <c r="T290" i="8"/>
  <c r="T260" i="8"/>
  <c r="T250" i="8"/>
  <c r="T301" i="8"/>
  <c r="T248" i="8"/>
  <c r="T103" i="8"/>
  <c r="T94" i="8"/>
  <c r="T84" i="8"/>
  <c r="T182" i="8"/>
  <c r="T211" i="8"/>
  <c r="T107" i="8"/>
  <c r="T97" i="8"/>
  <c r="T200" i="8"/>
  <c r="T189" i="8"/>
  <c r="T168" i="8"/>
  <c r="T217" i="8"/>
  <c r="T149" i="8"/>
  <c r="T238" i="8"/>
  <c r="T150" i="8"/>
  <c r="T110" i="8"/>
  <c r="T60" i="8"/>
  <c r="T239" i="8"/>
  <c r="T235" i="8"/>
  <c r="T53" i="8"/>
  <c r="T43" i="8"/>
  <c r="T96" i="8"/>
  <c r="T24" i="8"/>
  <c r="T126" i="8"/>
  <c r="T35" i="8"/>
  <c r="T5" i="8"/>
  <c r="T439" i="8" s="1"/>
  <c r="Q372" i="8"/>
  <c r="Q363" i="8"/>
  <c r="Q348" i="8"/>
  <c r="Q354" i="8"/>
  <c r="Q349" i="8"/>
  <c r="Q332" i="8"/>
  <c r="Q252" i="8"/>
  <c r="Q243" i="8"/>
  <c r="Q213" i="8"/>
  <c r="Q367" i="8"/>
  <c r="Q324" i="8"/>
  <c r="Q371" i="8"/>
  <c r="Q326" i="8"/>
  <c r="Q338" i="8"/>
  <c r="Q328" i="8"/>
  <c r="Q139" i="8"/>
  <c r="Q89" i="8"/>
  <c r="Q140" i="8"/>
  <c r="Q70" i="8"/>
  <c r="Q207" i="8"/>
  <c r="Q151" i="8"/>
  <c r="Q141" i="8"/>
  <c r="Q121" i="8"/>
  <c r="Q81" i="8"/>
  <c r="Q181" i="8"/>
  <c r="Q309" i="8"/>
  <c r="Q214" i="8"/>
  <c r="Q186" i="8"/>
  <c r="Q124" i="8"/>
  <c r="Q104" i="8"/>
  <c r="Q74" i="8"/>
  <c r="Q155" i="8"/>
  <c r="Q135" i="8"/>
  <c r="Q222" i="8"/>
  <c r="Q215" i="8"/>
  <c r="Q188" i="8"/>
  <c r="Q146" i="8"/>
  <c r="Q116" i="8"/>
  <c r="Q106" i="8"/>
  <c r="Q205" i="8"/>
  <c r="Q167" i="8"/>
  <c r="Q157" i="8"/>
  <c r="Q137" i="8"/>
  <c r="Q87" i="8"/>
  <c r="Q15" i="8"/>
  <c r="Q108" i="8"/>
  <c r="Q36" i="8"/>
  <c r="Q57" i="8"/>
  <c r="Q37" i="8"/>
  <c r="Q17" i="8"/>
  <c r="Q158" i="8"/>
  <c r="Q48" i="8"/>
  <c r="Q8" i="8"/>
  <c r="Q49" i="8"/>
  <c r="Q77" i="8"/>
  <c r="Q113" i="8"/>
  <c r="Q93" i="8"/>
  <c r="Q83" i="8"/>
  <c r="Q66" i="8"/>
  <c r="Q86" i="8"/>
  <c r="Q12" i="8"/>
  <c r="Q68" i="8"/>
  <c r="Q34" i="8"/>
  <c r="Q14" i="8"/>
  <c r="Q4" i="8"/>
  <c r="Q439" i="8" s="1"/>
  <c r="AA432" i="8"/>
  <c r="AA422" i="8"/>
  <c r="AA412" i="8"/>
  <c r="AA402" i="8"/>
  <c r="AA392" i="8"/>
  <c r="AA382" i="8"/>
  <c r="AA433" i="8"/>
  <c r="AA403" i="8"/>
  <c r="AA383" i="8"/>
  <c r="AA434" i="8"/>
  <c r="AA424" i="8"/>
  <c r="AA414" i="8"/>
  <c r="AA425" i="8"/>
  <c r="AA415" i="8"/>
  <c r="AA405" i="8"/>
  <c r="AA385" i="8"/>
  <c r="AA426" i="8"/>
  <c r="AA406" i="8"/>
  <c r="AA420" i="8"/>
  <c r="AA417" i="8"/>
  <c r="AA401" i="8"/>
  <c r="AA391" i="8"/>
  <c r="AA438" i="8"/>
  <c r="AA378" i="8"/>
  <c r="AA242" i="8"/>
  <c r="AA411" i="8"/>
  <c r="AA399" i="8"/>
  <c r="AA223" i="8"/>
  <c r="AA183" i="8"/>
  <c r="AA427" i="8"/>
  <c r="AA418" i="8"/>
  <c r="AA379" i="8"/>
  <c r="AA244" i="8"/>
  <c r="AA408" i="8"/>
  <c r="AA389" i="8"/>
  <c r="AA315" i="8"/>
  <c r="AA430" i="8"/>
  <c r="AA419" i="8"/>
  <c r="AA397" i="8"/>
  <c r="AA380" i="8"/>
  <c r="AA286" i="8"/>
  <c r="AA437" i="8"/>
  <c r="AA387" i="8"/>
  <c r="AA428" i="8"/>
  <c r="AA308" i="8"/>
  <c r="AA289" i="8"/>
  <c r="AA234" i="8"/>
  <c r="AA201" i="8"/>
  <c r="AA195" i="8"/>
  <c r="AA89" i="8"/>
  <c r="AA150" i="8"/>
  <c r="AA110" i="8"/>
  <c r="AA80" i="8"/>
  <c r="AA229" i="8"/>
  <c r="AA91" i="8"/>
  <c r="AA196" i="8"/>
  <c r="AA142" i="8"/>
  <c r="AA132" i="8"/>
  <c r="AA208" i="8"/>
  <c r="AA84" i="8"/>
  <c r="AA236" i="8"/>
  <c r="AA105" i="8"/>
  <c r="AA85" i="8"/>
  <c r="AA137" i="8"/>
  <c r="AA35" i="8"/>
  <c r="AA57" i="8"/>
  <c r="AA30" i="8"/>
  <c r="AA10" i="8"/>
  <c r="AA194" i="8"/>
  <c r="AA41" i="8"/>
  <c r="AA439" i="8" s="1"/>
  <c r="AA53" i="8"/>
  <c r="AA43" i="8"/>
  <c r="V408" i="8"/>
  <c r="V410" i="8"/>
  <c r="V370" i="8"/>
  <c r="V438" i="8"/>
  <c r="V386" i="8"/>
  <c r="V434" i="8"/>
  <c r="V394" i="8"/>
  <c r="V404" i="8"/>
  <c r="V307" i="8"/>
  <c r="V247" i="8"/>
  <c r="V258" i="8"/>
  <c r="V435" i="8"/>
  <c r="V269" i="8"/>
  <c r="V259" i="8"/>
  <c r="V249" i="8"/>
  <c r="V432" i="8"/>
  <c r="V310" i="8"/>
  <c r="V280" i="8"/>
  <c r="V436" i="8"/>
  <c r="V393" i="8"/>
  <c r="V293" i="8"/>
  <c r="V164" i="8"/>
  <c r="V144" i="8"/>
  <c r="V134" i="8"/>
  <c r="V222" i="8"/>
  <c r="V176" i="8"/>
  <c r="V166" i="8"/>
  <c r="V156" i="8"/>
  <c r="V136" i="8"/>
  <c r="V147" i="8"/>
  <c r="V254" i="8"/>
  <c r="V194" i="8"/>
  <c r="V234" i="8"/>
  <c r="V109" i="8"/>
  <c r="V274" i="8"/>
  <c r="V179" i="8"/>
  <c r="V170" i="8"/>
  <c r="V110" i="8"/>
  <c r="V191" i="8"/>
  <c r="V161" i="8"/>
  <c r="V230" i="8"/>
  <c r="V196" i="8"/>
  <c r="V142" i="8"/>
  <c r="V112" i="8"/>
  <c r="V88" i="8"/>
  <c r="V153" i="8"/>
  <c r="V107" i="8"/>
  <c r="V51" i="8"/>
  <c r="V42" i="8"/>
  <c r="V439" i="8" s="1"/>
  <c r="V32" i="8"/>
  <c r="V2" i="8"/>
  <c r="V314" i="8"/>
  <c r="V123" i="8"/>
  <c r="V53" i="8"/>
  <c r="V143" i="8"/>
  <c r="V240" i="8"/>
  <c r="V213" i="8"/>
  <c r="V47" i="8"/>
  <c r="V87" i="8"/>
  <c r="V38" i="8"/>
  <c r="V18" i="8"/>
  <c r="V70" i="8"/>
  <c r="AK436" i="8"/>
  <c r="AK348" i="8"/>
  <c r="AK320" i="8"/>
  <c r="AK290" i="8"/>
  <c r="AK210" i="8"/>
  <c r="AK283" i="8"/>
  <c r="AK253" i="8"/>
  <c r="AK233" i="8"/>
  <c r="AK223" i="8"/>
  <c r="AK193" i="8"/>
  <c r="AK314" i="8"/>
  <c r="AK304" i="8"/>
  <c r="AK294" i="8"/>
  <c r="AK264" i="8"/>
  <c r="AK234" i="8"/>
  <c r="AK285" i="8"/>
  <c r="AK326" i="8"/>
  <c r="AK316" i="8"/>
  <c r="AK286" i="8"/>
  <c r="AK266" i="8"/>
  <c r="AK267" i="8"/>
  <c r="AK268" i="8"/>
  <c r="AK228" i="8"/>
  <c r="AK201" i="8"/>
  <c r="AK139" i="8"/>
  <c r="AK238" i="8"/>
  <c r="AK206" i="8"/>
  <c r="AK195" i="8"/>
  <c r="AK140" i="8"/>
  <c r="AK80" i="8"/>
  <c r="AK251" i="8"/>
  <c r="AK239" i="8"/>
  <c r="AK235" i="8"/>
  <c r="AK180" i="8"/>
  <c r="AK289" i="8"/>
  <c r="AK172" i="8"/>
  <c r="AK255" i="8"/>
  <c r="AK245" i="8"/>
  <c r="AK173" i="8"/>
  <c r="AK279" i="8"/>
  <c r="AK214" i="8"/>
  <c r="AK209" i="8"/>
  <c r="AK186" i="8"/>
  <c r="AK114" i="8"/>
  <c r="AK74" i="8"/>
  <c r="AK236" i="8"/>
  <c r="AK95" i="8"/>
  <c r="AK166" i="8"/>
  <c r="AK157" i="8"/>
  <c r="AK97" i="8"/>
  <c r="AK55" i="8"/>
  <c r="AK35" i="8"/>
  <c r="AK15" i="8"/>
  <c r="AK46" i="8"/>
  <c r="AK36" i="8"/>
  <c r="AK103" i="8"/>
  <c r="AK37" i="8"/>
  <c r="AK211" i="8"/>
  <c r="AK39" i="8"/>
  <c r="AK10" i="8"/>
  <c r="AK31" i="8"/>
  <c r="AK93" i="8"/>
  <c r="AK67" i="8"/>
  <c r="AK33" i="8"/>
  <c r="AK133" i="8"/>
  <c r="AK63" i="8"/>
  <c r="AK34" i="8"/>
  <c r="AK4" i="8"/>
  <c r="AK6" i="8"/>
  <c r="AK3" i="8"/>
  <c r="AK439" i="8" s="1"/>
  <c r="AB403" i="8"/>
  <c r="AB393" i="8"/>
  <c r="AB434" i="8"/>
  <c r="AB394" i="8"/>
  <c r="AB384" i="8"/>
  <c r="AB435" i="8"/>
  <c r="AB438" i="8"/>
  <c r="AB388" i="8"/>
  <c r="AB330" i="8"/>
  <c r="AB410" i="8"/>
  <c r="AB301" i="8"/>
  <c r="AB271" i="8"/>
  <c r="AB251" i="8"/>
  <c r="AB211" i="8"/>
  <c r="AB429" i="8"/>
  <c r="AB343" i="8"/>
  <c r="AB314" i="8"/>
  <c r="AB295" i="8"/>
  <c r="AB255" i="8"/>
  <c r="AB430" i="8"/>
  <c r="AB419" i="8"/>
  <c r="AB345" i="8"/>
  <c r="AB400" i="8"/>
  <c r="AB307" i="8"/>
  <c r="AB308" i="8"/>
  <c r="AB268" i="8"/>
  <c r="AB299" i="8"/>
  <c r="AB289" i="8"/>
  <c r="AB269" i="8"/>
  <c r="AB206" i="8"/>
  <c r="AB229" i="8"/>
  <c r="AB82" i="8"/>
  <c r="AB153" i="8"/>
  <c r="AB143" i="8"/>
  <c r="AB272" i="8"/>
  <c r="AB192" i="8"/>
  <c r="AB164" i="8"/>
  <c r="AB144" i="8"/>
  <c r="AB236" i="8"/>
  <c r="AB210" i="8"/>
  <c r="AB85" i="8"/>
  <c r="AB182" i="8"/>
  <c r="AB156" i="8"/>
  <c r="AB106" i="8"/>
  <c r="AB302" i="8"/>
  <c r="AB266" i="8"/>
  <c r="AB256" i="8"/>
  <c r="AB205" i="8"/>
  <c r="AB97" i="8"/>
  <c r="AB88" i="8"/>
  <c r="AB56" i="8"/>
  <c r="AB46" i="8"/>
  <c r="AB47" i="8"/>
  <c r="AB124" i="8"/>
  <c r="AB119" i="8"/>
  <c r="AB38" i="8"/>
  <c r="AB59" i="8"/>
  <c r="AB50" i="8"/>
  <c r="AB40" i="8"/>
  <c r="AB93" i="8"/>
  <c r="AB66" i="8"/>
  <c r="AB61" i="8"/>
  <c r="AB12" i="8"/>
  <c r="AB2" i="8"/>
  <c r="AB439" i="8" s="1"/>
  <c r="AB223" i="8"/>
  <c r="AB63" i="8"/>
  <c r="A15" i="4"/>
  <c r="R433" i="8"/>
  <c r="R404" i="8"/>
  <c r="R384" i="8"/>
  <c r="R311" i="8"/>
  <c r="R291" i="8"/>
  <c r="R231" i="8"/>
  <c r="R283" i="8"/>
  <c r="R430" i="8"/>
  <c r="R304" i="8"/>
  <c r="R294" i="8"/>
  <c r="R305" i="8"/>
  <c r="R295" i="8"/>
  <c r="R255" i="8"/>
  <c r="R245" i="8"/>
  <c r="R326" i="8"/>
  <c r="R317" i="8"/>
  <c r="R257" i="8"/>
  <c r="R381" i="8"/>
  <c r="R268" i="8"/>
  <c r="R319" i="8"/>
  <c r="R140" i="8"/>
  <c r="R260" i="8"/>
  <c r="R207" i="8"/>
  <c r="R81" i="8"/>
  <c r="R272" i="8"/>
  <c r="R123" i="8"/>
  <c r="R186" i="8"/>
  <c r="R226" i="8"/>
  <c r="R175" i="8"/>
  <c r="R165" i="8"/>
  <c r="R65" i="8"/>
  <c r="R215" i="8"/>
  <c r="R216" i="8"/>
  <c r="R158" i="8"/>
  <c r="R98" i="8"/>
  <c r="R76" i="8"/>
  <c r="R58" i="8"/>
  <c r="R439" i="8" s="1"/>
  <c r="R206" i="8"/>
  <c r="R77" i="8"/>
  <c r="R74" i="8"/>
  <c r="R52" i="8"/>
  <c r="R22" i="8"/>
  <c r="R139" i="8"/>
  <c r="R13" i="8"/>
  <c r="A19" i="4" l="1"/>
  <c r="A23" i="4" l="1"/>
  <c r="A27" i="4" l="1"/>
  <c r="A34" i="4" l="1"/>
  <c r="A38" i="4" l="1"/>
  <c r="A42" i="4" l="1"/>
  <c r="A46" i="4" l="1"/>
  <c r="A50" i="4" l="1"/>
  <c r="A54" i="4" s="1"/>
  <c r="A58" i="4" s="1"/>
  <c r="A65" i="4" s="1"/>
  <c r="A69" i="4" s="1"/>
  <c r="A73" i="4" s="1"/>
  <c r="A77" i="4" s="1"/>
  <c r="A81" i="4" s="1"/>
  <c r="A85" i="4" s="1"/>
  <c r="A89" i="4" s="1"/>
  <c r="A96" i="4" s="1"/>
  <c r="A100" i="4" s="1"/>
  <c r="A104" i="4" s="1"/>
  <c r="A108" i="4" s="1"/>
  <c r="A112" i="4" s="1"/>
  <c r="A116" i="4" s="1"/>
  <c r="A120" i="4" s="1"/>
  <c r="A127" i="4" s="1"/>
  <c r="A131" i="4" s="1"/>
  <c r="A135" i="4" s="1"/>
  <c r="A139" i="4" s="1"/>
  <c r="A143" i="4" s="1"/>
  <c r="A147" i="4" s="1"/>
  <c r="A151" i="4" s="1"/>
  <c r="A158" i="4" s="1"/>
  <c r="A162" i="4" s="1"/>
  <c r="A166" i="4" s="1"/>
  <c r="A170" i="4" s="1"/>
  <c r="A174" i="4" s="1"/>
  <c r="A178" i="4" s="1"/>
  <c r="A182" i="4" s="1"/>
  <c r="A189" i="4" s="1"/>
  <c r="A193" i="4" s="1"/>
  <c r="A197" i="4" s="1"/>
  <c r="A201" i="4" s="1"/>
  <c r="A205" i="4" s="1"/>
  <c r="A209" i="4" s="1"/>
  <c r="A213" i="4" s="1"/>
  <c r="A220" i="4" s="1"/>
  <c r="A224" i="4" s="1"/>
  <c r="A228" i="4" s="1"/>
  <c r="A232" i="4" s="1"/>
  <c r="A236" i="4" s="1"/>
  <c r="A240" i="4" s="1"/>
  <c r="A244" i="4" s="1"/>
  <c r="A251" i="4" s="1"/>
  <c r="A255" i="4" s="1"/>
  <c r="A259" i="4" s="1"/>
  <c r="A263" i="4" s="1"/>
  <c r="A267" i="4" s="1"/>
  <c r="A271" i="4" s="1"/>
  <c r="A275" i="4" s="1"/>
  <c r="L14" i="4"/>
  <c r="L22" i="4"/>
  <c r="L13" i="4"/>
  <c r="L5" i="4"/>
  <c r="L23" i="4" l="1"/>
  <c r="L7" i="4"/>
  <c r="L12" i="4"/>
  <c r="L20" i="4"/>
  <c r="L15" i="4"/>
  <c r="L4" i="4"/>
  <c r="L18" i="4"/>
  <c r="L24" i="4"/>
  <c r="L17" i="4"/>
  <c r="L6" i="4"/>
  <c r="L9" i="4"/>
  <c r="L21" i="4"/>
  <c r="L16" i="4"/>
  <c r="L8" i="4"/>
  <c r="L10" i="4"/>
  <c r="L2" i="4"/>
  <c r="L3" i="4"/>
  <c r="L19" i="4"/>
  <c r="L11" i="4"/>
</calcChain>
</file>

<file path=xl/sharedStrings.xml><?xml version="1.0" encoding="utf-8"?>
<sst xmlns="http://schemas.openxmlformats.org/spreadsheetml/2006/main" count="9714" uniqueCount="1955">
  <si>
    <t>Fintech (Digital Transformation in Finance) (A)</t>
  </si>
  <si>
    <t>Fintech (Digital Transformation in Finance) (B)</t>
  </si>
  <si>
    <t>Behavioural Economics and Decision-Making (A)</t>
  </si>
  <si>
    <t>Behavioural Economics and Decision-Making (B)</t>
  </si>
  <si>
    <t>The Art, Craft, and Science of Management: Learning through Classics and Best Collections (A)</t>
  </si>
  <si>
    <t>The Art, Craft, and Science of Management: Learning through Classics and Best Collections (B)</t>
  </si>
  <si>
    <t>Workplace Happiness: Science &amp; Practice (A)</t>
  </si>
  <si>
    <t>Workplace Happiness: Science &amp; Practice (B)</t>
  </si>
  <si>
    <t>Leadership Excellence Through Values : Wisdom from the Mahabharata</t>
  </si>
  <si>
    <t>Film &amp; the Firm: Visual Culture in Business Contexts (A)</t>
  </si>
  <si>
    <t>Film &amp; the Firm: Visual Culture in Business Contexts (B)</t>
  </si>
  <si>
    <t>Strategic HRM</t>
  </si>
  <si>
    <t>Strategic Career Management (A)</t>
  </si>
  <si>
    <t>Strategic Career Management (B)</t>
  </si>
  <si>
    <t>AI AND  STRATEGY</t>
  </si>
  <si>
    <t>Employer Branding</t>
  </si>
  <si>
    <t>AI Applications in Marketing (A)</t>
  </si>
  <si>
    <t>AI Applications in Marketing (B)</t>
  </si>
  <si>
    <t>SPORTS ANALYTICS (A)</t>
  </si>
  <si>
    <t>SPORTS ANALYTICS (B)</t>
  </si>
  <si>
    <t>Customer Success Management</t>
  </si>
  <si>
    <t>Entrepreneurial Marketing</t>
  </si>
  <si>
    <t>Industry 4.0 in Transport Sector</t>
  </si>
  <si>
    <t>Prof Shumaila Fatima</t>
  </si>
  <si>
    <t>Prof. Amarendu Nandy</t>
  </si>
  <si>
    <t>Ambuj B. Anand,Manish Kumar</t>
  </si>
  <si>
    <t>Prof. Allen Joshua George</t>
  </si>
  <si>
    <t>Dr. Radha Yadav</t>
  </si>
  <si>
    <t>Prof. Vikas Pathe</t>
  </si>
  <si>
    <t>Prof. Rameshwar Shivadas Ture</t>
  </si>
  <si>
    <t>Prof. Aditya Agrawal</t>
  </si>
  <si>
    <t>Prof Jang Bahadur Singh</t>
  </si>
  <si>
    <t>Prof. Radha Yadav</t>
  </si>
  <si>
    <t>Prof. Ankur Jha</t>
  </si>
  <si>
    <t>Prof. R. Vivekananda</t>
  </si>
  <si>
    <t>Prof. Shilpi Saxena</t>
  </si>
  <si>
    <t>Prof. Rohit Kumar</t>
  </si>
  <si>
    <t>Prof. Krishna Kumar Dadsena</t>
  </si>
  <si>
    <t>Prof. Tanusree Dutta</t>
  </si>
  <si>
    <t>Prof. Shailabh Kumar Sahu</t>
  </si>
  <si>
    <t>Prof. Manish Kumar</t>
  </si>
  <si>
    <t>Prof. Shweta Jha</t>
  </si>
  <si>
    <t>Prof. Satyam</t>
  </si>
  <si>
    <t>Prof. Poonam Prasad</t>
  </si>
  <si>
    <t>Prof. Gaurav M Marathe</t>
  </si>
  <si>
    <t>Prof. Sachin Bajaj</t>
  </si>
  <si>
    <t>Prof. Santosh K Prusty</t>
  </si>
  <si>
    <t>Guest Lecture</t>
  </si>
  <si>
    <t>Dr. Prasant Maurya</t>
  </si>
  <si>
    <t>Mr. Vaibhav Goel</t>
  </si>
  <si>
    <t>Prof Gautam Pal</t>
  </si>
  <si>
    <t>Guest Faculty</t>
  </si>
  <si>
    <t xml:space="preserve"> Dr. Charu Jain</t>
  </si>
  <si>
    <t>Mr. Avnish Anand</t>
  </si>
  <si>
    <t>Dr. Ashish Pandey</t>
  </si>
  <si>
    <t>Prof. Reema Jogani</t>
  </si>
  <si>
    <t>Ms.Deborah T. Joy</t>
  </si>
  <si>
    <t>Prof. Ambuj Anand</t>
  </si>
  <si>
    <t>Mr. Nishant Gaurav</t>
  </si>
  <si>
    <t>Prof. Ambuj B Anand</t>
  </si>
  <si>
    <t>Prof. George Joseph</t>
  </si>
  <si>
    <t>Day</t>
  </si>
  <si>
    <t>Slot</t>
  </si>
  <si>
    <t>Exam</t>
  </si>
  <si>
    <t>Fintech</t>
  </si>
  <si>
    <t>Art</t>
  </si>
  <si>
    <t>BEDM</t>
  </si>
  <si>
    <t>I4TS</t>
  </si>
  <si>
    <t>WH</t>
  </si>
  <si>
    <t>SA</t>
  </si>
  <si>
    <t>AIS</t>
  </si>
  <si>
    <t>Film&amp;Firm</t>
  </si>
  <si>
    <t>CSM</t>
  </si>
  <si>
    <t>1:30-3:30</t>
  </si>
  <si>
    <t>SCM</t>
  </si>
  <si>
    <t>EB</t>
  </si>
  <si>
    <t>SHRM</t>
  </si>
  <si>
    <t>AIAM</t>
  </si>
  <si>
    <t>EM</t>
  </si>
  <si>
    <t>LETV</t>
  </si>
  <si>
    <t>Term V Course Offering - MBA/MBA-BA/MBA-HRM (AY: 2025-26)</t>
  </si>
  <si>
    <t>SL No.</t>
  </si>
  <si>
    <t>Course Code</t>
  </si>
  <si>
    <t>Course Name</t>
  </si>
  <si>
    <t>Faculty Name</t>
  </si>
  <si>
    <t>FAISE01-A</t>
  </si>
  <si>
    <t>Prof Shumaila Fatima, Prof Gautam Pal</t>
  </si>
  <si>
    <t>FAISE01-B</t>
  </si>
  <si>
    <t>HRECFAE01-A</t>
  </si>
  <si>
    <t>Prof. Tanusree Dutta, Prof. Amarendu Nandy, External Expert</t>
  </si>
  <si>
    <t>HRECFAE01-B</t>
  </si>
  <si>
    <t>HRISE01-A</t>
  </si>
  <si>
    <t>Ambuj B. Anand,Manish Kumar, Guest Faculty</t>
  </si>
  <si>
    <t>HRISE01-B</t>
  </si>
  <si>
    <t>HRLAE01-A</t>
  </si>
  <si>
    <t>Prof. Tanusree Dutta, Prof. Allen Joshua George, Guest Faculty</t>
  </si>
  <si>
    <t>HRLAE01-B</t>
  </si>
  <si>
    <t>HRLAE03</t>
  </si>
  <si>
    <t>Dr. Radha Yadav, Dr. Prasant Maurya, Dr. Ashish Pandey</t>
  </si>
  <si>
    <t>Prof. Vikas Pathe, Prof. Ambuj B Anand, Prof. Manish Kumar, Prof. Gaurav M Marathe, Prof. George Joseph, Guest Faculty</t>
  </si>
  <si>
    <t>HRSEE01</t>
  </si>
  <si>
    <t>Prof. Rameshwar Shivadas Ture, Mr. Vaibhav Goel</t>
  </si>
  <si>
    <t>HRSEE02-A</t>
  </si>
  <si>
    <t>Prof. Rohit Kumar , Prof. Aditya Agrawal</t>
  </si>
  <si>
    <t>HRSEE02-B</t>
  </si>
  <si>
    <t>ISSEE01</t>
  </si>
  <si>
    <t>Prof Jang Bahadur Singh Prof. Santosh K Prusty</t>
  </si>
  <si>
    <t>MKHRE01</t>
  </si>
  <si>
    <t>Prof. Radha Yadav, Prof. Shweta Jha</t>
  </si>
  <si>
    <t>MKISE01-A</t>
  </si>
  <si>
    <t>Prof. Ankur Jha, Prof. Shweta Jha, Dr. Charu Jain and Ms.Deborah T. Joy</t>
  </si>
  <si>
    <t>MKISE01-B</t>
  </si>
  <si>
    <t>MKISE02-A</t>
  </si>
  <si>
    <t>Ambuj B Anand, R Vivekanand</t>
  </si>
  <si>
    <t>MKISE02-B</t>
  </si>
  <si>
    <t>MKISE03</t>
  </si>
  <si>
    <t>Prof Shilpi Saxena, Mr. Nishant Gaurav</t>
  </si>
  <si>
    <t>MKSEE01</t>
  </si>
  <si>
    <t>Prof. Satyam, Prof. Rohit Kumar,Mr. Avnish Anand</t>
  </si>
  <si>
    <t>OMISE01</t>
  </si>
  <si>
    <t>Prof.Krishna Kumar Dadsena, Prof. Sachin Bajaj, Prof. Reema Jogani, Prof. Shailabh Kumar Sahu</t>
  </si>
  <si>
    <t>Term 6 Schedule - Dec 29 - Jan 4</t>
  </si>
  <si>
    <t>Week 1</t>
  </si>
  <si>
    <t>9.00AM - 10.30AM</t>
  </si>
  <si>
    <t>10.45AM - 12.15PM</t>
  </si>
  <si>
    <t>12.30PM - 2.00PM</t>
  </si>
  <si>
    <t>3.00PM - 4.30PM</t>
  </si>
  <si>
    <t>4.45PM - 6.15PM</t>
  </si>
  <si>
    <t>6.30PM - 8.00PM</t>
  </si>
  <si>
    <t>8.15PM - 9.45PM</t>
  </si>
  <si>
    <t>AIAM-A</t>
  </si>
  <si>
    <t>Mon</t>
  </si>
  <si>
    <t>Fintech-B</t>
  </si>
  <si>
    <t>AIAM-B</t>
  </si>
  <si>
    <t>BEDM-A</t>
  </si>
  <si>
    <t>Art-A</t>
  </si>
  <si>
    <t>Art-B</t>
  </si>
  <si>
    <t>BEDM-B</t>
  </si>
  <si>
    <t>Ambuj Anand,Manish Kumar</t>
  </si>
  <si>
    <t>Tue</t>
  </si>
  <si>
    <t>Film&amp;Firm-B</t>
  </si>
  <si>
    <t>Fintech-A</t>
  </si>
  <si>
    <t>SCM-B</t>
  </si>
  <si>
    <t>SA-B</t>
  </si>
  <si>
    <t>Wed</t>
  </si>
  <si>
    <t>SCM-A</t>
  </si>
  <si>
    <t>WH-B</t>
  </si>
  <si>
    <t>WH-A</t>
  </si>
  <si>
    <t>Thurs</t>
  </si>
  <si>
    <t>SA-A</t>
  </si>
  <si>
    <t>Fri</t>
  </si>
  <si>
    <t>Film&amp;Firm-A</t>
  </si>
  <si>
    <t>Sat</t>
  </si>
  <si>
    <t>Sun</t>
  </si>
  <si>
    <t>Term 6 Schedule - Jan 5 - Jan 11</t>
  </si>
  <si>
    <t>Week 2</t>
  </si>
  <si>
    <t>Prof. R Vivekananda</t>
  </si>
  <si>
    <t>Term 6 Schedule - Jan 12 - Jan 18</t>
  </si>
  <si>
    <t>Week 3</t>
  </si>
  <si>
    <t>Prof. Reema Jogni</t>
  </si>
  <si>
    <t>Dr. Punam Prasad</t>
  </si>
  <si>
    <t>Term 6 Schedule - Jan 19 - Jan 25</t>
  </si>
  <si>
    <t>Week 4</t>
  </si>
  <si>
    <t>Prof Sachin Bajaj</t>
  </si>
  <si>
    <t>Term 6 Schedule - Jan 26 - Feb 1</t>
  </si>
  <si>
    <t>Week 5</t>
  </si>
  <si>
    <t>Charu Jain</t>
  </si>
  <si>
    <t>Term 6 Schedule - Feb 2 - Feb 8</t>
  </si>
  <si>
    <t>Week 6</t>
  </si>
  <si>
    <t>Term 6 Schedule - Feb 9 - Feb 15</t>
  </si>
  <si>
    <t>Week 7</t>
  </si>
  <si>
    <t>Term 6 Schedule - Feb 15 - Feb 22</t>
  </si>
  <si>
    <t>Week 8</t>
  </si>
  <si>
    <t>Term 6 Schedule - Feb 23 - Mar 1</t>
  </si>
  <si>
    <t>Week 9</t>
  </si>
  <si>
    <t>INDEX</t>
  </si>
  <si>
    <t>Student ID</t>
  </si>
  <si>
    <t>Student Name</t>
  </si>
  <si>
    <t>BA006-24</t>
  </si>
  <si>
    <t>BA007-24</t>
  </si>
  <si>
    <t>BA021-24</t>
  </si>
  <si>
    <t>BA025-24</t>
  </si>
  <si>
    <t>BA028-24</t>
  </si>
  <si>
    <t>BA033-24</t>
  </si>
  <si>
    <t>BA044-24</t>
  </si>
  <si>
    <t>BA047-24</t>
  </si>
  <si>
    <t>BA049-24</t>
  </si>
  <si>
    <t>BA050-24</t>
  </si>
  <si>
    <t>BA052-24</t>
  </si>
  <si>
    <t>H002-24</t>
  </si>
  <si>
    <t>H003-24</t>
  </si>
  <si>
    <t>H011-24</t>
  </si>
  <si>
    <t>H017-24</t>
  </si>
  <si>
    <t>H020-24</t>
  </si>
  <si>
    <t>H029-24</t>
  </si>
  <si>
    <t>H032-24</t>
  </si>
  <si>
    <t>H036-24</t>
  </si>
  <si>
    <t>H039-24</t>
  </si>
  <si>
    <t>H040-24</t>
  </si>
  <si>
    <t>H043-24</t>
  </si>
  <si>
    <t>H045-24</t>
  </si>
  <si>
    <t>H047-24</t>
  </si>
  <si>
    <t>H049-23</t>
  </si>
  <si>
    <t>H049-24</t>
  </si>
  <si>
    <t>H057-24</t>
  </si>
  <si>
    <t>H058-24</t>
  </si>
  <si>
    <t>H059-24</t>
  </si>
  <si>
    <t>IPM005-21</t>
  </si>
  <si>
    <t>IPM022-21</t>
  </si>
  <si>
    <t>IPM029-21</t>
  </si>
  <si>
    <t>IPM032-21</t>
  </si>
  <si>
    <t>IPM039-21</t>
  </si>
  <si>
    <t>IPM041-21</t>
  </si>
  <si>
    <t>IPM043-21</t>
  </si>
  <si>
    <t>IPM045-21</t>
  </si>
  <si>
    <t>IPM050-21</t>
  </si>
  <si>
    <t>IPM053-21</t>
  </si>
  <si>
    <t>IPM054-21</t>
  </si>
  <si>
    <t>IPM058-21</t>
  </si>
  <si>
    <t>IPM070-21</t>
  </si>
  <si>
    <t>IPM081-21</t>
  </si>
  <si>
    <t>IPM093-21</t>
  </si>
  <si>
    <t>IPM100-21</t>
  </si>
  <si>
    <t>IPM102-21</t>
  </si>
  <si>
    <t>IPM116-21</t>
  </si>
  <si>
    <t>IPM117-21</t>
  </si>
  <si>
    <t>IPM128-21</t>
  </si>
  <si>
    <t>M001-24</t>
  </si>
  <si>
    <t>M002-24</t>
  </si>
  <si>
    <t>M003-24</t>
  </si>
  <si>
    <t>M004-24</t>
  </si>
  <si>
    <t>M010-23</t>
  </si>
  <si>
    <t>M010-24</t>
  </si>
  <si>
    <t>M011-24</t>
  </si>
  <si>
    <t>M013-24</t>
  </si>
  <si>
    <t>M017-24</t>
  </si>
  <si>
    <t>M020-24</t>
  </si>
  <si>
    <t>M022-24</t>
  </si>
  <si>
    <t>M023-24</t>
  </si>
  <si>
    <t>M025-24</t>
  </si>
  <si>
    <t>M029-24</t>
  </si>
  <si>
    <t>M030-24</t>
  </si>
  <si>
    <t>M033-24</t>
  </si>
  <si>
    <t>M034-24</t>
  </si>
  <si>
    <t>M037-24</t>
  </si>
  <si>
    <t>M039-24</t>
  </si>
  <si>
    <t>M040-23</t>
  </si>
  <si>
    <t>M042-24</t>
  </si>
  <si>
    <t>M044-24</t>
  </si>
  <si>
    <t>M047-24</t>
  </si>
  <si>
    <t>M049-23</t>
  </si>
  <si>
    <t>M049-24</t>
  </si>
  <si>
    <t>M057-24</t>
  </si>
  <si>
    <t>M058-24</t>
  </si>
  <si>
    <t>M063-24</t>
  </si>
  <si>
    <t>M065-24</t>
  </si>
  <si>
    <t>M068-24</t>
  </si>
  <si>
    <t>M075-24</t>
  </si>
  <si>
    <t>M079-24</t>
  </si>
  <si>
    <t>M082-24</t>
  </si>
  <si>
    <t>M085-24</t>
  </si>
  <si>
    <t>M089-24</t>
  </si>
  <si>
    <t>M091-24</t>
  </si>
  <si>
    <t>M099-24</t>
  </si>
  <si>
    <t>M103-24</t>
  </si>
  <si>
    <t>M105-23</t>
  </si>
  <si>
    <t>M108-24</t>
  </si>
  <si>
    <t>M115-24</t>
  </si>
  <si>
    <t>M121-24</t>
  </si>
  <si>
    <t>M123-24</t>
  </si>
  <si>
    <t>M126-24</t>
  </si>
  <si>
    <t>M128-24</t>
  </si>
  <si>
    <t>M129-24</t>
  </si>
  <si>
    <t>M130-24</t>
  </si>
  <si>
    <t>M135-24</t>
  </si>
  <si>
    <t>M136-24</t>
  </si>
  <si>
    <t>M137-24</t>
  </si>
  <si>
    <t>M141-24</t>
  </si>
  <si>
    <t>M145-24</t>
  </si>
  <si>
    <t>M146-24</t>
  </si>
  <si>
    <t>M147-24</t>
  </si>
  <si>
    <t>M149-23</t>
  </si>
  <si>
    <t>M151-24</t>
  </si>
  <si>
    <t>M161-24</t>
  </si>
  <si>
    <t>M168-24</t>
  </si>
  <si>
    <t>M169-24</t>
  </si>
  <si>
    <t>M171-24</t>
  </si>
  <si>
    <t>M173-24</t>
  </si>
  <si>
    <t>M175-24</t>
  </si>
  <si>
    <t>M177-24</t>
  </si>
  <si>
    <t>M178-24</t>
  </si>
  <si>
    <t>M186-24</t>
  </si>
  <si>
    <t>M188-24</t>
  </si>
  <si>
    <t>M190-24</t>
  </si>
  <si>
    <t>M191-24</t>
  </si>
  <si>
    <t>M192-24</t>
  </si>
  <si>
    <t>M195-24</t>
  </si>
  <si>
    <t>M198-24</t>
  </si>
  <si>
    <t>M200-23</t>
  </si>
  <si>
    <t>M201-24</t>
  </si>
  <si>
    <t>M204-24</t>
  </si>
  <si>
    <t>M206-24</t>
  </si>
  <si>
    <t>M210-24</t>
  </si>
  <si>
    <t>M217-24</t>
  </si>
  <si>
    <t>M228-24</t>
  </si>
  <si>
    <t>M231-24</t>
  </si>
  <si>
    <t>M237-24</t>
  </si>
  <si>
    <t>M239-24</t>
  </si>
  <si>
    <t>M242-24</t>
  </si>
  <si>
    <t>M243-24</t>
  </si>
  <si>
    <t>M246-24</t>
  </si>
  <si>
    <t>M247-24</t>
  </si>
  <si>
    <t>M249-23</t>
  </si>
  <si>
    <t>M250-24</t>
  </si>
  <si>
    <t>M255-24</t>
  </si>
  <si>
    <t>M258-24</t>
  </si>
  <si>
    <t>M261-24</t>
  </si>
  <si>
    <t>M262-24</t>
  </si>
  <si>
    <t>Faculty</t>
  </si>
  <si>
    <t>Int vs Ext</t>
  </si>
  <si>
    <t>Session Count</t>
  </si>
  <si>
    <t>Section</t>
  </si>
  <si>
    <t>#Students</t>
  </si>
  <si>
    <t>FAISE01</t>
  </si>
  <si>
    <t>Fintech (Digital Transformation in Finance)</t>
  </si>
  <si>
    <t>1-9; 10; 11-20</t>
  </si>
  <si>
    <t>HRECFAE01</t>
  </si>
  <si>
    <t>Behavioural Economics and Decision-Making</t>
  </si>
  <si>
    <t>Prof. Tanusree Dutta, Prof. Amarendu Nandy, Prof. Poonam</t>
  </si>
  <si>
    <t>13,7</t>
  </si>
  <si>
    <t>6,10,14,16,19; 1-5,11,15,20 ; 7-9,12-13,17-18</t>
  </si>
  <si>
    <t>HRISE01</t>
  </si>
  <si>
    <t>The Art, Craft, and Science of Management: Learning through Classics and Best Collections</t>
  </si>
  <si>
    <t>10,10, 2</t>
  </si>
  <si>
    <t>HRLAE01</t>
  </si>
  <si>
    <t>Workplace Happiness: Science &amp; Practice</t>
  </si>
  <si>
    <t>2,6,9,11,17; 1,3-5,7,8,10,12-16,18; 19,20</t>
  </si>
  <si>
    <t>15,5</t>
  </si>
  <si>
    <t>1-9,20; 10-14; 15-19</t>
  </si>
  <si>
    <t>HRLAEISE01</t>
  </si>
  <si>
    <t>Film &amp; the Firm: Visual Culture in Business Contexts</t>
  </si>
  <si>
    <t>18,2</t>
  </si>
  <si>
    <t>1-4,13-16; 17-18; 5-6,9-10; 7-8; 19-20; 11-12</t>
  </si>
  <si>
    <t>15, 5</t>
  </si>
  <si>
    <t>1-9,15-20; 10-14</t>
  </si>
  <si>
    <t>HRSEE02</t>
  </si>
  <si>
    <t>Strategic Career Management</t>
  </si>
  <si>
    <t>3,10-13; 1,2,4-9,14-20</t>
  </si>
  <si>
    <t>1-8, 9-20</t>
  </si>
  <si>
    <t>1-10, 11-20</t>
  </si>
  <si>
    <t>MKISE01</t>
  </si>
  <si>
    <t>AI Applications in Marketing</t>
  </si>
  <si>
    <t>10,10</t>
  </si>
  <si>
    <t>1-5, 6-10, 11-15, 16-20</t>
  </si>
  <si>
    <t>MKISE02</t>
  </si>
  <si>
    <t>SPORTS ANALYTICS</t>
  </si>
  <si>
    <t>5, 15 (Whatever is comfortable with VF)</t>
  </si>
  <si>
    <t>1-15, 16-20</t>
  </si>
  <si>
    <t>6-10,16-20; 1-5; 11-15</t>
  </si>
  <si>
    <t>6,14</t>
  </si>
  <si>
    <t>6, 6, 4, 4</t>
  </si>
  <si>
    <t>S. No.</t>
  </si>
  <si>
    <t>Roll No</t>
  </si>
  <si>
    <t>Name</t>
  </si>
  <si>
    <t>Email ID</t>
  </si>
  <si>
    <t>#Courses</t>
  </si>
  <si>
    <t>Subject 1</t>
  </si>
  <si>
    <t>Subject 2</t>
  </si>
  <si>
    <t>Subject 3</t>
  </si>
  <si>
    <t>Subject 4</t>
  </si>
  <si>
    <t>Subject 5</t>
  </si>
  <si>
    <t>A</t>
  </si>
  <si>
    <t>Aakriti Priya</t>
  </si>
  <si>
    <t>aakriti.priya24m@iimranchi.ac.in</t>
  </si>
  <si>
    <t>Aditya Kumar</t>
  </si>
  <si>
    <t>aditya.kumar24m@iimranchi.ac.in</t>
  </si>
  <si>
    <t>Akshay Vaishnav</t>
  </si>
  <si>
    <t>akshay.vaishnav24m@iimranchi.ac.in</t>
  </si>
  <si>
    <t>Alok Pandey</t>
  </si>
  <si>
    <t>alok.pandey24m@iimranchi.ac.in</t>
  </si>
  <si>
    <t>M005-24</t>
  </si>
  <si>
    <t>Alwyn Tej Kumar Toppo</t>
  </si>
  <si>
    <t>alwyn.tejkumartoppo24m@iimranchi.ac.in</t>
  </si>
  <si>
    <t>Subject 6</t>
  </si>
  <si>
    <t>M006-24</t>
  </si>
  <si>
    <t>Ananya Chhabra</t>
  </si>
  <si>
    <t>ananya.chhabra24m@iimranchi.ac.in</t>
  </si>
  <si>
    <t>Subject 7</t>
  </si>
  <si>
    <t>M007-24</t>
  </si>
  <si>
    <t>Anish Kumar</t>
  </si>
  <si>
    <t>anish.kumar24m@iimranchi.ac.in</t>
  </si>
  <si>
    <t>Subject 8</t>
  </si>
  <si>
    <t>Athulya Lal</t>
  </si>
  <si>
    <t>athulya.lal24m@iimranchi.ac.in</t>
  </si>
  <si>
    <t>Subject 9</t>
  </si>
  <si>
    <t>Charushi Darro</t>
  </si>
  <si>
    <t>charushi.darro24m@iimranchi.ac.in</t>
  </si>
  <si>
    <t>Subject 10</t>
  </si>
  <si>
    <t>M012-24</t>
  </si>
  <si>
    <t>Chaudhari Mithilesh Ramdas</t>
  </si>
  <si>
    <t>chaudhari.mithileshramdas24m@iimranchi.ac.in</t>
  </si>
  <si>
    <t>Subject 11</t>
  </si>
  <si>
    <t>Chetna</t>
  </si>
  <si>
    <t>chetna.24m@iimranchi.ac.in</t>
  </si>
  <si>
    <t>Subject 12</t>
  </si>
  <si>
    <t>M014-24</t>
  </si>
  <si>
    <t>Devangi Mohan Bhamare</t>
  </si>
  <si>
    <t>devangi.mohanbhamare24m@iimranchi.ac.in</t>
  </si>
  <si>
    <t>Subject 13</t>
  </si>
  <si>
    <t>M015-24</t>
  </si>
  <si>
    <t>Dheeraj Kashyap</t>
  </si>
  <si>
    <t>dheeraj.kashyap24m@iimranchi.ac.in</t>
  </si>
  <si>
    <t>Subject 14</t>
  </si>
  <si>
    <t>M016-24</t>
  </si>
  <si>
    <t>Divyanshu Shekhar</t>
  </si>
  <si>
    <t>divyanshu.shekhar24m@iimranchi.ac.in</t>
  </si>
  <si>
    <t>Subject 15</t>
  </si>
  <si>
    <t>Isha Jaiswal</t>
  </si>
  <si>
    <t>isha.jaiswal24m@iimranchi.ac.in</t>
  </si>
  <si>
    <t>Subject 16</t>
  </si>
  <si>
    <t>M018-24</t>
  </si>
  <si>
    <t>Ishan</t>
  </si>
  <si>
    <t>ishan.24m@iimranchi.ac.in</t>
  </si>
  <si>
    <t>Subject 17</t>
  </si>
  <si>
    <t>M019-24</t>
  </si>
  <si>
    <t>Jaivardhan S Chouhan</t>
  </si>
  <si>
    <t>jaivardhan.schouhan24m@iimranchi.ac.in</t>
  </si>
  <si>
    <t>Subject 18</t>
  </si>
  <si>
    <t>Jaskeerat Singh Khalsa</t>
  </si>
  <si>
    <t>jaskeerat.singhkhalsa24m@iimranchi.ac.in</t>
  </si>
  <si>
    <t>Subject 19</t>
  </si>
  <si>
    <t>Kartik Kumar Jain</t>
  </si>
  <si>
    <t>kartik.kumarjain24m@iimranchi.ac.in</t>
  </si>
  <si>
    <t>Subject 20</t>
  </si>
  <si>
    <t>Keya Sundeep Patel</t>
  </si>
  <si>
    <t>keya.sundeeppatel24m@iimranchi.ac.in</t>
  </si>
  <si>
    <t>Subject 21</t>
  </si>
  <si>
    <t>M024-24</t>
  </si>
  <si>
    <t>Khushi Munka</t>
  </si>
  <si>
    <t>khushi.munka24m@iimranchi.ac.in</t>
  </si>
  <si>
    <t>Subject 22</t>
  </si>
  <si>
    <t>Maanik Goyal</t>
  </si>
  <si>
    <t>maanik.goyal24m@iimranchi.ac.in</t>
  </si>
  <si>
    <t>Subject 23</t>
  </si>
  <si>
    <t>M026-24</t>
  </si>
  <si>
    <t>Madem Guru Praveen Reddy</t>
  </si>
  <si>
    <t>madem.gurupraveenreddy24m@iimranchi.ac.in</t>
  </si>
  <si>
    <t>M027-24</t>
  </si>
  <si>
    <t>Mainak Bin</t>
  </si>
  <si>
    <t>mainak.bin24m@iimranchi.ac.in</t>
  </si>
  <si>
    <t>Minakshi Mawari</t>
  </si>
  <si>
    <t>minakshi.mawari24m@iimranchi.ac.in</t>
  </si>
  <si>
    <t>Mohit P R</t>
  </si>
  <si>
    <t>mohit.pr24m@iimranchi.ac.in</t>
  </si>
  <si>
    <t>M031-24</t>
  </si>
  <si>
    <t>Morajker Manthaj Ramdas</t>
  </si>
  <si>
    <t>morajker.manthajramdas24m@iimranchi.ac.in</t>
  </si>
  <si>
    <t>M032-24</t>
  </si>
  <si>
    <t>Nalin Suriya S</t>
  </si>
  <si>
    <t>nalin.suriyas24m@iimranchi.ac.in</t>
  </si>
  <si>
    <t>Naman Khokhar</t>
  </si>
  <si>
    <t>naman.khokhar24m@iimranchi.ac.in</t>
  </si>
  <si>
    <t>Namit Kaur</t>
  </si>
  <si>
    <t>namit.kaur24m@iimranchi.ac.in</t>
  </si>
  <si>
    <t>M035-24</t>
  </si>
  <si>
    <t>Pallavi Kumari</t>
  </si>
  <si>
    <t>pallavi.kumari24m@iimranchi.ac.in</t>
  </si>
  <si>
    <t>M036-24</t>
  </si>
  <si>
    <t>Pavuluri Bala Bharath Kumar</t>
  </si>
  <si>
    <t>pavuluri.balabharathkumar24m@iimranchi.ac.in</t>
  </si>
  <si>
    <t>Piyush Agarwal</t>
  </si>
  <si>
    <t>piyush.agarwal24m@iimranchi.ac.in</t>
  </si>
  <si>
    <t>M038-24</t>
  </si>
  <si>
    <t>Pragati Shreya Keshri</t>
  </si>
  <si>
    <t>pragati.shreyakeshri24m@iimranchi.ac.in</t>
  </si>
  <si>
    <t>Pratyush Kumar</t>
  </si>
  <si>
    <t>pratyush.kumar24m@iimranchi.ac.in</t>
  </si>
  <si>
    <t>M040-24</t>
  </si>
  <si>
    <t>Prerna Sundrani</t>
  </si>
  <si>
    <t>prerna.sundrani24m@iimranchi.ac.in</t>
  </si>
  <si>
    <t>M041-24</t>
  </si>
  <si>
    <t>Raghavi Sharma</t>
  </si>
  <si>
    <t>raghavi.sharma24m@iimranchi.ac.in</t>
  </si>
  <si>
    <t>Raghul G</t>
  </si>
  <si>
    <t>raghul.g24m@iimranchi.ac.in</t>
  </si>
  <si>
    <t>M043-24</t>
  </si>
  <si>
    <t>Rashim Verma</t>
  </si>
  <si>
    <t>rashim.verma24m@iimranchi.ac.in</t>
  </si>
  <si>
    <t>Ritika Chandel</t>
  </si>
  <si>
    <t>ritika.chandel24m@iimranchi.ac.in</t>
  </si>
  <si>
    <t>M045-24</t>
  </si>
  <si>
    <t>Rohit Kori</t>
  </si>
  <si>
    <t>rohit.kori24m@iimranchi.ac.in</t>
  </si>
  <si>
    <t>M046-24</t>
  </si>
  <si>
    <t>Rumani</t>
  </si>
  <si>
    <t>rumani.24m@iimranchi.ac.in</t>
  </si>
  <si>
    <t>Sachin Kumar</t>
  </si>
  <si>
    <t>sachin.kumar24m@iimranchi.ac.in</t>
  </si>
  <si>
    <t>M048-24</t>
  </si>
  <si>
    <t>Sanath Yesurke</t>
  </si>
  <si>
    <t>sanath.yesurke24m@iimranchi.ac.in</t>
  </si>
  <si>
    <t>Sanjana Sarraf</t>
  </si>
  <si>
    <t>sanjana.sarraf24m@iimranchi.ac.in</t>
  </si>
  <si>
    <t>M051-24</t>
  </si>
  <si>
    <t>Shipra Yadav</t>
  </si>
  <si>
    <t>shipra.yadav24m@iimranchi.ac.in</t>
  </si>
  <si>
    <t>M052-24</t>
  </si>
  <si>
    <t>Vaibhav Chauhan</t>
  </si>
  <si>
    <t>vaibhav.chauhan24m@iimranchi.ac.in</t>
  </si>
  <si>
    <t>M053-24</t>
  </si>
  <si>
    <t>Vijay Singh Bhadauria</t>
  </si>
  <si>
    <t>vijay.singhbhadauria24m@iimranchi.ac.in</t>
  </si>
  <si>
    <t>M055-24</t>
  </si>
  <si>
    <t>Yash Kumar</t>
  </si>
  <si>
    <t>yash.kumar24m@iimranchi.ac.in</t>
  </si>
  <si>
    <t>M186-23</t>
  </si>
  <si>
    <t>Nisha Vishwakarma</t>
  </si>
  <si>
    <t>nisha.vishwakarma23@iimranchi.ac.in</t>
  </si>
  <si>
    <t>Aditi Agrawal</t>
  </si>
  <si>
    <t>aditi.agrawali21@iimranchi.ac.in</t>
  </si>
  <si>
    <t>IPM067-21</t>
  </si>
  <si>
    <t>Apurva Walase</t>
  </si>
  <si>
    <t>apurvahanumant.walaseI21@iimranchi.ac.in</t>
  </si>
  <si>
    <t>Ayush Singh</t>
  </si>
  <si>
    <t>ayush.singhi21@iimranchi.ac.in</t>
  </si>
  <si>
    <t>IPM015-21</t>
  </si>
  <si>
    <t>Debasish Sethi</t>
  </si>
  <si>
    <t>debasish.sethiI21@iimranchi.ac.in</t>
  </si>
  <si>
    <t>IPM016-21</t>
  </si>
  <si>
    <t>Dharvi Gond</t>
  </si>
  <si>
    <t>dharvi.gondi21@iimranchi.ac.in</t>
  </si>
  <si>
    <t>IPM076-21</t>
  </si>
  <si>
    <t>Gurjot Singh</t>
  </si>
  <si>
    <t>gurjot.singhi21@iimranchi.ac.in</t>
  </si>
  <si>
    <t>IPM020-21</t>
  </si>
  <si>
    <t>Ishika Rai</t>
  </si>
  <si>
    <t>ishika.raii21@iimranchi.ac.in</t>
  </si>
  <si>
    <t>K Rohan Raj Kumar</t>
  </si>
  <si>
    <t>rohan.rajkumarI21@iimranchi.ac.in</t>
  </si>
  <si>
    <t>Nehal Pandey</t>
  </si>
  <si>
    <t>nehal.pandeyI21@iimranchi.ac.in</t>
  </si>
  <si>
    <t>Prajawal Singh</t>
  </si>
  <si>
    <t>prajawal.singhi21@iimranchi.ac.in</t>
  </si>
  <si>
    <t>IPM097-21</t>
  </si>
  <si>
    <t>Rithika O</t>
  </si>
  <si>
    <t>rithika.oi21@iimranchi.ac.in</t>
  </si>
  <si>
    <t>Sahel Sajid</t>
  </si>
  <si>
    <t>sahel.sajidi21@iimranchi.ac.in</t>
  </si>
  <si>
    <t>IPM044-21</t>
  </si>
  <si>
    <t>Shreya Agrawal</t>
  </si>
  <si>
    <t>shreya.agrawali21@iimranchi.ac.in</t>
  </si>
  <si>
    <t>Tusshar Raj Sinha</t>
  </si>
  <si>
    <t>tussharraj.sinhai21@iimranchi.ac.in</t>
  </si>
  <si>
    <t>Riya Kaushal</t>
  </si>
  <si>
    <t>riya.kaushal23@iimranchi.ac.in</t>
  </si>
  <si>
    <t>Suchismita Saha</t>
  </si>
  <si>
    <t>suchismita.saha23@iimranchi.ac.in</t>
  </si>
  <si>
    <t>B</t>
  </si>
  <si>
    <t>M056-24</t>
  </si>
  <si>
    <t>Aashay Jain</t>
  </si>
  <si>
    <t>aashay.jain24m@iimranchi.ac.in</t>
  </si>
  <si>
    <t>Abhinav Samavedam</t>
  </si>
  <si>
    <t>abhinav.samavedam24m@iimranchi.ac.in</t>
  </si>
  <si>
    <t>Abhinav Yadav</t>
  </si>
  <si>
    <t>abhinav.yadav24m@iimranchi.ac.in</t>
  </si>
  <si>
    <t>M060-24</t>
  </si>
  <si>
    <t>Anandita</t>
  </si>
  <si>
    <t>anandita.24m@iimranchi.ac.in</t>
  </si>
  <si>
    <t>Aparna Premanand</t>
  </si>
  <si>
    <t>aparna.premanand24m@iimranchi.ac.in</t>
  </si>
  <si>
    <t>M064-24</t>
  </si>
  <si>
    <t>Athish C K</t>
  </si>
  <si>
    <t>athish.ck24m@iimranchi.ac.in</t>
  </si>
  <si>
    <t>Bavisi Joy Gaurang</t>
  </si>
  <si>
    <t>bavisi.joygaurang24m@iimranchi.ac.in</t>
  </si>
  <si>
    <t>M066-24</t>
  </si>
  <si>
    <t>Bhosale Aditya Ashok</t>
  </si>
  <si>
    <t>bhosale.adityaashok24m@iimranchi.ac.in</t>
  </si>
  <si>
    <t>M067-24</t>
  </si>
  <si>
    <t>Bhumi Kalpesh Shah</t>
  </si>
  <si>
    <t>bhumi.kalpeshshah24m@iimranchi.ac.in</t>
  </si>
  <si>
    <t>Chandrabhanu</t>
  </si>
  <si>
    <t>chandrabhanu.24m@iimranchi.ac.in</t>
  </si>
  <si>
    <t>M069-24</t>
  </si>
  <si>
    <t>Daware Suyash Satish</t>
  </si>
  <si>
    <t>daware.suyashsatish24m@iimranchi.ac.in</t>
  </si>
  <si>
    <t>M070-24</t>
  </si>
  <si>
    <t>Dharaiya Dev Rajeshbhai</t>
  </si>
  <si>
    <t>dharaiya.devrajeshbhai24m@iimranchi.ac.in</t>
  </si>
  <si>
    <t>M071-24</t>
  </si>
  <si>
    <t>Gaurisha Divyanshi</t>
  </si>
  <si>
    <t>gaurisha.divyanshi24m@iimranchi.ac.in</t>
  </si>
  <si>
    <t>M072-24</t>
  </si>
  <si>
    <t>Hemang Dhamija</t>
  </si>
  <si>
    <t>hemang.dhamija24m@iimranchi.ac.in</t>
  </si>
  <si>
    <t>M073-24</t>
  </si>
  <si>
    <t>Isaac Chunglianthawnga</t>
  </si>
  <si>
    <t>isaac.chunglianthawnga24m@iimranchi.ac.in</t>
  </si>
  <si>
    <t>M074-24</t>
  </si>
  <si>
    <t>Ishika Parasrampuria</t>
  </si>
  <si>
    <t>ishika.parasrampuria24m@iimranchi.ac.in</t>
  </si>
  <si>
    <t>Jaspreet Kaur Bhatia</t>
  </si>
  <si>
    <t>jaspreet.kaurbhatia24m@iimranchi.ac.in</t>
  </si>
  <si>
    <t>M076-24</t>
  </si>
  <si>
    <t>Jyoti Kumari</t>
  </si>
  <si>
    <t>jyoti.kumari24m@iimranchi.ac.in</t>
  </si>
  <si>
    <t>M077-24</t>
  </si>
  <si>
    <t>Kanakdyuti Roy</t>
  </si>
  <si>
    <t>kanakdyuti.roy24m@iimranchi.ac.in</t>
  </si>
  <si>
    <t>Keshav Jawa</t>
  </si>
  <si>
    <t>keshav.jawa24m@iimranchi.ac.in</t>
  </si>
  <si>
    <t>Meena Choudhary</t>
  </si>
  <si>
    <t>meena.choudhary24m@iimranchi.ac.in</t>
  </si>
  <si>
    <t>M083-24</t>
  </si>
  <si>
    <t>Nevin Joseph</t>
  </si>
  <si>
    <t>nevin.joseph24m@iimranchi.ac.in</t>
  </si>
  <si>
    <t>M084-24</t>
  </si>
  <si>
    <t>P Shreya Sarbani</t>
  </si>
  <si>
    <t>p.shreyasarbani24m@iimranchi.ac.in</t>
  </si>
  <si>
    <t>Piyush Yadav</t>
  </si>
  <si>
    <t>piyush.yadav24m@iimranchi.ac.in</t>
  </si>
  <si>
    <t>Raksha Rajesh Prabhu</t>
  </si>
  <si>
    <t>raksha.rajeshprabhu24m@iimranchi.ac.in</t>
  </si>
  <si>
    <t>M090-24</t>
  </si>
  <si>
    <t>Ritika Adhikary</t>
  </si>
  <si>
    <t>ritika.adhikary24m@iimranchi.ac.in</t>
  </si>
  <si>
    <t>Rohan Kumar</t>
  </si>
  <si>
    <t>rohan.kumar24m@iimranchi.ac.in</t>
  </si>
  <si>
    <t>M093-24</t>
  </si>
  <si>
    <t>Rushiraj Nawale</t>
  </si>
  <si>
    <t>rushiraj.nawale24m@iimranchi.ac.in</t>
  </si>
  <si>
    <t>M095-24</t>
  </si>
  <si>
    <t>Sandeep Kumar</t>
  </si>
  <si>
    <t>sandeep.kumar24m@iimranchi.ac.in</t>
  </si>
  <si>
    <t>M096-24</t>
  </si>
  <si>
    <t>Sanyukta Paul</t>
  </si>
  <si>
    <t>sanyukta.paul24m@iimranchi.ac.in</t>
  </si>
  <si>
    <t>M097-24</t>
  </si>
  <si>
    <t>Shravani Ashish Maiskar</t>
  </si>
  <si>
    <t>shravani.ashishmaiskar24m@iimranchi.ac.in</t>
  </si>
  <si>
    <t>M098-24</t>
  </si>
  <si>
    <t>Shrehal Singh</t>
  </si>
  <si>
    <t>shrehal.singh24m@iimranchi.ac.in</t>
  </si>
  <si>
    <t>Shreya Sinha</t>
  </si>
  <si>
    <t>shreya.sinha24m@iimranchi.ac.in</t>
  </si>
  <si>
    <t>M101-24</t>
  </si>
  <si>
    <t>Smith Raj</t>
  </si>
  <si>
    <t>smith.raj24m@iimranchi.ac.in</t>
  </si>
  <si>
    <t>M102-24</t>
  </si>
  <si>
    <t>Sonawane Sagar Nitin</t>
  </si>
  <si>
    <t>sonawane.sagarnitin24m@iimranchi.ac.in</t>
  </si>
  <si>
    <t>Sreyoshi Gope</t>
  </si>
  <si>
    <t>sreyoshi.gope24m@iimranchi.ac.in</t>
  </si>
  <si>
    <t>M104-24</t>
  </si>
  <si>
    <t>Subhadip Das</t>
  </si>
  <si>
    <t>subhadip.das24m@iimranchi.ac.in</t>
  </si>
  <si>
    <t>M105-24</t>
  </si>
  <si>
    <t>Tanisha Kumari</t>
  </si>
  <si>
    <t>tanisha.kumari24m@iimranchi.ac.in</t>
  </si>
  <si>
    <t>M106-24</t>
  </si>
  <si>
    <t>Tanmay Agarwal</t>
  </si>
  <si>
    <t>tanmay.agarwal24m@iimranchi.ac.in</t>
  </si>
  <si>
    <t>M107-24</t>
  </si>
  <si>
    <t>Tanya Sai</t>
  </si>
  <si>
    <t>tanya.sai24m@iimranchi.ac.in</t>
  </si>
  <si>
    <t>Varun Mittal</t>
  </si>
  <si>
    <t>varun.mittal24m@iimranchi.ac.in</t>
  </si>
  <si>
    <t>M270-24</t>
  </si>
  <si>
    <t>Krishna Kumar Ganjhu</t>
  </si>
  <si>
    <t>krishna.kumarganjhu24m@iimranchi.ac.in</t>
  </si>
  <si>
    <t>IPM063-21</t>
  </si>
  <si>
    <t>Aditi Kulkarni</t>
  </si>
  <si>
    <t>aditijitendra.kulkarniI21@iimranchi.ac.in</t>
  </si>
  <si>
    <t>IPM006-21</t>
  </si>
  <si>
    <t>Aditi Singh Thakur</t>
  </si>
  <si>
    <t>aditisingh.thakuri21@iimranchi.ac.in</t>
  </si>
  <si>
    <t>IPM008-21</t>
  </si>
  <si>
    <t>Akansh Karthikeyan B</t>
  </si>
  <si>
    <t>akansh.karthikeyanI21@iimranchi.ac.in</t>
  </si>
  <si>
    <t>IPM072-21</t>
  </si>
  <si>
    <t>Bhumika Dwivedi</t>
  </si>
  <si>
    <t>bhumika.dwivedii21@iimranchi.ac.in</t>
  </si>
  <si>
    <t>IPM078-21</t>
  </si>
  <si>
    <t>J J Jayaesh Dharma</t>
  </si>
  <si>
    <t>jayaesh.dharmai21@iimranchi.ac.in</t>
  </si>
  <si>
    <t>IPM085-21</t>
  </si>
  <si>
    <t>Kinshuhh Khari</t>
  </si>
  <si>
    <t>kinshuhh.kharii21@iimranchi.ac.in</t>
  </si>
  <si>
    <t>Mohammad Adil Mustafa</t>
  </si>
  <si>
    <t>mohammadadil.mustafai21@iimranchi.ac.in</t>
  </si>
  <si>
    <t>IPM088-21</t>
  </si>
  <si>
    <t>Nameera Ali</t>
  </si>
  <si>
    <t>nameera.alii21@iimranchi.ac.in</t>
  </si>
  <si>
    <t>IPM033-21</t>
  </si>
  <si>
    <t>Poorva Jain</t>
  </si>
  <si>
    <t>poorva.jaini21@iimranchi.ac.in</t>
  </si>
  <si>
    <t>IPM040-21</t>
  </si>
  <si>
    <t>Sahil Solanki</t>
  </si>
  <si>
    <t>sahil.solankii21@iimranchi.ac.in</t>
  </si>
  <si>
    <t>IPM105-21</t>
  </si>
  <si>
    <t>Saptarshi Das</t>
  </si>
  <si>
    <t>saptarshi.dasi21@iimranchi.ac.in</t>
  </si>
  <si>
    <t>IPM048-21</t>
  </si>
  <si>
    <t>Siddharth Tyagi</t>
  </si>
  <si>
    <t>siddharth.tyagii21@iimranchi.ac.in</t>
  </si>
  <si>
    <t>IPM056-21</t>
  </si>
  <si>
    <t>Vinay Datta Janga</t>
  </si>
  <si>
    <t>vinaydatta.jangai21@iimranchi.ac.in</t>
  </si>
  <si>
    <t>IPM059-21</t>
  </si>
  <si>
    <t>Yashika Yadav</t>
  </si>
  <si>
    <t>yashika.yadavi21@iimranchi.ac.in</t>
  </si>
  <si>
    <t>IPM060-21</t>
  </si>
  <si>
    <t>Yogita Tewatiya</t>
  </si>
  <si>
    <t>Yogita.tewatiyai21@iimranchi.ac.in</t>
  </si>
  <si>
    <t>M034-23</t>
  </si>
  <si>
    <t>Sourav Kerketta</t>
  </si>
  <si>
    <t>sourav.kerketta23@iimranchi.ac.in</t>
  </si>
  <si>
    <t>M099-23</t>
  </si>
  <si>
    <t>Amos Ruangmel</t>
  </si>
  <si>
    <t>amos.ruangmei23@iimranchi.ac.in</t>
  </si>
  <si>
    <t>M125-23</t>
  </si>
  <si>
    <t>Dharavath Priyanka</t>
  </si>
  <si>
    <t>dharavath.priyanka23@iimranchi.ac.in</t>
  </si>
  <si>
    <t>M171-23</t>
  </si>
  <si>
    <t>Abhinav Seth</t>
  </si>
  <si>
    <t>abhinav.seth23@iimranchi.ac.in</t>
  </si>
  <si>
    <t>Malatesh Valmiki</t>
  </si>
  <si>
    <t>malatesh.valmiki23@iimranchi.ac.in</t>
  </si>
  <si>
    <t>M208-23</t>
  </si>
  <si>
    <t>Prajwal Tirkey</t>
  </si>
  <si>
    <t>prajwal.tirkey23@iimranchi.ac.in</t>
  </si>
  <si>
    <t>M244-23</t>
  </si>
  <si>
    <t>Aditya Rai</t>
  </si>
  <si>
    <t>aditya.rai23@iimranchi.ac.in</t>
  </si>
  <si>
    <t>C</t>
  </si>
  <si>
    <t>M110-24</t>
  </si>
  <si>
    <t>Aditya Ashok Vaishnav</t>
  </si>
  <si>
    <t xml:space="preserve">aditya.ashokvaishnav24m@iimranchi.ac.in
</t>
  </si>
  <si>
    <t>M111-24</t>
  </si>
  <si>
    <t>Afaqu Hyder</t>
  </si>
  <si>
    <t>afaqu.hyder24m@iimranchi.ac.in</t>
  </si>
  <si>
    <t>M112-24</t>
  </si>
  <si>
    <t>Agrim Khurana</t>
  </si>
  <si>
    <t>agrim.khurana24m@iimranchi.ac.in</t>
  </si>
  <si>
    <t>M113-24</t>
  </si>
  <si>
    <t>Aman</t>
  </si>
  <si>
    <t>aman.24m@iimranchi.ac.in</t>
  </si>
  <si>
    <t>M114-24</t>
  </si>
  <si>
    <t>Amrit Tripathy</t>
  </si>
  <si>
    <t>amrit.tripathy24m@iimranchi.ac.in</t>
  </si>
  <si>
    <t>Ananya Singh</t>
  </si>
  <si>
    <t>ananya.singh24m@iimranchi.ac.in</t>
  </si>
  <si>
    <t>M116-24</t>
  </si>
  <si>
    <t>Ankita Shaw</t>
  </si>
  <si>
    <t xml:space="preserve">ankita.shaw24m@iimranchi.ac.in
</t>
  </si>
  <si>
    <t>M118-24</t>
  </si>
  <si>
    <t>Ashish Yadav</t>
  </si>
  <si>
    <t>ashish.yadav24m@iimranchi.ac.in</t>
  </si>
  <si>
    <t>M120-24</t>
  </si>
  <si>
    <t>Digvijay Choudhary</t>
  </si>
  <si>
    <t>digvijay.choudhary24m@iimranchi.ac.in</t>
  </si>
  <si>
    <t>Gajakosh Yash Deepak</t>
  </si>
  <si>
    <t>gajakosh.yashdeepak24m@iimranchi.ac.in</t>
  </si>
  <si>
    <t>M122-24</t>
  </si>
  <si>
    <t>Ghowshic Raghul A A</t>
  </si>
  <si>
    <t>ghowshic.raghulaa24m@iimranchi.ac.in</t>
  </si>
  <si>
    <t>Himanshi Agarwal</t>
  </si>
  <si>
    <t>himanshi.agarwal24m@iimranchi.ac.in</t>
  </si>
  <si>
    <t>M124-24</t>
  </si>
  <si>
    <t>Ingale Sudhir Subhash</t>
  </si>
  <si>
    <t>ingale.sudhirsubhash24m@iimranchi.ac.in</t>
  </si>
  <si>
    <t>M125-24</t>
  </si>
  <si>
    <t>Jai Parkash</t>
  </si>
  <si>
    <t>jai.parkash24m@iimranchi.ac.in</t>
  </si>
  <si>
    <t>Kaustub Ratna Sinha</t>
  </si>
  <si>
    <t>kaustub.ratnasinha24m@iimranchi.ac.in</t>
  </si>
  <si>
    <t>M127-24</t>
  </si>
  <si>
    <t>Kethavath Sai Abhilash Naik</t>
  </si>
  <si>
    <t>kethavath.saiabhilashnaik24m@iimranchi.ac.in</t>
  </si>
  <si>
    <t>Lakshita Singh</t>
  </si>
  <si>
    <t>lakshita.singh24m@iimranchi.ac.in</t>
  </si>
  <si>
    <t>lakshita.singh124m@iimranchi.ac.in</t>
  </si>
  <si>
    <t>Mohammed Sajid C G</t>
  </si>
  <si>
    <t>mohammed.sajidcg24m@iimranchi.ac.in</t>
  </si>
  <si>
    <t>M131-24</t>
  </si>
  <si>
    <t>Mr. Harsh Ravindra Pataskar</t>
  </si>
  <si>
    <t>mr.harshravindrapataskar24m@iimranchi.ac.in</t>
  </si>
  <si>
    <t>M132-24</t>
  </si>
  <si>
    <t>Mrinal Kanti Saha</t>
  </si>
  <si>
    <t>mrinal.kantisaha24m@iimranchi.ac.in</t>
  </si>
  <si>
    <t>M133-24</t>
  </si>
  <si>
    <t>Nikhil Gupta</t>
  </si>
  <si>
    <t>nikhil.gupta24m@iimranchi.ac.in</t>
  </si>
  <si>
    <t>M134-24</t>
  </si>
  <si>
    <t>P K Ananya</t>
  </si>
  <si>
    <t>p.kananya24m@iimranchi.ac.in</t>
  </si>
  <si>
    <t>Pandey Anubha Vipdanand</t>
  </si>
  <si>
    <t>pandey.anubhavipdanand24m@iimranchi.ac.in</t>
  </si>
  <si>
    <t>Priteedevi Yadav</t>
  </si>
  <si>
    <t>priteedevi.yadav24m@iimranchi.ac.in</t>
  </si>
  <si>
    <t>Priyal Jain</t>
  </si>
  <si>
    <t>priyal.jain24m@iimranchi.ac.in</t>
  </si>
  <si>
    <t>M138-24</t>
  </si>
  <si>
    <t>Priyasha Gupta</t>
  </si>
  <si>
    <t>priyasha.gupta24m@iimranchi.ac.in</t>
  </si>
  <si>
    <t>M139-24</t>
  </si>
  <si>
    <t>Puneeth Raj Kr</t>
  </si>
  <si>
    <t>puneeth.rajkr24m@iimranchi.ac.in</t>
  </si>
  <si>
    <t>M140-24</t>
  </si>
  <si>
    <t>Rahul Shekhawat</t>
  </si>
  <si>
    <t>rahul.shekhawat24m@iimranchi.ac.in</t>
  </si>
  <si>
    <t>Rashmi Raj</t>
  </si>
  <si>
    <t>rashmi.raj24m@iimranchi.ac.in</t>
  </si>
  <si>
    <t>M142-24</t>
  </si>
  <si>
    <t>Raut Gaurav Babulal</t>
  </si>
  <si>
    <t>raut.gauravbabulal24m@iimranchi.ac.in</t>
  </si>
  <si>
    <t>M143-24</t>
  </si>
  <si>
    <t>Rishabh Singh</t>
  </si>
  <si>
    <t>rishabh.singh24m@iimranchi.ac.in</t>
  </si>
  <si>
    <t>M144-24</t>
  </si>
  <si>
    <t>Ruchi Mittal</t>
  </si>
  <si>
    <t>ruchi.mittal24m@iimranchi.ac.in</t>
  </si>
  <si>
    <t>Runu Rani Gayary</t>
  </si>
  <si>
    <t>runu.ranigayary24m@iimranchi.ac.in</t>
  </si>
  <si>
    <t>Rupal Massey</t>
  </si>
  <si>
    <t>rupal.massey24m@iimranchi.ac.in</t>
  </si>
  <si>
    <t>Sahil Gupta</t>
  </si>
  <si>
    <t>sahil.gupta24m@iimranchi.ac.in</t>
  </si>
  <si>
    <t>M149-24</t>
  </si>
  <si>
    <t>Samridhi Sinha</t>
  </si>
  <si>
    <t>samridhi.sinha24m@iimranchi.ac.in</t>
  </si>
  <si>
    <t>M150-24</t>
  </si>
  <si>
    <t>Sanyam Jaiswal</t>
  </si>
  <si>
    <t>sanyam.jaiswal24m@iimranchi.ac.in</t>
  </si>
  <si>
    <t>Saumya Darshan</t>
  </si>
  <si>
    <t>saumya.darshan24m@iimranchi.ac.in</t>
  </si>
  <si>
    <t>M152-24</t>
  </si>
  <si>
    <t>Sejal Taori</t>
  </si>
  <si>
    <t>sejal.taori24m@iimranchi.ac.in</t>
  </si>
  <si>
    <t>M153-24</t>
  </si>
  <si>
    <t>Shalini Singh</t>
  </si>
  <si>
    <t>shalini.singh24m@iimranchi.ac.in</t>
  </si>
  <si>
    <t>M154-24</t>
  </si>
  <si>
    <t>Shambhavi Upadhyay</t>
  </si>
  <si>
    <t>shambhavi.upadhyay24m@iimranchi.ac.in</t>
  </si>
  <si>
    <t>M155-24</t>
  </si>
  <si>
    <t>Shaurya Singhal</t>
  </si>
  <si>
    <t>shaurya.singhal24m@iimranchi.ac.in</t>
  </si>
  <si>
    <t>M157-24</t>
  </si>
  <si>
    <t>Siddharth Fernandes</t>
  </si>
  <si>
    <t>siddharth.fernandes24m@iimranchi.ac.in</t>
  </si>
  <si>
    <t>M159-24</t>
  </si>
  <si>
    <t>Sonam Yangdup Bhutia</t>
  </si>
  <si>
    <t>sonam.yangdupbhutia24m@iimranchi.ac.in</t>
  </si>
  <si>
    <t>Tavisha Tyagi</t>
  </si>
  <si>
    <t>tavisha.tyagi24m@iimranchi.ac.in</t>
  </si>
  <si>
    <t>M162-24</t>
  </si>
  <si>
    <t>Tejswi Raj</t>
  </si>
  <si>
    <t>tejswi.raj24m@iimranchi.ac.in</t>
  </si>
  <si>
    <t>M163-24</t>
  </si>
  <si>
    <t>Vandit Mehta</t>
  </si>
  <si>
    <t>vandit.mehta24m@iimranchi.ac.in</t>
  </si>
  <si>
    <t>M271-24</t>
  </si>
  <si>
    <t>Harshit Kumar</t>
  </si>
  <si>
    <t>harshit.kumar24m@iimranchi.ac.in</t>
  </si>
  <si>
    <t>IPM062-21</t>
  </si>
  <si>
    <t>Aaryaka Mal</t>
  </si>
  <si>
    <t>aaryaka.mali21@iimranchi.ac.in</t>
  </si>
  <si>
    <t>IPM011-21</t>
  </si>
  <si>
    <t>Anwesa Apoorva</t>
  </si>
  <si>
    <t>anwesa.i21@iimranchi.ac.in</t>
  </si>
  <si>
    <t>Bhavya Singla</t>
  </si>
  <si>
    <t>bhavya.singlai21@iimranchi.ac.in</t>
  </si>
  <si>
    <t>IPM071-21</t>
  </si>
  <si>
    <t>Bhavya Yadav</t>
  </si>
  <si>
    <t>bhavya.yadavi21@iimranchi.ac.in</t>
  </si>
  <si>
    <t>IPM073-21</t>
  </si>
  <si>
    <t>Deon Paul</t>
  </si>
  <si>
    <t>deon.pauli21@iimranchi.ac.in</t>
  </si>
  <si>
    <t>IPM017-21</t>
  </si>
  <si>
    <t>Gavidi Leela Pranathi</t>
  </si>
  <si>
    <t>gavidileela.pranathii21@iimranchi.ac.in</t>
  </si>
  <si>
    <t>IPM077-21</t>
  </si>
  <si>
    <t>Hardik Sharma</t>
  </si>
  <si>
    <t>hardik.sharmai21@iimranchi.ac.in</t>
  </si>
  <si>
    <t>IPM080-21</t>
  </si>
  <si>
    <t>Jayeeta Halder</t>
  </si>
  <si>
    <t>jayeeta.halderi21@iimranchi.ac.in</t>
  </si>
  <si>
    <t>IPM099-21</t>
  </si>
  <si>
    <t>Riya Gupta</t>
  </si>
  <si>
    <t>riya.guptai21@iimranchi.ac.in</t>
  </si>
  <si>
    <t>Sarthak Mohari</t>
  </si>
  <si>
    <t>sarthak.moharii21@iimranchi.ac.in</t>
  </si>
  <si>
    <t>Shrikant Anil Ambhore</t>
  </si>
  <si>
    <t>shrikantanil.ambhorei21@iimranchi.ac.in</t>
  </si>
  <si>
    <t>Sonmaya Suvransu Sekhar Nayak</t>
  </si>
  <si>
    <t>sonmayasuvransusekhar.nayaki21@iimranchi.ac.in</t>
  </si>
  <si>
    <t>Suryansh Kumar</t>
  </si>
  <si>
    <t>suryansh.kumari21@iimranchi.ac.in</t>
  </si>
  <si>
    <t>Suyashree Baghele</t>
  </si>
  <si>
    <t>suyashree.baghelei21@iimranchi.ac.in</t>
  </si>
  <si>
    <t>IPM057-21</t>
  </si>
  <si>
    <t>Yaman Gupta</t>
  </si>
  <si>
    <t>yaman.guptai21@iimranchi.ac.in</t>
  </si>
  <si>
    <t>D</t>
  </si>
  <si>
    <t>M164-24</t>
  </si>
  <si>
    <t>A Chandini</t>
  </si>
  <si>
    <t>a.chandini24m@iimranchi.ac.in</t>
  </si>
  <si>
    <t>M165-24</t>
  </si>
  <si>
    <t>Aditi Wavare</t>
  </si>
  <si>
    <t>aditi.wavare24m@iimranchi.ac.in</t>
  </si>
  <si>
    <t>M166-24</t>
  </si>
  <si>
    <t>Aishwarya Jeggan</t>
  </si>
  <si>
    <t>aishwarya.jeggan24m@iimranchi.ac.in</t>
  </si>
  <si>
    <t>Akhil Kumar Goyal</t>
  </si>
  <si>
    <t>akhil.kumargoyal24m@iimranchi.ac.in</t>
  </si>
  <si>
    <t>Alyn Biju Sahariya S</t>
  </si>
  <si>
    <t>alyn.bijusahariyas24m@iimranchi.ac.in</t>
  </si>
  <si>
    <t>M170-24</t>
  </si>
  <si>
    <t>Amisha Ekka</t>
  </si>
  <si>
    <t>amisha.ekka24m@iimranchi.ac.in</t>
  </si>
  <si>
    <t>Amit Kumar Pushkar</t>
  </si>
  <si>
    <t>amit.kumarpushkar24m@iimranchi.ac.in</t>
  </si>
  <si>
    <t>M172-24</t>
  </si>
  <si>
    <t>Ankita Sharma</t>
  </si>
  <si>
    <t>ankita.sharma24m@iimranchi.ac.in</t>
  </si>
  <si>
    <t>Anurag Raj</t>
  </si>
  <si>
    <t>anurag.raj24m@iimranchi.ac.in</t>
  </si>
  <si>
    <t>M174-24</t>
  </si>
  <si>
    <t>Anvesha Jain</t>
  </si>
  <si>
    <t>anvesha.jain24m@iimranchi.ac.in</t>
  </si>
  <si>
    <t>Archita Jain</t>
  </si>
  <si>
    <t>archita.jain24m@iimranchi.ac.in</t>
  </si>
  <si>
    <t>M176-24</t>
  </si>
  <si>
    <t>Arijit Barua</t>
  </si>
  <si>
    <t>arijit.barua24m@iimranchi.ac.in</t>
  </si>
  <si>
    <t>Arunjyoti Kalita</t>
  </si>
  <si>
    <t>arunjyoti.kalita24m@iimranchi.ac.in</t>
  </si>
  <si>
    <t>Ashish Kumar</t>
  </si>
  <si>
    <t>ashish.kumar24m@iimranchi.ac.in</t>
  </si>
  <si>
    <t>M180-24</t>
  </si>
  <si>
    <t>Bhavyaa Aggarwal</t>
  </si>
  <si>
    <t>bhavyaa.aggarwal24m@iimranchi.ac.in</t>
  </si>
  <si>
    <t>M182-24</t>
  </si>
  <si>
    <t>Debolina Mitra</t>
  </si>
  <si>
    <t>debolina.mitra24m@iimranchi.ac.in</t>
  </si>
  <si>
    <t>M184-24</t>
  </si>
  <si>
    <t>Gurjit Sagar V</t>
  </si>
  <si>
    <t>gurjit.sagarv24m@iimranchi.ac.in</t>
  </si>
  <si>
    <t>M185-24</t>
  </si>
  <si>
    <t>Hansraj Ojha</t>
  </si>
  <si>
    <t>hansraj.ojha24m@iimranchi.ac.in</t>
  </si>
  <si>
    <t>Harsh Chourasia</t>
  </si>
  <si>
    <t>harsh.chourasia24m@iimranchi.ac.in</t>
  </si>
  <si>
    <t>Ishita</t>
  </si>
  <si>
    <t>ishita.24m@iimranchi.ac.in</t>
  </si>
  <si>
    <t>M189-24</t>
  </si>
  <si>
    <t>Jatin Jain S</t>
  </si>
  <si>
    <t>jatin.jains24m@iimranchi.ac.in</t>
  </si>
  <si>
    <t>K Z Khadeeja Zuhaira</t>
  </si>
  <si>
    <t>k.zkhadeejazuhaira24m@iimranchi.ac.in</t>
  </si>
  <si>
    <t>Kunal Sejkar</t>
  </si>
  <si>
    <t>kunal.sejkar24m@iimranchi.ac.in</t>
  </si>
  <si>
    <t>Lakshya Joshi</t>
  </si>
  <si>
    <t>lakshya.joshi24m@iimranchi.ac.in</t>
  </si>
  <si>
    <t>M193-24</t>
  </si>
  <si>
    <t>Manas Singh</t>
  </si>
  <si>
    <t>manas.singh24m@iimranchi.ac.in</t>
  </si>
  <si>
    <t>M194-24</t>
  </si>
  <si>
    <t>Mehul Talreja</t>
  </si>
  <si>
    <t>mehul.talreja24m@iimranchi.ac.in</t>
  </si>
  <si>
    <t>Nabil Nazaru</t>
  </si>
  <si>
    <t>nabil.nazaru24m@iimranchi.ac.in</t>
  </si>
  <si>
    <t>M196-24</t>
  </si>
  <si>
    <t>Nidhi Singh</t>
  </si>
  <si>
    <t>nidhi.singh24m@iimranchi.ac.in</t>
  </si>
  <si>
    <t>M197-24</t>
  </si>
  <si>
    <t>Nidhish V P</t>
  </si>
  <si>
    <t>nidhish.vp24m@iimranchi.ac.in</t>
  </si>
  <si>
    <t>Penmetsa Venkata Jayawanth Raju</t>
  </si>
  <si>
    <t>penmetsa.venkatajayawanthraju24m@iimranchi.ac.in</t>
  </si>
  <si>
    <t>M199-24</t>
  </si>
  <si>
    <t>Pramath Tewari</t>
  </si>
  <si>
    <t>pramath.tewari24m@iimranchi.ac.in</t>
  </si>
  <si>
    <t>M200-24</t>
  </si>
  <si>
    <t>Priyannka T S</t>
  </si>
  <si>
    <t>priyannka.ts24m@iimranchi.ac.in</t>
  </si>
  <si>
    <t>Rishav Singh</t>
  </si>
  <si>
    <t>rishav.singh24m@iimranchi.ac.in</t>
  </si>
  <si>
    <t>M202-24</t>
  </si>
  <si>
    <t>Ruchi Didwania</t>
  </si>
  <si>
    <t>ruchi.didwania24m@iimranchi.ac.in</t>
  </si>
  <si>
    <t>M203-24</t>
  </si>
  <si>
    <t>Sahil Khanna</t>
  </si>
  <si>
    <t>sahil.khanna24m@iimranchi.ac.in</t>
  </si>
  <si>
    <t>Saina Sabharwal</t>
  </si>
  <si>
    <t>saina.sabharwal24m@iimranchi.ac.in</t>
  </si>
  <si>
    <t>M205-24</t>
  </si>
  <si>
    <t>Samriddhi Jain</t>
  </si>
  <si>
    <t>samriddhi.jain24m@iimranchi.ac.in</t>
  </si>
  <si>
    <t>Shambhavi Atul Gawande</t>
  </si>
  <si>
    <t>shambhavi.atulgawande24m@iimranchi.ac.in</t>
  </si>
  <si>
    <t>M208-24</t>
  </si>
  <si>
    <t>Simran</t>
  </si>
  <si>
    <t>simran.24m@iimranchi.ac.in</t>
  </si>
  <si>
    <t>M209-24</t>
  </si>
  <si>
    <t>Singh Toran</t>
  </si>
  <si>
    <t>singh.toran24m@iimranchi.ac.in</t>
  </si>
  <si>
    <t>Soumili Debnath</t>
  </si>
  <si>
    <t>soumili.debnath24m@iimranchi.ac.in</t>
  </si>
  <si>
    <t>M211-24</t>
  </si>
  <si>
    <t>Sujay C</t>
  </si>
  <si>
    <t>sujay.c24m@iimranchi.ac.in</t>
  </si>
  <si>
    <t>M213-24</t>
  </si>
  <si>
    <t>Tank Chhavi Vinod</t>
  </si>
  <si>
    <t>tank.chhavivinod24m@iimranchi.ac.in</t>
  </si>
  <si>
    <t>M214-24</t>
  </si>
  <si>
    <t>Vadoliya Vandan Vasantbhai</t>
  </si>
  <si>
    <t>vadoliya.vandanvasantbhai24m@iimranchi.ac.in</t>
  </si>
  <si>
    <t>M215-24</t>
  </si>
  <si>
    <t>Vanshika Koul</t>
  </si>
  <si>
    <t>vanshika.koul24m@iimranchi.ac.in</t>
  </si>
  <si>
    <t>M216-24</t>
  </si>
  <si>
    <t>Yash Parmar</t>
  </si>
  <si>
    <t>yash.parmar24m@iimranchi.ac.in</t>
  </si>
  <si>
    <t>IPM061-21</t>
  </si>
  <si>
    <t>Aanvi Sarin</t>
  </si>
  <si>
    <t>aanvi.sarini21@iimranchi.ac.in</t>
  </si>
  <si>
    <t>IPM018-21</t>
  </si>
  <si>
    <t>Harshit Jain</t>
  </si>
  <si>
    <t>harshit.jaini21@iimranchi.ac.in</t>
  </si>
  <si>
    <t>Janhvi Yadav</t>
  </si>
  <si>
    <t>janhvi.yadavi21@iimranchi.ac.in</t>
  </si>
  <si>
    <t>IPM079-21</t>
  </si>
  <si>
    <t>Jayant Kumar</t>
  </si>
  <si>
    <t>jayant.kumari21@iimranchi.ac.in</t>
  </si>
  <si>
    <t>IPM023-21</t>
  </si>
  <si>
    <t>Karthika A S</t>
  </si>
  <si>
    <t>karthika.asI21@iimranchi.ac.in</t>
  </si>
  <si>
    <t>IPM087-21</t>
  </si>
  <si>
    <t>Krithika Shunmugaraj</t>
  </si>
  <si>
    <t>krithika.shunmugaraji21@iimranchi.ac.in</t>
  </si>
  <si>
    <t>Sakshi Awasthi</t>
  </si>
  <si>
    <t>sakshi.awasthiI21@iimranchi.ac.in</t>
  </si>
  <si>
    <t>Sania Jaman</t>
  </si>
  <si>
    <t>sania.jamani21@iimranchi.ac.in</t>
  </si>
  <si>
    <t>IPM107-21</t>
  </si>
  <si>
    <t>Shivaji Naik Banavathu</t>
  </si>
  <si>
    <t>shivajinaik.banavathui21@iimranchi.ac.in</t>
  </si>
  <si>
    <t>IPM110-21</t>
  </si>
  <si>
    <t>Snehjit Chowdhary</t>
  </si>
  <si>
    <t>snehjit.chowdharyi21@iimranchi.ac.in</t>
  </si>
  <si>
    <t>IPM051-21</t>
  </si>
  <si>
    <t>Sujal Jaiswar</t>
  </si>
  <si>
    <t>sujal.jaiswari21@iimranchi.ac.in</t>
  </si>
  <si>
    <t>IPM112-21</t>
  </si>
  <si>
    <t>Sujal Patidar</t>
  </si>
  <si>
    <t>sujal.patidari21@iimranchi.ac.in</t>
  </si>
  <si>
    <t>IPM114-21</t>
  </si>
  <si>
    <t>Sunidhi Gurkar</t>
  </si>
  <si>
    <t>sunidhi.gurkari21@iimranchi.ac.in</t>
  </si>
  <si>
    <t>Swapnil Ramdas Wagh</t>
  </si>
  <si>
    <t>swapnilramdas.waghi21@iimranchi.ac.in</t>
  </si>
  <si>
    <t>E</t>
  </si>
  <si>
    <t>A Sonali Buvanesh</t>
  </si>
  <si>
    <t>a.sonalibuvanesh24m@iimranchi.ac.in</t>
  </si>
  <si>
    <t>M218-24</t>
  </si>
  <si>
    <t>Abiel Immanuel Papang</t>
  </si>
  <si>
    <t>abiel.immanuelpapang24m@iimranchi.ac.in</t>
  </si>
  <si>
    <t>M219-24</t>
  </si>
  <si>
    <t>Aditi Saurav</t>
  </si>
  <si>
    <t>aditi.saurav24m@iimranchi.ac.in</t>
  </si>
  <si>
    <t>M220-24</t>
  </si>
  <si>
    <t>Aditya Deshmukh</t>
  </si>
  <si>
    <t>aditya.deshmukh24m@iimranchi.ac.in</t>
  </si>
  <si>
    <t>M221-24</t>
  </si>
  <si>
    <t>Aditya Padhi</t>
  </si>
  <si>
    <t>aditya.padhi24m@iimranchi.ac.in</t>
  </si>
  <si>
    <t>M222-24</t>
  </si>
  <si>
    <t>Akhil Maddela</t>
  </si>
  <si>
    <t>akhil.maddela24m@iimranchi.ac.in</t>
  </si>
  <si>
    <t>M223-24</t>
  </si>
  <si>
    <t>Akshat Agarwal</t>
  </si>
  <si>
    <t>akshat.agarwal24m@iimranchi.ac.in</t>
  </si>
  <si>
    <t>M224-24</t>
  </si>
  <si>
    <t>Amit Kumar</t>
  </si>
  <si>
    <t>amit.kumar24m@iimranchi.ac.in</t>
  </si>
  <si>
    <t>M225-24</t>
  </si>
  <si>
    <t>Anamika Jana</t>
  </si>
  <si>
    <t>anamika.jana24m@iimranchi.ac.in</t>
  </si>
  <si>
    <t>M226-24</t>
  </si>
  <si>
    <t>Ananya Aggarwal</t>
  </si>
  <si>
    <t>ananya.aggarwal24m@iimranchi.ac.in</t>
  </si>
  <si>
    <t>M227-24</t>
  </si>
  <si>
    <t>Anjali Gupta</t>
  </si>
  <si>
    <t>anjali.gupta24m@iimranchi.ac.in</t>
  </si>
  <si>
    <t>Anupriya Pradeep Bummerkar</t>
  </si>
  <si>
    <t>anupriya.pradeepbummerkar24m@iimranchi.ac.in</t>
  </si>
  <si>
    <t>M229-24</t>
  </si>
  <si>
    <t>Anushka Gayen</t>
  </si>
  <si>
    <t>anushka.gayen24m@iimranchi.ac.in</t>
  </si>
  <si>
    <t>M230-24</t>
  </si>
  <si>
    <t>Aparna Kumari Samanta</t>
  </si>
  <si>
    <t>aparna.kumarisamanta24m@iimranchi.ac.in</t>
  </si>
  <si>
    <t>Ashim Francis Tirkey</t>
  </si>
  <si>
    <t>ashim.francistirkey24m@iimranchi.ac.in</t>
  </si>
  <si>
    <t>M232-24</t>
  </si>
  <si>
    <t>Chirag</t>
  </si>
  <si>
    <t>chirag.24m@iimranchi.ac.in</t>
  </si>
  <si>
    <t>M234-24</t>
  </si>
  <si>
    <t>Debojyoti Sarkar</t>
  </si>
  <si>
    <t>debojyoti.sarkar24m@iimranchi.ac.in</t>
  </si>
  <si>
    <t>M235-24</t>
  </si>
  <si>
    <t>Deepanshu Anand</t>
  </si>
  <si>
    <t>deepanshu.anand24m@iimranchi.ac.in</t>
  </si>
  <si>
    <t>M236-24</t>
  </si>
  <si>
    <t>Devyukta Karwa</t>
  </si>
  <si>
    <t>devyukta.karwa24m@iimranchi.ac.in</t>
  </si>
  <si>
    <t>Dhruv Agarwal</t>
  </si>
  <si>
    <t>dhruv.agarwal24m@iimranchi.ac.in</t>
  </si>
  <si>
    <t>M238-24</t>
  </si>
  <si>
    <t>Dhruv Mistry</t>
  </si>
  <si>
    <t>dhruv.mistry24m@iimranchi.ac.in</t>
  </si>
  <si>
    <t>Gandhi Shreya Kalpesh</t>
  </si>
  <si>
    <t>gandhi.shreyakalpesh24m@iimranchi.ac.in</t>
  </si>
  <si>
    <t>M240-24</t>
  </si>
  <si>
    <t>Harshit Toppo</t>
  </si>
  <si>
    <t>harshit.toppo24m@iimranchi.ac.in</t>
  </si>
  <si>
    <t>M241-24</t>
  </si>
  <si>
    <t>Harshita Arora</t>
  </si>
  <si>
    <t>harshita.arora24m@iimranchi.ac.in</t>
  </si>
  <si>
    <t>Harshita Rathi</t>
  </si>
  <si>
    <t>harshita.rathi24m@iimranchi.ac.in</t>
  </si>
  <si>
    <t>Jetturi Keerthana Mudhiraj</t>
  </si>
  <si>
    <t>jetturi.keerthanamudhiraj24m@iimranchi.ac.in</t>
  </si>
  <si>
    <t>M244-24</t>
  </si>
  <si>
    <t>K Rajit</t>
  </si>
  <si>
    <t>k.rajit24m@iimranchi.ac.in</t>
  </si>
  <si>
    <t>M245-24</t>
  </si>
  <si>
    <t>Kajal Dhamija</t>
  </si>
  <si>
    <t>kajal.dhamija24m@iimranchi.ac.in</t>
  </si>
  <si>
    <t>Kaushal Kishor</t>
  </si>
  <si>
    <t>kaushal.kishor24m@iimranchi.ac.in</t>
  </si>
  <si>
    <t>Komal Karan</t>
  </si>
  <si>
    <t>komal.karan24m@iimranchi.ac.in</t>
  </si>
  <si>
    <t>M248-24</t>
  </si>
  <si>
    <t>Mansi Kumari</t>
  </si>
  <si>
    <t>mansi.kumari24m@iimranchi.ac.in</t>
  </si>
  <si>
    <t>M249-24</t>
  </si>
  <si>
    <t>Medak Vishwa Raj</t>
  </si>
  <si>
    <t>medak.vishwaraj24m@iimranchi.ac.in</t>
  </si>
  <si>
    <t>Mehul</t>
  </si>
  <si>
    <t>mehul.24m@iimranchi.ac.in</t>
  </si>
  <si>
    <t>M251-24</t>
  </si>
  <si>
    <t>Mohammed Farhan. M.K</t>
  </si>
  <si>
    <t>mohammed.farhan.m.k24m@iimranchi.ac.in</t>
  </si>
  <si>
    <t>M253-24</t>
  </si>
  <si>
    <t>Pranay Vikas Movva</t>
  </si>
  <si>
    <t>pranay.vikasmovva24m@iimranchi.ac.in</t>
  </si>
  <si>
    <t>M254-24</t>
  </si>
  <si>
    <t>Priyanshi Chimnani</t>
  </si>
  <si>
    <t>priyanshi.chimnani24m@iimranchi.ac.in</t>
  </si>
  <si>
    <t>Rashi Srivastava</t>
  </si>
  <si>
    <t>rashi.srivastava24m@iimranchi.ac.in</t>
  </si>
  <si>
    <t>M256-24</t>
  </si>
  <si>
    <t xml:space="preserve">Ritika </t>
  </si>
  <si>
    <t>ritika.24m@iimranchi.ac.in</t>
  </si>
  <si>
    <t>M257-24</t>
  </si>
  <si>
    <t>Ruchir Damani</t>
  </si>
  <si>
    <t>ruchir.damani24m@iimranchi.ac.in</t>
  </si>
  <si>
    <t>Saatvik Agarwal</t>
  </si>
  <si>
    <t>saatvik.agarwal24m@iimranchi.ac.in</t>
  </si>
  <si>
    <t>M259-24</t>
  </si>
  <si>
    <t>Sameer Bhasin</t>
  </si>
  <si>
    <t>sameer.bhasin24m@iimranchi.ac.in</t>
  </si>
  <si>
    <t>M260-24</t>
  </si>
  <si>
    <t>Sankalp Sinha</t>
  </si>
  <si>
    <t>sankalp.sinha24m@iimranchi.ac.in</t>
  </si>
  <si>
    <t>Sarthak Wadhwa</t>
  </si>
  <si>
    <t>sarthak.wadhwa24m@iimranchi.ac.in</t>
  </si>
  <si>
    <t>Saurav B</t>
  </si>
  <si>
    <t>saurav.b24m@iimranchi.ac.in</t>
  </si>
  <si>
    <t>M263-24</t>
  </si>
  <si>
    <t>Shashank Rai</t>
  </si>
  <si>
    <t>shashank.rai24m@iimranchi.ac.in</t>
  </si>
  <si>
    <t>M264-24</t>
  </si>
  <si>
    <t>Shri Balajee S M</t>
  </si>
  <si>
    <t>shri.balajeesm24m@iimranchi.ac.in</t>
  </si>
  <si>
    <t>M265-24</t>
  </si>
  <si>
    <t>Shruti Sejal Kujur</t>
  </si>
  <si>
    <t>shruti.sejalkujur24m@iimranchi.ac.in</t>
  </si>
  <si>
    <t>M266-24</t>
  </si>
  <si>
    <t>Shubham Nahata</t>
  </si>
  <si>
    <t>shubham.nahata24m@iimranchi.ac.in</t>
  </si>
  <si>
    <t>M267-24</t>
  </si>
  <si>
    <t>Vaishnawi Ajit</t>
  </si>
  <si>
    <t>vaishnawi.ajit24m@iimranchi.ac.in</t>
  </si>
  <si>
    <t>M268-24</t>
  </si>
  <si>
    <t>Yashasvi Rana</t>
  </si>
  <si>
    <t>yashasvi.rana24m@iimranchi.ac.in</t>
  </si>
  <si>
    <t>M269-24</t>
  </si>
  <si>
    <t>Yashwant Singh</t>
  </si>
  <si>
    <t>yashwant.singh24m@iimranchi.ac.in</t>
  </si>
  <si>
    <t>Supriya Sunil Bhimte</t>
  </si>
  <si>
    <t>supriyasunil.bhimte23@iimranchi.ac.in</t>
  </si>
  <si>
    <t>M251-23</t>
  </si>
  <si>
    <t>Taku Taker Oka</t>
  </si>
  <si>
    <t>takutaker.oka23@iimranchi.ac.in</t>
  </si>
  <si>
    <t>Dipankar Das</t>
  </si>
  <si>
    <r>
      <rPr>
        <u/>
        <sz val="11"/>
        <color rgb="FF202124"/>
        <rFont val="Calibri"/>
        <family val="2"/>
        <scheme val="minor"/>
      </rPr>
      <t>dipankar.das123@iimranchi.ac.in</t>
    </r>
  </si>
  <si>
    <t>Vinay Shalma Jangam</t>
  </si>
  <si>
    <t>vibha.sanga23@iimranchi.ac.in</t>
  </si>
  <si>
    <t>Nikhil Kumar</t>
  </si>
  <si>
    <t>nikhil.kumar23@iimranchi.ac.in</t>
  </si>
  <si>
    <t>IPM002-21</t>
  </si>
  <si>
    <t>Aakanksha Kirti</t>
  </si>
  <si>
    <t>aakanksha.kirtii21@iimranchi.ac.in</t>
  </si>
  <si>
    <t>IPM123-21</t>
  </si>
  <si>
    <t>Aashish Vishwaa Vel</t>
  </si>
  <si>
    <t>aashish.vishwasi21@iimranchi.ac.in</t>
  </si>
  <si>
    <t>IPM003-21</t>
  </si>
  <si>
    <t>Abhishek Nagpal</t>
  </si>
  <si>
    <t>abhishek.nagpali21@iimranchi.ac.in</t>
  </si>
  <si>
    <t>IPM009-21</t>
  </si>
  <si>
    <t>Ameyteshwar Singh</t>
  </si>
  <si>
    <t>ameyteshwar.singhi21@iimranchi.ac.in</t>
  </si>
  <si>
    <t>IPM013-21</t>
  </si>
  <si>
    <t>Bankapalli Aishwarya</t>
  </si>
  <si>
    <t>bankapalli.aishwaryai21@iimranchi.ac.in</t>
  </si>
  <si>
    <t>IPM021-21</t>
  </si>
  <si>
    <t>Jaivardhan Singh</t>
  </si>
  <si>
    <t>jaivardhan.singhi21@iimranchi.ac.in</t>
  </si>
  <si>
    <t>IPM034-21</t>
  </si>
  <si>
    <t>Prateek Rawat</t>
  </si>
  <si>
    <t>prateek.rawati21@iimranchi.ac.in</t>
  </si>
  <si>
    <t>IPM094-21</t>
  </si>
  <si>
    <t>Pritika Paul</t>
  </si>
  <si>
    <t>pritika.pauli21@iimranchi.ac.in</t>
  </si>
  <si>
    <t>IPM122-21</t>
  </si>
  <si>
    <t>Priyanshu Sharma</t>
  </si>
  <si>
    <t>priyanshu.sharmai21@iimranchi.ac.in</t>
  </si>
  <si>
    <t>IPM037-21</t>
  </si>
  <si>
    <t>Rishika Kadam</t>
  </si>
  <si>
    <t>rishika.kadami21@iimranchi.ac.in</t>
  </si>
  <si>
    <t>Sabhavath Aakash</t>
  </si>
  <si>
    <t>sabhavath.aakashi21@iimranchi.ac.in</t>
  </si>
  <si>
    <t>IPM052-21</t>
  </si>
  <si>
    <t>Surpreet Kaur</t>
  </si>
  <si>
    <t>surpreet.kauri21@iimranchi.ac.in</t>
  </si>
  <si>
    <t>IPM118-21</t>
  </si>
  <si>
    <t>Tarun Sagar</t>
  </si>
  <si>
    <t>tarun.sagari21@iimranchi.ac.in</t>
  </si>
  <si>
    <t>IPM055-21</t>
  </si>
  <si>
    <t>Vatsal Jaiswal</t>
  </si>
  <si>
    <t>vatsal.jaiswali21@iimranchi.ac.in</t>
  </si>
  <si>
    <t>Yash Akshat Kumar</t>
  </si>
  <si>
    <t>yashakshat.kumari21@iimranchi.ac.in</t>
  </si>
  <si>
    <t>BA</t>
  </si>
  <si>
    <t>BA002-24</t>
  </si>
  <si>
    <t>Ankit Raj</t>
  </si>
  <si>
    <t>ankit.raj24b@iimranchi.ac.in</t>
  </si>
  <si>
    <t>BA003-24</t>
  </si>
  <si>
    <t>Anshika Agarwal</t>
  </si>
  <si>
    <t>anshika.agarwal24b@iimranchi.ac.in</t>
  </si>
  <si>
    <t>BA004-24</t>
  </si>
  <si>
    <t>Arjun Raja</t>
  </si>
  <si>
    <t>arjun.raja24b@iimranchi.ac.in</t>
  </si>
  <si>
    <t>BA005-24</t>
  </si>
  <si>
    <t>Arko Provo Ray</t>
  </si>
  <si>
    <t>arkoprovo.ray24b@iimranchi.ac.in</t>
  </si>
  <si>
    <t>Arunjyoti Sharma</t>
  </si>
  <si>
    <t>arunjyoti.sharma24b@iimranchi.ac.in</t>
  </si>
  <si>
    <t>Aryan Dinkar</t>
  </si>
  <si>
    <t>aryan.dinkar24b@iimranchi.ac.in</t>
  </si>
  <si>
    <t>BA008-24</t>
  </si>
  <si>
    <t>Ashmesh Dawande</t>
  </si>
  <si>
    <t>ashmesh.dawande24b@iimranchi.ac.in</t>
  </si>
  <si>
    <t>BA009-24</t>
  </si>
  <si>
    <t>Ayush Bansal</t>
  </si>
  <si>
    <t>ayush.bansal24b@iimranchi.ac.in</t>
  </si>
  <si>
    <t>BA010-24</t>
  </si>
  <si>
    <t>Ayush Solanki</t>
  </si>
  <si>
    <t>ayush.solanki24b@iimranchi.ac.in</t>
  </si>
  <si>
    <t>BA011-24</t>
  </si>
  <si>
    <t>Bhagyesh Raicha</t>
  </si>
  <si>
    <t>bhagyesh.raicha24b@iimranchi.ac.in</t>
  </si>
  <si>
    <t>BA012-24</t>
  </si>
  <si>
    <t>Bhavya Goyal</t>
  </si>
  <si>
    <t>bhavya.goyal24b@iimranchi.ac.in</t>
  </si>
  <si>
    <t>BA013-24</t>
  </si>
  <si>
    <t>Botsa Krishna Chaitanya</t>
  </si>
  <si>
    <t>botsakrishna.chaitanya24b@iimranchi.ac.in</t>
  </si>
  <si>
    <t>BA014-24</t>
  </si>
  <si>
    <t>Braj Kishan Singh</t>
  </si>
  <si>
    <t>brajkishan.singh24b@iimranchi.ac.in</t>
  </si>
  <si>
    <t>BA015-24</t>
  </si>
  <si>
    <t>Chandresh V</t>
  </si>
  <si>
    <t>chandresh.v24b@iimranchi.ac.in</t>
  </si>
  <si>
    <t>BA017-24</t>
  </si>
  <si>
    <t>Chetan Kumar</t>
  </si>
  <si>
    <t>chetan.kumar24b@iimranchi.ac.in</t>
  </si>
  <si>
    <t>BA018-24</t>
  </si>
  <si>
    <t>Deuskar Vardhan Upendra</t>
  </si>
  <si>
    <t>deuskarvardhan.upendra24b@iimranchi.ac.in</t>
  </si>
  <si>
    <t>BA019-24</t>
  </si>
  <si>
    <t>Himnish Nirwan</t>
  </si>
  <si>
    <t>himnish.nirwan24b@iimranchi.ac.in</t>
  </si>
  <si>
    <t>BA020-24</t>
  </si>
  <si>
    <t>Hrishikesh Salpekar</t>
  </si>
  <si>
    <t>hrishikesh.salpekar24b@iimranchi.ac.in</t>
  </si>
  <si>
    <t>Indrakanti Ashritha</t>
  </si>
  <si>
    <t>indrakanti.ashritha24b@iimranchi.ac.in</t>
  </si>
  <si>
    <t>BA022-24</t>
  </si>
  <si>
    <t>K R Ajaykumar</t>
  </si>
  <si>
    <t>kr.ajaykumar24b@iimranchi.ac.in</t>
  </si>
  <si>
    <t>BA023-24</t>
  </si>
  <si>
    <t>Kabilan M</t>
  </si>
  <si>
    <t>kabilan.m24b@iimranchi.ac.in</t>
  </si>
  <si>
    <t>BA024-24</t>
  </si>
  <si>
    <t>Kakileti Sri Rishitha</t>
  </si>
  <si>
    <t>kakiletisri.rishitha24b@iimranchi.ac.in</t>
  </si>
  <si>
    <t>Kushagra Porwal</t>
  </si>
  <si>
    <t>kushagra.porwal24b@iimranchi.ac.in</t>
  </si>
  <si>
    <t>BA026-24</t>
  </si>
  <si>
    <t>Lakshit Mansinghka</t>
  </si>
  <si>
    <t>lakshit.mansinghka24b@iimranchi.ac.in</t>
  </si>
  <si>
    <t>Manav R</t>
  </si>
  <si>
    <t>manav.r24b@iimranchi.ac.in</t>
  </si>
  <si>
    <t>BA029-24</t>
  </si>
  <si>
    <t>Manu Prakash R</t>
  </si>
  <si>
    <t>manuprakash.r24b@iimranchi.ac.in</t>
  </si>
  <si>
    <t>BA030-24</t>
  </si>
  <si>
    <t>N B Ramakrishnan</t>
  </si>
  <si>
    <t>nb.ramakrishnan24b@iimranchi.ac.in</t>
  </si>
  <si>
    <t>BA031-24</t>
  </si>
  <si>
    <t>Nimisha Jain</t>
  </si>
  <si>
    <t>nimisha.jain24b@iimranchi.ac.in</t>
  </si>
  <si>
    <t>BA032-24</t>
  </si>
  <si>
    <t>Oam Sachin Jagtap</t>
  </si>
  <si>
    <t>oamsachin.jagtap24b@iimranchi.ac.in</t>
  </si>
  <si>
    <t>Parth Pandey</t>
  </si>
  <si>
    <t>parth.pandey24b@iimranchi.ac.in</t>
  </si>
  <si>
    <t>BA035-24</t>
  </si>
  <si>
    <t>Pranuv R</t>
  </si>
  <si>
    <t>pranuv.r24b@iimranchi.ac.in</t>
  </si>
  <si>
    <t>BA036-24</t>
  </si>
  <si>
    <t>Ragul Adithya M</t>
  </si>
  <si>
    <t>raguladithya.m24b@iimranchi.ac.in</t>
  </si>
  <si>
    <t>BA037-24</t>
  </si>
  <si>
    <t>Ragulraj R</t>
  </si>
  <si>
    <t>ragulraj.r24b@iimranchi.ac.in</t>
  </si>
  <si>
    <t>BA038-24</t>
  </si>
  <si>
    <t>Rathi Ronak Girishbhai</t>
  </si>
  <si>
    <t>rathironak.girishbhai24b@iimranchi.ac.in</t>
  </si>
  <si>
    <t>BA039-24</t>
  </si>
  <si>
    <t>Saksham Thareja</t>
  </si>
  <si>
    <t>saksham.thareja24b@iimranchi.ac.in</t>
  </si>
  <si>
    <t>BA040-24</t>
  </si>
  <si>
    <t>Sambhav Jain</t>
  </si>
  <si>
    <t>sambhav.jain24b@iimranchi.ac.in</t>
  </si>
  <si>
    <t>BA041-24</t>
  </si>
  <si>
    <t>Sanchari Sen</t>
  </si>
  <si>
    <t>sanchari.sen24b@iimranchi.ac.in</t>
  </si>
  <si>
    <t>BA042-24</t>
  </si>
  <si>
    <t>Sanskriti Mittal</t>
  </si>
  <si>
    <t>sanskriti.mittal24b@iimranchi.ac.in</t>
  </si>
  <si>
    <t>BA043-24</t>
  </si>
  <si>
    <t>Shadman Ashiq</t>
  </si>
  <si>
    <t>shadman.ashiq24b@iimranchi.ac.in</t>
  </si>
  <si>
    <t>Shreema Shruti</t>
  </si>
  <si>
    <t>shreema.shruti24b@iimranchi.ac.in</t>
  </si>
  <si>
    <t>BA046-24</t>
  </si>
  <si>
    <t>Shubham Bikash Goswami</t>
  </si>
  <si>
    <t>shubhambikash.goswami24b@iimranchi.ac.in</t>
  </si>
  <si>
    <t>Shubham Kumar Singh</t>
  </si>
  <si>
    <t>shubhamkumar.singh24b@iimranchi.ac.in</t>
  </si>
  <si>
    <t>BA048-24</t>
  </si>
  <si>
    <t>Shubham Mishra</t>
  </si>
  <si>
    <t>shubham.mishra24b@iimranchi.ac.in</t>
  </si>
  <si>
    <t>Sidhartha Banra</t>
  </si>
  <si>
    <t>sidhartha.banra24b@iimranchi.ac.in</t>
  </si>
  <si>
    <t>Thamma Venkata Sai Manohar</t>
  </si>
  <si>
    <t>thammavenkata.saimanohar24b@iimranchi.ac.in</t>
  </si>
  <si>
    <t>BA051-24</t>
  </si>
  <si>
    <t>Utkarsh Lal</t>
  </si>
  <si>
    <t>utkarsh.lal24b@iimranchi.ac.in</t>
  </si>
  <si>
    <t>Vaibhav Soni</t>
  </si>
  <si>
    <t>vaibhav.soni24b@iimranchi.ac.in</t>
  </si>
  <si>
    <t>BA054-24</t>
  </si>
  <si>
    <t>Yadavalli Satya Venkata Anitha</t>
  </si>
  <si>
    <t>yadavallisatya.venkataanitha24b@iimranchi.ac.in</t>
  </si>
  <si>
    <t>BA055-24</t>
  </si>
  <si>
    <t>Avin Abraham</t>
  </si>
  <si>
    <t>avin.abraham24b@iimranchi.ac.in</t>
  </si>
  <si>
    <t>BA004-23</t>
  </si>
  <si>
    <t>Sameer Boro</t>
  </si>
  <si>
    <t xml:space="preserve">sameer.boro23@iimranchi.ac.in </t>
  </si>
  <si>
    <t>HR</t>
  </si>
  <si>
    <t>H001-24</t>
  </si>
  <si>
    <t>Aakriti Agrawal</t>
  </si>
  <si>
    <t>aakriti.agrawal24h@iimranchi.ac.in</t>
  </si>
  <si>
    <t>Aarti Toppo</t>
  </si>
  <si>
    <t>aarti.toppo24h@iimranchi.ac.in</t>
  </si>
  <si>
    <t>Adithya Sujalal</t>
  </si>
  <si>
    <t>adithya.sujalal24h@iimranchi.ac.in</t>
  </si>
  <si>
    <t>H004-24</t>
  </si>
  <si>
    <t>Aditya Bisht</t>
  </si>
  <si>
    <t>aditya.bisht24h@iimranchi.ac.in</t>
  </si>
  <si>
    <t>H005-24</t>
  </si>
  <si>
    <t>Aditya Kaswan</t>
  </si>
  <si>
    <t>aditya.kaswan24h@iimranchi.ac.in</t>
  </si>
  <si>
    <t>H006-24</t>
  </si>
  <si>
    <t>Aditya U Upadhyay</t>
  </si>
  <si>
    <t>aditya.uupadhyay24h@iimranchi.ac.in</t>
  </si>
  <si>
    <t>H007-24</t>
  </si>
  <si>
    <t>Akshay</t>
  </si>
  <si>
    <t>akshay.24h@iimranchi.ac.in</t>
  </si>
  <si>
    <t>H008-24</t>
  </si>
  <si>
    <t>Aman Ashish Balmuchu</t>
  </si>
  <si>
    <t>aman.ashishbalmuchu24h@iimranchi.ac.in</t>
  </si>
  <si>
    <t>H009-24</t>
  </si>
  <si>
    <t>Anmol Dhanotiya</t>
  </si>
  <si>
    <t>anmol.dhanotiya24h@iimranchi.ac.in</t>
  </si>
  <si>
    <t>H010-24</t>
  </si>
  <si>
    <t>Aritra Das</t>
  </si>
  <si>
    <t>aritra.das24h@iimranchi.ac.in</t>
  </si>
  <si>
    <t>Arjun Sabari Raguraman</t>
  </si>
  <si>
    <t>arjun.sabariraguraman24h@iimranchi.ac.in</t>
  </si>
  <si>
    <t>H012-24</t>
  </si>
  <si>
    <t>Arka Ray</t>
  </si>
  <si>
    <t>arka.ray24h@iimranchi.ac.in</t>
  </si>
  <si>
    <t>H014-24</t>
  </si>
  <si>
    <t>Ayush Jacob Kujur</t>
  </si>
  <si>
    <t>ayush.jacobkujur24h@iimranchi.ac.in</t>
  </si>
  <si>
    <t>H015-24</t>
  </si>
  <si>
    <t>Darshan Nath</t>
  </si>
  <si>
    <t>darshan.nath24h@iimranchi.ac.in</t>
  </si>
  <si>
    <t>H016-24</t>
  </si>
  <si>
    <t>Debadwar Rutuj Rajesh</t>
  </si>
  <si>
    <t>debadwar.rutujrajesh24h@iimranchi.ac.in</t>
  </si>
  <si>
    <t>Deeksha Venugopal Shetty</t>
  </si>
  <si>
    <t>deeksha.venugopalshetty24h@iimranchi.ac.in</t>
  </si>
  <si>
    <t>H018-24</t>
  </si>
  <si>
    <t>Devara Prashanth Kumar</t>
  </si>
  <si>
    <t>devara.prashanthkumar24h@iimranchi.ac.in</t>
  </si>
  <si>
    <t>H019-24</t>
  </si>
  <si>
    <t>Devashish Chaudhary</t>
  </si>
  <si>
    <t>devashish.chaudhary24h@iimranchi.ac.in</t>
  </si>
  <si>
    <t>Gautam Sachdeva</t>
  </si>
  <si>
    <t>gautam.sachdeva24h@iimranchi.ac.in</t>
  </si>
  <si>
    <t>H021-24</t>
  </si>
  <si>
    <t>Hare Krishna</t>
  </si>
  <si>
    <t>hare.krishna24h@iimranchi.ac.in</t>
  </si>
  <si>
    <t>H022-24</t>
  </si>
  <si>
    <t>Hemant Holani</t>
  </si>
  <si>
    <t>hemant.holani24h@iimranchi.ac.in</t>
  </si>
  <si>
    <t>H023-24</t>
  </si>
  <si>
    <t>Karan Kapoor</t>
  </si>
  <si>
    <t>karan.kapoor24h@iimranchi.ac.in</t>
  </si>
  <si>
    <t>H025-24</t>
  </si>
  <si>
    <t>Mestry Prasad Vidyadhar</t>
  </si>
  <si>
    <t>mestry.prasadvidyadhar24h@iimranchi.ac.in</t>
  </si>
  <si>
    <t>H026-24</t>
  </si>
  <si>
    <t>Mohd Fahad Khan</t>
  </si>
  <si>
    <t>mohd.fahadkhan24h@iimranchi.ac.in</t>
  </si>
  <si>
    <t>H027-24</t>
  </si>
  <si>
    <t>Mohit Toppo</t>
  </si>
  <si>
    <t>mohit.toppo24h@iimranchi.ac.in</t>
  </si>
  <si>
    <t>H028-24</t>
  </si>
  <si>
    <t>Muskan Mittal</t>
  </si>
  <si>
    <t>muskan.mittal24h@iimranchi.ac.in</t>
  </si>
  <si>
    <t>Nischal Topno</t>
  </si>
  <si>
    <t>nischal.topno24h@iimranchi.ac.in</t>
  </si>
  <si>
    <t>H030-24</t>
  </si>
  <si>
    <t>Pathina Rajkumar</t>
  </si>
  <si>
    <t>pathina.rajkumar24h@iimranchi.ac.in</t>
  </si>
  <si>
    <t>H031-24</t>
  </si>
  <si>
    <t>Piyush Saini</t>
  </si>
  <si>
    <t>piyush.saini24h@iimranchi.ac.in</t>
  </si>
  <si>
    <t>Pradeep Boaz Penta</t>
  </si>
  <si>
    <t>pradeep.boazpenta24h@iimranchi.ac.in</t>
  </si>
  <si>
    <t>H034-24</t>
  </si>
  <si>
    <t>Punit Kumar Yadav</t>
  </si>
  <si>
    <t>punit.kumaryadav24h@iimranchi.ac.in</t>
  </si>
  <si>
    <t>H035-24</t>
  </si>
  <si>
    <t>Rajul Singh</t>
  </si>
  <si>
    <t>rajul.singh24h@iimranchi.ac.in</t>
  </si>
  <si>
    <t>Rhitik Chauhan</t>
  </si>
  <si>
    <t>rhitik.chauhan24h@iimranchi.ac.in</t>
  </si>
  <si>
    <t>H037-24</t>
  </si>
  <si>
    <t>Rishikesh Mallick</t>
  </si>
  <si>
    <t>rishikesh.mallick24h@iimranchi.ac.in</t>
  </si>
  <si>
    <t>H038-24</t>
  </si>
  <si>
    <t>Ritu Tirkey</t>
  </si>
  <si>
    <t>ritu.tirkey24h@iimranchi.ac.in</t>
  </si>
  <si>
    <t>Robin Anthony Ekka</t>
  </si>
  <si>
    <t>robin.anthonyekka24h@iimranchi.ac.in</t>
  </si>
  <si>
    <t>Ruchika Chamedia</t>
  </si>
  <si>
    <t>ruchika.chamedia24h@iimranchi.ac.in</t>
  </si>
  <si>
    <t>H041-24</t>
  </si>
  <si>
    <t>Satyansh Srivastava</t>
  </si>
  <si>
    <t>satyansh.srivastava24h@iimranchi.ac.in</t>
  </si>
  <si>
    <t>H042-24</t>
  </si>
  <si>
    <t>Saumya Wangdi Dukpa</t>
  </si>
  <si>
    <t>saumya.wangdidukpa24h@iimranchi.ac.in</t>
  </si>
  <si>
    <t>Shaan Arif Khan</t>
  </si>
  <si>
    <t>shaan.arifkhan24h@iimranchi.ac.in</t>
  </si>
  <si>
    <t>H044-24</t>
  </si>
  <si>
    <t>Shamil Hussain K E</t>
  </si>
  <si>
    <t>shamil.hussainke24h@iimranchi.ac.in</t>
  </si>
  <si>
    <t>Shivam Singh</t>
  </si>
  <si>
    <t>shivam.singh24h@iimranchi.ac.in</t>
  </si>
  <si>
    <t>H046-24</t>
  </si>
  <si>
    <t>Shivang Kumar</t>
  </si>
  <si>
    <t>shivang.kumar24h@iimranchi.ac.in</t>
  </si>
  <si>
    <t>Shivdas Esha Ravindra</t>
  </si>
  <si>
    <t>shivdas.esharavindra24h@iimranchi.ac.in</t>
  </si>
  <si>
    <t>H048-24</t>
  </si>
  <si>
    <t>Shreya Suri</t>
  </si>
  <si>
    <t>shreya.suri24h@iimranchi.ac.in</t>
  </si>
  <si>
    <t>Sneha Ravindran</t>
  </si>
  <si>
    <t>sneha.ravindran24h@iimranchi.ac.in</t>
  </si>
  <si>
    <t>H050-24</t>
  </si>
  <si>
    <t>Sonamsi</t>
  </si>
  <si>
    <t>sonamsi.24h@iimranchi.ac.in</t>
  </si>
  <si>
    <t>H051-24</t>
  </si>
  <si>
    <t>Subhadip Maji</t>
  </si>
  <si>
    <t>subhadip.maji24h@iimranchi.ac.in</t>
  </si>
  <si>
    <t>H052-24</t>
  </si>
  <si>
    <t>Suhani Sharma</t>
  </si>
  <si>
    <t>suhani.sharma24h@iimranchi.ac.in</t>
  </si>
  <si>
    <t>H053-24</t>
  </si>
  <si>
    <t>Sukhad Shirkhedkar</t>
  </si>
  <si>
    <t>sukhad.shirkhedkar24h@iimranchi.ac.in</t>
  </si>
  <si>
    <t>H055-24</t>
  </si>
  <si>
    <t>Swapnil Jha</t>
  </si>
  <si>
    <t>swapnil.jha24h@iimranchi.ac.in</t>
  </si>
  <si>
    <t>H056-24</t>
  </si>
  <si>
    <t>Yajas Dhoble</t>
  </si>
  <si>
    <t>yajas.dhoble24h@iimranchi.ac.in</t>
  </si>
  <si>
    <t>Yash Bhatnagar</t>
  </si>
  <si>
    <t>yash.bhatnagar24h@iimranchi.ac.in</t>
  </si>
  <si>
    <t>Yuvraj Jaiswal</t>
  </si>
  <si>
    <t>yuvraj.jaiswal24h@iimranchi.ac.in</t>
  </si>
  <si>
    <t>Gautam Bhatt</t>
  </si>
  <si>
    <t>gautam.bhatt24h@iimranchi.ac.in</t>
  </si>
  <si>
    <t>Dasari Murari Reddy</t>
  </si>
  <si>
    <t>dasarimurari.reddy23@iimranchi.ac.in</t>
  </si>
  <si>
    <t>H072-23</t>
  </si>
  <si>
    <t>Gokul Krishna Sabu</t>
  </si>
  <si>
    <t>gokulkrishna.sabu23@iimranchi.ac.in</t>
  </si>
  <si>
    <t>H004-23</t>
  </si>
  <si>
    <t>Tanya</t>
  </si>
  <si>
    <t>tanya.23@iimranchi.ac.in</t>
  </si>
  <si>
    <t>H030-23</t>
  </si>
  <si>
    <t xml:space="preserve">Asha Christina Hembrom </t>
  </si>
  <si>
    <t>ashachristina.hembrom23@iimranchi.ac.in</t>
  </si>
  <si>
    <t>H077-23</t>
  </si>
  <si>
    <t xml:space="preserve">Boda Bharath Chandra </t>
  </si>
  <si>
    <t>bodabharath.chandra23@iimranchi.ac.in</t>
  </si>
  <si>
    <t>H083-23</t>
  </si>
  <si>
    <t xml:space="preserve">Oliver Rasikan Surin </t>
  </si>
  <si>
    <t>oliver.rasikansurin23@iimranchi.ac.in</t>
  </si>
  <si>
    <t>H085-23</t>
  </si>
  <si>
    <t>Nishi Nita MInz</t>
  </si>
  <si>
    <t>nishi.nitaminj23@iimranchi.ac.in</t>
  </si>
  <si>
    <t>ANKIT RAJ</t>
  </si>
  <si>
    <t>ANSHIKA AGARWAL</t>
  </si>
  <si>
    <t>ARYAN DINKAR</t>
  </si>
  <si>
    <t>ASHMESH DAWANDE</t>
  </si>
  <si>
    <t>AYUSH SOLANKI</t>
  </si>
  <si>
    <t>BHAGYESH RAICHA</t>
  </si>
  <si>
    <t>BOTSA KRISHNA CHAITANYA</t>
  </si>
  <si>
    <t>CHANDRESH V</t>
  </si>
  <si>
    <t>CHETAN KUMAR</t>
  </si>
  <si>
    <t>DEUSKAR VARDHAN UPENDRA</t>
  </si>
  <si>
    <t>HRISHIKESH SALPEKAR</t>
  </si>
  <si>
    <t>K R AJAYKUMAR</t>
  </si>
  <si>
    <t>KABILAN M</t>
  </si>
  <si>
    <t>KAKILETI SRI RISHITHA</t>
  </si>
  <si>
    <t>KUSHAGRA PORWAL</t>
  </si>
  <si>
    <t>LAKSHIT MANSINGHKA</t>
  </si>
  <si>
    <t>MANAV R</t>
  </si>
  <si>
    <t>N B RAMAKRISHNAN</t>
  </si>
  <si>
    <t>NIMISHA JAIN</t>
  </si>
  <si>
    <t>RATHI RONAK GIRISHBHAI</t>
  </si>
  <si>
    <t>SAKSHAM THAREJA</t>
  </si>
  <si>
    <t>SAMBHAV JAIN</t>
  </si>
  <si>
    <t>SANCHARI SEN</t>
  </si>
  <si>
    <t>SANSKRITI MITTAL</t>
  </si>
  <si>
    <t>SHADMAN ASHIQ</t>
  </si>
  <si>
    <t>SHUBHAM BIKASH GOSWAMI</t>
  </si>
  <si>
    <t>THAMMA VENKATA SAI MANOHAR</t>
  </si>
  <si>
    <t>UTKARSH LAL</t>
  </si>
  <si>
    <t>VAIBHAV SONI</t>
  </si>
  <si>
    <t>AVIN ABRAHAM</t>
  </si>
  <si>
    <t>GAVIDI LEELA PRANATHI</t>
  </si>
  <si>
    <t>HARSHIT JAIN</t>
  </si>
  <si>
    <t>MOHAMMAD ADIL MUSTAFA</t>
  </si>
  <si>
    <t>NEHAL PANDEY</t>
  </si>
  <si>
    <t>POORVA JAIN</t>
  </si>
  <si>
    <t>SIDDHARTH TYAGI</t>
  </si>
  <si>
    <t>SUJAL JAISWAR</t>
  </si>
  <si>
    <t>YASH AKSHAT KUMAR</t>
  </si>
  <si>
    <t>YOGITA TEWATIYA</t>
  </si>
  <si>
    <t>AARYAKA MAL</t>
  </si>
  <si>
    <t>BHUMIKA DWIVEDI</t>
  </si>
  <si>
    <t>GURJOT SINGH</t>
  </si>
  <si>
    <t>HARDIK SHARMA</t>
  </si>
  <si>
    <t>JAYEETA HALDER</t>
  </si>
  <si>
    <t>SAPTARSHI DAS</t>
  </si>
  <si>
    <t>SHIVAJI NAIK BANAVATHU</t>
  </si>
  <si>
    <t>TARUN SAGAR</t>
  </si>
  <si>
    <t>AASHISH VISHWAA VEL</t>
  </si>
  <si>
    <t>AKSHAY VAISHNAV</t>
  </si>
  <si>
    <t>ANISH KUMAR</t>
  </si>
  <si>
    <t>CHETNA</t>
  </si>
  <si>
    <t>DHEERAJ KASHYAP</t>
  </si>
  <si>
    <t>DIVYANSHU SHEKHAR</t>
  </si>
  <si>
    <t>ISHAN</t>
  </si>
  <si>
    <t>MOHIT P R</t>
  </si>
  <si>
    <t>PIYUSH AGARWAL</t>
  </si>
  <si>
    <t>PRATYUSH KUMAR</t>
  </si>
  <si>
    <t>PRERNA SUNDRANI</t>
  </si>
  <si>
    <t>VAIBHAV CHAUHAN</t>
  </si>
  <si>
    <t>VIJAY SINGH BHADAURIA</t>
  </si>
  <si>
    <t>AASHAY JAIN</t>
  </si>
  <si>
    <t>ABHINAV YADAV</t>
  </si>
  <si>
    <t>ATHISH C K</t>
  </si>
  <si>
    <t>BAVISI JOY GAURANG</t>
  </si>
  <si>
    <t>CHANDRABHANU</t>
  </si>
  <si>
    <t>HEMANG DHAMIJA</t>
  </si>
  <si>
    <t>ISHIKA PARASRAMPURIA</t>
  </si>
  <si>
    <t>KANAKDYUTI ROY</t>
  </si>
  <si>
    <t>KESHAV JAWA</t>
  </si>
  <si>
    <t>NEVIN JOSEPH</t>
  </si>
  <si>
    <t>RITIKA ADHIKARY</t>
  </si>
  <si>
    <t>SANDEEP KUMAR</t>
  </si>
  <si>
    <t>SUBHADIP DAS</t>
  </si>
  <si>
    <t>TANMAY AGARWAL</t>
  </si>
  <si>
    <t>VARUN MITTAL</t>
  </si>
  <si>
    <t>AMAN</t>
  </si>
  <si>
    <t>ANANYA SINGH</t>
  </si>
  <si>
    <t>ASHISH YADAV</t>
  </si>
  <si>
    <t>DIGVIJAY CHOUDHARY</t>
  </si>
  <si>
    <t>GAJAKOSH YASH DEEPAK</t>
  </si>
  <si>
    <t>KAUSTUB RATNA SINHA</t>
  </si>
  <si>
    <t>LAKSHITA SINGH</t>
  </si>
  <si>
    <t>MR. HARSH RAVINDRA PATASKAR</t>
  </si>
  <si>
    <t>PANDEY ANUBHA VIPDANAND</t>
  </si>
  <si>
    <t>PRIYAL JAIN</t>
  </si>
  <si>
    <t>PRIYASHA GUPTA</t>
  </si>
  <si>
    <t>RUNU RANI GAYARY</t>
  </si>
  <si>
    <t>SAHIL GUPTA</t>
  </si>
  <si>
    <t>SAMRIDHI SINHA</t>
  </si>
  <si>
    <t>SEJAL TAORI</t>
  </si>
  <si>
    <t>SHALINI SINGH</t>
  </si>
  <si>
    <t>SHAURYA SINGHAL</t>
  </si>
  <si>
    <t>SIDDHARTH FERNANDES</t>
  </si>
  <si>
    <t>ANVESHA JAIN</t>
  </si>
  <si>
    <t>ARCHITA JAIN</t>
  </si>
  <si>
    <t>ARIJIT BARUA</t>
  </si>
  <si>
    <t>HANSRAJ OJHA</t>
  </si>
  <si>
    <t>HARSH CHOURASIA</t>
  </si>
  <si>
    <t>ISHITA</t>
  </si>
  <si>
    <t>KUNAL SEJKAR</t>
  </si>
  <si>
    <t>MANAS SINGH</t>
  </si>
  <si>
    <t>NABIL NAZARU</t>
  </si>
  <si>
    <t>PRAMATH TEWARI</t>
  </si>
  <si>
    <t>SAINA SABHARWAL</t>
  </si>
  <si>
    <t>SHAMBHAVI ATUL GAWANDE</t>
  </si>
  <si>
    <t>ABIEL IMMANUEL PAPANG</t>
  </si>
  <si>
    <t>ADITYA PADHI</t>
  </si>
  <si>
    <t>AKHIL MADDELA</t>
  </si>
  <si>
    <t>AKSHAT AGARWAL</t>
  </si>
  <si>
    <t>AMIT KUMAR</t>
  </si>
  <si>
    <t>ANAMIKA JANA</t>
  </si>
  <si>
    <t>ANJALI GUPTA</t>
  </si>
  <si>
    <t>ANUSHKA GAYEN</t>
  </si>
  <si>
    <t>DHRUV AGARWAL</t>
  </si>
  <si>
    <t>GANDHI SHREYA KALPESH</t>
  </si>
  <si>
    <t>HARSHIT TOPPO</t>
  </si>
  <si>
    <t>HARSHITA ARORA</t>
  </si>
  <si>
    <t>K RAJIT</t>
  </si>
  <si>
    <t>KAJAL DHAMIJA</t>
  </si>
  <si>
    <t>KAUSHAL KISHOR</t>
  </si>
  <si>
    <t>MEHUL</t>
  </si>
  <si>
    <t>SAMEER BHASIN</t>
  </si>
  <si>
    <t>SHASHANK RAI</t>
  </si>
  <si>
    <t>SHUBHAM NAHATA</t>
  </si>
  <si>
    <t>VAISHNAWI AJIT</t>
  </si>
  <si>
    <t>YASHWANT SINGH</t>
  </si>
  <si>
    <t>HARSHIT KUMAR</t>
  </si>
  <si>
    <t>MANU PRAKASH R</t>
  </si>
  <si>
    <t>PRANUV R</t>
  </si>
  <si>
    <t>Rajkumar Pathina</t>
  </si>
  <si>
    <t>ADITI AGRAWAL</t>
  </si>
  <si>
    <t>ADITI SINGH THAKUR</t>
  </si>
  <si>
    <t>ISHIKA RAI</t>
  </si>
  <si>
    <t>JAIVARDHAN SINGH</t>
  </si>
  <si>
    <t>KARTHIKA A S</t>
  </si>
  <si>
    <t>SARTHAK MOHARI</t>
  </si>
  <si>
    <t>SHREYA AGRAWAL</t>
  </si>
  <si>
    <t>SWAPNIL RAMDAS WAGH</t>
  </si>
  <si>
    <t>TUSSHAR RAJ SINHA</t>
  </si>
  <si>
    <t>YASHIKA YADAV</t>
  </si>
  <si>
    <t>DEON PAUL</t>
  </si>
  <si>
    <t>J J JAYAESH DHARMA</t>
  </si>
  <si>
    <t>JAYANT KUMAR</t>
  </si>
  <si>
    <t>NAMEERA ALI</t>
  </si>
  <si>
    <t>PRITIKA PAUL</t>
  </si>
  <si>
    <t>RITHIKA O</t>
  </si>
  <si>
    <t>SABHAVATH AAKASH</t>
  </si>
  <si>
    <t>SUJAL PATIDAR</t>
  </si>
  <si>
    <t>SURYANSH KUMAR</t>
  </si>
  <si>
    <t>PRIYANSHU SHARMA</t>
  </si>
  <si>
    <t>ATHULYA LAL</t>
  </si>
  <si>
    <t>DEVANGI MOHAN BHAMARE</t>
  </si>
  <si>
    <t>JASKEERAT SINGH KHALSA</t>
  </si>
  <si>
    <t>KHUSHI MUNKA</t>
  </si>
  <si>
    <t>MINAKSHI MAWARI</t>
  </si>
  <si>
    <t>NALIN SURIYA S</t>
  </si>
  <si>
    <t>RASHIM VERMA</t>
  </si>
  <si>
    <t>BHUMI KALPESH SHAH</t>
  </si>
  <si>
    <t>DAWARE SUYASH SATISH</t>
  </si>
  <si>
    <t>GAURISHA DIVYANSHI</t>
  </si>
  <si>
    <t>ROHAN KUMAR</t>
  </si>
  <si>
    <t>SHRAVANI ASHISH MAISKAR</t>
  </si>
  <si>
    <t>SONAWANE SAGAR NITIN</t>
  </si>
  <si>
    <t>AFAQU HYDER</t>
  </si>
  <si>
    <t>RAHUL SHEKHAWAT</t>
  </si>
  <si>
    <t>SANYAM JAISWAL</t>
  </si>
  <si>
    <t>SHAMBHAVI UPADHYAY</t>
  </si>
  <si>
    <t>GURJIT SAGAR V</t>
  </si>
  <si>
    <t>JATIN JAIN S</t>
  </si>
  <si>
    <t>ASHIM FRANCIS TIRKEY</t>
  </si>
  <si>
    <t>DEBOJYOTI SARKAR</t>
  </si>
  <si>
    <t>DEEPANSHU ANAND</t>
  </si>
  <si>
    <t>MANSI KUMARI</t>
  </si>
  <si>
    <t>PRIYANSHI CHIMNANI</t>
  </si>
  <si>
    <t>RUCHIR DAMANI</t>
  </si>
  <si>
    <t>SAATVIK AGARWAL</t>
  </si>
  <si>
    <t>YASHASVI RANA</t>
  </si>
  <si>
    <t>SIDHARTHA BANRA</t>
  </si>
  <si>
    <t>TANYA</t>
  </si>
  <si>
    <t>ASHA CHRISTINA HEMBROM</t>
  </si>
  <si>
    <t>Murari Reddy</t>
  </si>
  <si>
    <t>Boda Bharath Chandra</t>
  </si>
  <si>
    <t>Nishi Nita Minj</t>
  </si>
  <si>
    <t>ABHISHEK NAGPAL</t>
  </si>
  <si>
    <t>AKANSH KARTHIKEYAN B</t>
  </si>
  <si>
    <t>SANIA JAMAN</t>
  </si>
  <si>
    <t>SHRIKANT ANIL AMBHORE</t>
  </si>
  <si>
    <t>ADITI KULKARNI</t>
  </si>
  <si>
    <t>APURVA WALASE</t>
  </si>
  <si>
    <t>KRITHIKA SHUNMUGARAJ</t>
  </si>
  <si>
    <t>SNEHJIT CHOWDHARY</t>
  </si>
  <si>
    <t>SUNIDHI GURKAR</t>
  </si>
  <si>
    <t>SUYASHREE BAGHELE</t>
  </si>
  <si>
    <t>AAKRITI PRIYA</t>
  </si>
  <si>
    <t>CHARUSHI DARRO</t>
  </si>
  <si>
    <t>JAIVARDHAN S CHOUHAN</t>
  </si>
  <si>
    <t>PALLAVI KUMARI</t>
  </si>
  <si>
    <t>RAGHAVI SHARMA</t>
  </si>
  <si>
    <t>ROHIT KORI</t>
  </si>
  <si>
    <t>SANATH YESURKE</t>
  </si>
  <si>
    <t>SHIPRA YADAV</t>
  </si>
  <si>
    <t>ABHINAV SAMAVEDAM</t>
  </si>
  <si>
    <t>ANANDITA</t>
  </si>
  <si>
    <t>APARNA PREMANAND</t>
  </si>
  <si>
    <t>BHOSALE ADITYA ASHOK</t>
  </si>
  <si>
    <t>MEENA CHOUDHARY</t>
  </si>
  <si>
    <t>Amos Ruangmei</t>
  </si>
  <si>
    <t>SHREYA SINHA</t>
  </si>
  <si>
    <t>TANYA SAI</t>
  </si>
  <si>
    <t>AGRIM KHURANA</t>
  </si>
  <si>
    <t>AMRIT TRIPATHY</t>
  </si>
  <si>
    <t>ANKITA SHAW</t>
  </si>
  <si>
    <t>GHOWSHIC RAGHUL A</t>
  </si>
  <si>
    <t>HIMANSHI AGARWAL</t>
  </si>
  <si>
    <t>INGALE SUDHIR SUBHASH</t>
  </si>
  <si>
    <t>KETHAVATH SAI ABHILASH NAIK</t>
  </si>
  <si>
    <t>MRINAL KANTI SAHA</t>
  </si>
  <si>
    <t>NIKHIL GUPTA</t>
  </si>
  <si>
    <t>PRITEEDEVI YADAV</t>
  </si>
  <si>
    <t>RASHMI RAJ</t>
  </si>
  <si>
    <t>RUCHI MITTAL</t>
  </si>
  <si>
    <t>RUPAL MASSEY</t>
  </si>
  <si>
    <t>SAUMYA DARSHAN</t>
  </si>
  <si>
    <t>SONAM YANGDUP BHUTIA</t>
  </si>
  <si>
    <t>VANDIT MEHTA</t>
  </si>
  <si>
    <t>A CHANDINI</t>
  </si>
  <si>
    <t>ADITI WAVARE</t>
  </si>
  <si>
    <t>AMISHA EKKA</t>
  </si>
  <si>
    <t>AMIT KUMAR PUSHKAR</t>
  </si>
  <si>
    <t>DEBOLINA MITRA</t>
  </si>
  <si>
    <t>RUCHI DIDWANIA</t>
  </si>
  <si>
    <t>SAHIL KHANNA</t>
  </si>
  <si>
    <t>SIMRAN</t>
  </si>
  <si>
    <t>SOUMILI DEBNATH</t>
  </si>
  <si>
    <t>VANSHIKA KOUL</t>
  </si>
  <si>
    <t>ADITI SAURAV</t>
  </si>
  <si>
    <t>ADITYA DESHMUKH</t>
  </si>
  <si>
    <t>APARNA KUMARI SAMANTA</t>
  </si>
  <si>
    <t>DEVYUKTA KARWA</t>
  </si>
  <si>
    <t>HARSHITA RATHI</t>
  </si>
  <si>
    <t>RASHI SRIVASTAVA</t>
  </si>
  <si>
    <t>RITIKA</t>
  </si>
  <si>
    <t>KRISHNA KUMAR GANJHU</t>
  </si>
  <si>
    <t>ARKO PROVO RAY</t>
  </si>
  <si>
    <t>ARUNJYOTI SHARMA</t>
  </si>
  <si>
    <t>AYUSH BANSAL</t>
  </si>
  <si>
    <t>BHAVYA GOYAL</t>
  </si>
  <si>
    <t>OAM SACHIN JAGTAP</t>
  </si>
  <si>
    <t>RAGUL ADITHYA M</t>
  </si>
  <si>
    <t>RAGULRAJ R</t>
  </si>
  <si>
    <t>SHREEMA SHRUTI</t>
  </si>
  <si>
    <t>Rutuj Rajesh Debadwar</t>
  </si>
  <si>
    <t>HEMANT HOLANI</t>
  </si>
  <si>
    <t>Prasad Vidyadhar Mestry</t>
  </si>
  <si>
    <t>RITU TIRKEY</t>
  </si>
  <si>
    <t>Shivam singh</t>
  </si>
  <si>
    <t>Esha Ravindra Shivdas</t>
  </si>
  <si>
    <t>Sukhad Shirish Shirkhedkar</t>
  </si>
  <si>
    <t>Yajas Ashok Dhoble</t>
  </si>
  <si>
    <t>Oliver Rasikan Surin</t>
  </si>
  <si>
    <t>AAKANKSHA KIRTI</t>
  </si>
  <si>
    <t>ANWESA APOORVA</t>
  </si>
  <si>
    <t>RISHIKA KADAM</t>
  </si>
  <si>
    <t>VINAY DATTA JANGA</t>
  </si>
  <si>
    <t>RIYA GUPTA</t>
  </si>
  <si>
    <t>SAKSHI AWASTHI</t>
  </si>
  <si>
    <t>ALOK PANDEY</t>
  </si>
  <si>
    <t>KARTIK KUMAR JAIN</t>
  </si>
  <si>
    <t>MADEM GURU PRAVEEN REDDY</t>
  </si>
  <si>
    <t>PRAGATI SHREYA KESHRI</t>
  </si>
  <si>
    <t>RUMANI</t>
  </si>
  <si>
    <t>JASPREET KAUR BHATIA</t>
  </si>
  <si>
    <t>SANYUKTA PAUL</t>
  </si>
  <si>
    <t>SREYOSHI GOPE</t>
  </si>
  <si>
    <t>TANISHA KUMARI</t>
  </si>
  <si>
    <t>MOHAMMED SAJID C</t>
  </si>
  <si>
    <t>PUNEETH RAJ KR</t>
  </si>
  <si>
    <t>ALYN BIJU SAHARIYA</t>
  </si>
  <si>
    <t>ANKITA SHARMA</t>
  </si>
  <si>
    <t>K Z KHADEEJA ZUHAIRA</t>
  </si>
  <si>
    <t>SINGH TORAN</t>
  </si>
  <si>
    <t>SUJAY C</t>
  </si>
  <si>
    <t>TANK CHHAVI VINOD</t>
  </si>
  <si>
    <t>VADOLIYA VANDAN VASANTBHAI</t>
  </si>
  <si>
    <t>A SONALI BUVANESH</t>
  </si>
  <si>
    <t>JETTURI KEERTHANA MUDHIRAJ</t>
  </si>
  <si>
    <t>PRANAY VIKAS MOVVA</t>
  </si>
  <si>
    <t>SHRI BALAJEE S</t>
  </si>
  <si>
    <t>Ruchika Ajay Chamedia</t>
  </si>
  <si>
    <t>VATSAL JAISWAL</t>
  </si>
  <si>
    <t>AYUSH SINGH</t>
  </si>
  <si>
    <t>ANANYA CHHABRA</t>
  </si>
  <si>
    <t>NAMAN KHOKHAR</t>
  </si>
  <si>
    <t>SMITH RAJ</t>
  </si>
  <si>
    <t>JAI PARKASH</t>
  </si>
  <si>
    <t>RISHABH SINGH</t>
  </si>
  <si>
    <t>MEHUL TALREJA</t>
  </si>
  <si>
    <t>RISHAV SINGH</t>
  </si>
  <si>
    <t>SANKALP SINHA</t>
  </si>
  <si>
    <t>SARTHAK WADHWA</t>
  </si>
  <si>
    <t>ARJUN SABARI RAGURAMAN</t>
  </si>
  <si>
    <t>AMEYTESHWAR SINGH</t>
  </si>
  <si>
    <t>JANHVI YADAV</t>
  </si>
  <si>
    <t>YAMAN GUPTA</t>
  </si>
  <si>
    <t>AANVI SARIN</t>
  </si>
  <si>
    <t>BHAVYA SINGLA</t>
  </si>
  <si>
    <t>RITIKA CHANDEL</t>
  </si>
  <si>
    <t>JYOTI KUMARI</t>
  </si>
  <si>
    <t>PIYUSH YADAV</t>
  </si>
  <si>
    <t>ADITYA ASHOK VAISHNAV</t>
  </si>
  <si>
    <t>ARUNJYOTI KALITA</t>
  </si>
  <si>
    <t>NIDHI SINGH</t>
  </si>
  <si>
    <t>MOHAMMED FARHAN. M.K</t>
  </si>
  <si>
    <t>SHUBHAM MISHRA</t>
  </si>
  <si>
    <t>DEBASISH SETHI</t>
  </si>
  <si>
    <t>SONMAYA SUVRANSU SEKHAR NAYAK</t>
  </si>
  <si>
    <t>K ROHAN RAJ Kumar</t>
  </si>
  <si>
    <t>ADITYA KUMAR</t>
  </si>
  <si>
    <t>CHAUDHARI MITHILESH RAMDAS</t>
  </si>
  <si>
    <t>ISHA JAISWAL</t>
  </si>
  <si>
    <t>MAINAK BIN</t>
  </si>
  <si>
    <t>NAMIT KAUR</t>
  </si>
  <si>
    <t>RAGHUL G</t>
  </si>
  <si>
    <t>SANJANA SARRAF</t>
  </si>
  <si>
    <t>DHARAIYA DEV RAJESHBHAI</t>
  </si>
  <si>
    <t>P SHREYA SARBANI</t>
  </si>
  <si>
    <t>AKHIL KUMAR GOYAL</t>
  </si>
  <si>
    <t>LAKSHYA JOSHI</t>
  </si>
  <si>
    <t>SAMRIDDHI JAIN</t>
  </si>
  <si>
    <t>MEDAK VISHWA RAJ</t>
  </si>
  <si>
    <t>SHUBHAM KUMAR SINGH</t>
  </si>
  <si>
    <t>BANKAPALLI AISHWARYA</t>
  </si>
  <si>
    <t>SURPREET KAUR</t>
  </si>
  <si>
    <t>BHAVYA YADAV</t>
  </si>
  <si>
    <t>PRAJAWAL SINGH</t>
  </si>
  <si>
    <t>SACHIN KUMAR</t>
  </si>
  <si>
    <t>RUSHIRAJ NAWALE</t>
  </si>
  <si>
    <t>P K ANANYA</t>
  </si>
  <si>
    <t>TAVISHA TYAGI</t>
  </si>
  <si>
    <t>TEJSWI RAJ</t>
  </si>
  <si>
    <t>AISHWARYA JEGGAN</t>
  </si>
  <si>
    <t>PRIYANNKA T S</t>
  </si>
  <si>
    <t>YASH PARMAR</t>
  </si>
  <si>
    <t>ANANYA AGGARWAL</t>
  </si>
  <si>
    <t>DHRUV MISTRY</t>
  </si>
  <si>
    <t>ARJUN RAJA</t>
  </si>
  <si>
    <t>BRAJ KISHAN SINGH</t>
  </si>
  <si>
    <t>PARTH PANDEY</t>
  </si>
  <si>
    <t>YADAVALLI SATYA VENKATA ANITHA</t>
  </si>
  <si>
    <t>SAHIL SOLANKI</t>
  </si>
  <si>
    <t>ALWYN TEJ KUAMR TOPO</t>
  </si>
  <si>
    <t>MORAJKER MANTHAJ RAMDAS</t>
  </si>
  <si>
    <t>YASH KUMAR</t>
  </si>
  <si>
    <t>ISAAC CHUNGLIANTHAWNGA</t>
  </si>
  <si>
    <t>RAKSHA RAJESH PRABHU</t>
  </si>
  <si>
    <t>RAUT GAURAV BABULAL</t>
  </si>
  <si>
    <t>ANURAG RAJ</t>
  </si>
  <si>
    <t>MAANIK GOYAL</t>
  </si>
  <si>
    <t>PAVULURI BALA BHARATH KUMAR</t>
  </si>
  <si>
    <t>SHREHAL SINGH</t>
  </si>
  <si>
    <t>ASHISH KUMAR</t>
  </si>
  <si>
    <t>BHAVYAA AGGARWAL</t>
  </si>
  <si>
    <t>NIDHISH V P</t>
  </si>
  <si>
    <t>CHIRAG</t>
  </si>
  <si>
    <t>HIMNISH NIRWAN</t>
  </si>
  <si>
    <t>DHARVI GOND</t>
  </si>
  <si>
    <t>KINSHUHH KHARI</t>
  </si>
  <si>
    <t>dipankar.das123@iimranchi.ac.in</t>
  </si>
  <si>
    <t>PENMETSA VENKATA JAYAWANTH RAJU</t>
  </si>
  <si>
    <t>SHRUTI SEJAL KUJUR</t>
  </si>
  <si>
    <t>SAMEER BORO</t>
  </si>
  <si>
    <t>INDRAKANTI ASHRITHA</t>
  </si>
  <si>
    <t>PRATEEK RAWAT</t>
  </si>
  <si>
    <t>KEYA SUNDEEP PATEL</t>
  </si>
  <si>
    <t>KOMAL KARAN</t>
  </si>
  <si>
    <t>SAHEL SAJID</t>
  </si>
  <si>
    <t>ANUPRIYA PRADEEP BUMMERKAR</t>
  </si>
  <si>
    <t>SAURAV B</t>
  </si>
  <si>
    <t>Prof. Vikas Pathe, Prof. Ambuj B. Anand, Prof. Manish Kumar, Prof. Gaurav M Marathe, Prof. George Joseph, Guest Faculty</t>
  </si>
  <si>
    <t>Ambuj B. Anand, R Vivekanand</t>
  </si>
  <si>
    <t>Prof. Ankur Jha, Prof. Shweta Jha, Dr. Charu Jain, Ms.Deborah T. Joy</t>
  </si>
  <si>
    <t>Prof. Satyam, Prof. Rohit Kumar, Mr. Avnish Anand</t>
  </si>
  <si>
    <t>Prof. Rohit Kumar, Prof. Aditya Agrawal</t>
  </si>
  <si>
    <t>Ambuj B. Anand, Manish Kumar, Guest Faculty</t>
  </si>
  <si>
    <t>Prof Jang Bahadur Singh, Prof. Santosh K Prusty</t>
  </si>
  <si>
    <t>Film and the Firm: Visual Culture in Business Contexts (A)</t>
  </si>
  <si>
    <t>Film and the Firm: Visual Culture in Business Contexts (B)</t>
  </si>
  <si>
    <t>HRLAISE01-A</t>
  </si>
  <si>
    <t>HRLAISE01-B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</si>
</sst>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d&quot;/&quot;m&quot;/&quot;yyyy"/>
    <numFmt numFmtId="166" formatCode="m\,\ d"/>
  </numFmts>
  <fonts count="31">
    <font>
      <sz val="10"/>
      <color rgb="FF000000"/>
      <name val="Calibri"/>
      <scheme val="minor"/>
    </font>
    <font>
      <b/>
      <sz val="11"/>
      <color rgb="FF000000"/>
      <name val="&quot;Aptos Narrow&quot;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b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&quot;Aptos Narrow&quot;"/>
    </font>
    <font>
      <b/>
      <sz val="10"/>
      <color rgb="FFFFFFFF"/>
      <name val="Arial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Calibri"/>
      <family val="2"/>
      <scheme val="minor"/>
    </font>
    <font>
      <u/>
      <sz val="10"/>
      <color rgb="FF1155CC"/>
      <name val="Arial"/>
      <family val="2"/>
    </font>
    <font>
      <sz val="11"/>
      <color theme="1"/>
      <name val="Calibri"/>
      <family val="2"/>
    </font>
    <font>
      <u/>
      <sz val="11"/>
      <color rgb="FF202124"/>
      <name val="Roboto"/>
    </font>
    <font>
      <sz val="11"/>
      <color theme="1"/>
      <name val="Arial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u/>
      <sz val="10"/>
      <color rgb="FF0563C1"/>
      <name val="Calibri"/>
      <family val="2"/>
    </font>
    <font>
      <sz val="10"/>
      <color rgb="FF000000"/>
      <name val="Calibri"/>
      <family val="2"/>
    </font>
    <font>
      <b/>
      <sz val="11"/>
      <color rgb="FF2E3436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rgb="FF2021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5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/>
    <xf numFmtId="0" fontId="8" fillId="0" borderId="0" xfId="0" applyFont="1"/>
    <xf numFmtId="0" fontId="3" fillId="0" borderId="10" xfId="0" applyFont="1" applyBorder="1" applyAlignment="1">
      <alignment horizontal="center" vertical="center"/>
    </xf>
    <xf numFmtId="0" fontId="3" fillId="0" borderId="3" xfId="0" applyFont="1" applyBorder="1"/>
    <xf numFmtId="0" fontId="3" fillId="0" borderId="12" xfId="0" applyFont="1" applyBorder="1" applyAlignment="1">
      <alignment horizontal="center" vertical="center"/>
    </xf>
    <xf numFmtId="0" fontId="3" fillId="0" borderId="4" xfId="0" applyFont="1" applyBorder="1"/>
    <xf numFmtId="16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1" fillId="0" borderId="0" xfId="0" applyFont="1"/>
    <xf numFmtId="0" fontId="12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22" xfId="0" applyFont="1" applyFill="1" applyBorder="1"/>
    <xf numFmtId="0" fontId="1" fillId="2" borderId="22" xfId="0" applyFont="1" applyFill="1" applyBorder="1"/>
    <xf numFmtId="0" fontId="12" fillId="2" borderId="2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5" fillId="0" borderId="1" xfId="0" applyFont="1" applyBorder="1"/>
    <xf numFmtId="0" fontId="3" fillId="6" borderId="0" xfId="0" applyFont="1" applyFill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7" fillId="0" borderId="0" xfId="0" applyFont="1"/>
    <xf numFmtId="0" fontId="5" fillId="7" borderId="31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10" borderId="0" xfId="0" applyFont="1" applyFill="1"/>
    <xf numFmtId="0" fontId="15" fillId="0" borderId="1" xfId="0" applyFont="1" applyBorder="1" applyAlignment="1">
      <alignment horizontal="center" vertical="top"/>
    </xf>
    <xf numFmtId="0" fontId="14" fillId="10" borderId="1" xfId="0" applyFont="1" applyFill="1" applyBorder="1"/>
    <xf numFmtId="0" fontId="16" fillId="0" borderId="1" xfId="0" applyFont="1" applyBorder="1"/>
    <xf numFmtId="0" fontId="16" fillId="0" borderId="0" xfId="0" applyFont="1"/>
    <xf numFmtId="0" fontId="17" fillId="10" borderId="0" xfId="0" applyFont="1" applyFill="1"/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3" fillId="4" borderId="0" xfId="0" applyFont="1" applyFill="1"/>
    <xf numFmtId="0" fontId="3" fillId="2" borderId="1" xfId="0" quotePrefix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6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8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/>
    <xf numFmtId="0" fontId="13" fillId="5" borderId="42" xfId="0" applyFont="1" applyFill="1" applyBorder="1"/>
    <xf numFmtId="0" fontId="2" fillId="0" borderId="43" xfId="0" applyFont="1" applyBorder="1"/>
    <xf numFmtId="0" fontId="18" fillId="5" borderId="1" xfId="0" applyFont="1" applyFill="1" applyBorder="1"/>
    <xf numFmtId="0" fontId="16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16" fillId="0" borderId="44" xfId="0" applyFont="1" applyBorder="1" applyAlignment="1">
      <alignment horizontal="center"/>
    </xf>
    <xf numFmtId="0" fontId="16" fillId="0" borderId="44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0" xfId="0" applyFont="1"/>
    <xf numFmtId="0" fontId="16" fillId="0" borderId="18" xfId="0" applyFont="1" applyBorder="1"/>
    <xf numFmtId="0" fontId="22" fillId="0" borderId="1" xfId="0" applyFont="1" applyBorder="1"/>
    <xf numFmtId="0" fontId="16" fillId="0" borderId="45" xfId="0" applyFont="1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10" borderId="0" xfId="0" applyFont="1" applyFill="1"/>
    <xf numFmtId="0" fontId="27" fillId="0" borderId="1" xfId="0" applyFont="1" applyBorder="1" applyAlignment="1">
      <alignment horizontal="center" vertical="top"/>
    </xf>
    <xf numFmtId="0" fontId="28" fillId="0" borderId="0" xfId="0" applyFont="1"/>
    <xf numFmtId="0" fontId="29" fillId="0" borderId="1" xfId="0" applyFont="1" applyBorder="1"/>
    <xf numFmtId="0" fontId="16" fillId="0" borderId="43" xfId="0" applyFont="1" applyBorder="1" applyAlignment="1">
      <alignment horizontal="center"/>
    </xf>
    <xf numFmtId="0" fontId="16" fillId="0" borderId="43" xfId="0" applyFont="1" applyBorder="1"/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0" fontId="16" fillId="3" borderId="44" xfId="0" applyFont="1" applyFill="1" applyBorder="1" applyAlignment="1">
      <alignment horizontal="center"/>
    </xf>
    <xf numFmtId="0" fontId="16" fillId="3" borderId="44" xfId="0" applyFont="1" applyFill="1" applyBorder="1"/>
    <xf numFmtId="0" fontId="20" fillId="3" borderId="1" xfId="0" applyFont="1" applyFill="1" applyBorder="1"/>
    <xf numFmtId="0" fontId="22" fillId="3" borderId="1" xfId="0" applyFont="1" applyFill="1" applyBorder="1" applyAlignment="1">
      <alignment horizontal="center" vertical="top"/>
    </xf>
    <xf numFmtId="0" fontId="10" fillId="5" borderId="13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9" fillId="0" borderId="9" xfId="0" applyFont="1" applyBorder="1"/>
    <xf numFmtId="0" fontId="9" fillId="0" borderId="11" xfId="0" applyFont="1" applyBorder="1"/>
    <xf numFmtId="0" fontId="3" fillId="0" borderId="9" xfId="0" applyFont="1" applyBorder="1" applyAlignment="1">
      <alignment horizontal="center" vertical="center"/>
    </xf>
    <xf numFmtId="165" fontId="4" fillId="2" borderId="23" xfId="0" applyNumberFormat="1" applyFont="1" applyFill="1" applyBorder="1" applyAlignment="1">
      <alignment horizontal="center" vertical="center"/>
    </xf>
    <xf numFmtId="0" fontId="9" fillId="0" borderId="27" xfId="0" applyFont="1" applyBorder="1"/>
    <xf numFmtId="0" fontId="9" fillId="0" borderId="30" xfId="0" applyFont="1" applyBorder="1"/>
    <xf numFmtId="165" fontId="4" fillId="3" borderId="23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1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E3436"/>
      </a:dk1>
      <a:lt1>
        <a:srgbClr val="FFFFFF"/>
      </a:lt1>
      <a:dk2>
        <a:srgbClr val="2E3436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nshu.sharmai21@iimranchi.ac.in" TargetMode="External"/><Relationship Id="rId3" Type="http://schemas.openxmlformats.org/officeDocument/2006/relationships/hyperlink" Target="mailto:dipankar.das123@iimranchi.ac.in" TargetMode="External"/><Relationship Id="rId7" Type="http://schemas.openxmlformats.org/officeDocument/2006/relationships/hyperlink" Target="mailto:prateek.rawati21@iimranchi.ac.in" TargetMode="External"/><Relationship Id="rId2" Type="http://schemas.openxmlformats.org/officeDocument/2006/relationships/hyperlink" Target="mailto:yashasvi.rana24m@iimranchi.ac.in" TargetMode="External"/><Relationship Id="rId1" Type="http://schemas.openxmlformats.org/officeDocument/2006/relationships/hyperlink" Target="mailto:harshita.rathi24m@iimranchi.ac.in" TargetMode="External"/><Relationship Id="rId6" Type="http://schemas.openxmlformats.org/officeDocument/2006/relationships/hyperlink" Target="mailto:prateek.rawati21@iimranchi.ac.in" TargetMode="External"/><Relationship Id="rId5" Type="http://schemas.openxmlformats.org/officeDocument/2006/relationships/hyperlink" Target="mailto:ameyteshwar.singhi21@iimranchi.ac.in" TargetMode="External"/><Relationship Id="rId4" Type="http://schemas.openxmlformats.org/officeDocument/2006/relationships/hyperlink" Target="mailto:ameyteshwar.singhi21@iimranch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workbookViewId="0">
      <pane xSplit="1" topLeftCell="B1" activePane="topRight" state="frozen"/>
      <selection pane="topRight" activeCell="C2" sqref="C2"/>
    </sheetView>
  </sheetViews>
  <sheetFormatPr defaultColWidth="14.3984375" defaultRowHeight="15.75" customHeight="1"/>
  <cols>
    <col min="1" max="1" width="7" customWidth="1"/>
    <col min="2" max="2" width="12.8984375" customWidth="1"/>
  </cols>
  <sheetData>
    <row r="1" spans="1:26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 t="s">
        <v>11</v>
      </c>
      <c r="N1" s="5" t="s">
        <v>12</v>
      </c>
      <c r="O1" s="5" t="s">
        <v>13</v>
      </c>
      <c r="P1" s="3" t="s">
        <v>14</v>
      </c>
      <c r="Q1" s="3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3" t="s">
        <v>21</v>
      </c>
      <c r="X1" s="6" t="s">
        <v>22</v>
      </c>
      <c r="Y1" s="7"/>
      <c r="Z1" s="7"/>
    </row>
    <row r="2" spans="1:26" ht="15.75" customHeight="1">
      <c r="A2" s="8">
        <v>1</v>
      </c>
      <c r="B2" s="9" t="s">
        <v>23</v>
      </c>
      <c r="C2" s="9" t="s">
        <v>23</v>
      </c>
      <c r="D2" s="9" t="s">
        <v>24</v>
      </c>
      <c r="E2" s="9" t="s">
        <v>24</v>
      </c>
      <c r="F2" s="9" t="s">
        <v>25</v>
      </c>
      <c r="G2" s="9" t="s">
        <v>25</v>
      </c>
      <c r="H2" s="9" t="s">
        <v>26</v>
      </c>
      <c r="I2" s="9" t="s">
        <v>26</v>
      </c>
      <c r="J2" s="9" t="s">
        <v>27</v>
      </c>
      <c r="K2" s="9" t="s">
        <v>28</v>
      </c>
      <c r="L2" s="9" t="s">
        <v>28</v>
      </c>
      <c r="M2" s="9" t="s">
        <v>29</v>
      </c>
      <c r="N2" s="9" t="s">
        <v>30</v>
      </c>
      <c r="O2" s="9" t="s">
        <v>30</v>
      </c>
      <c r="P2" s="9" t="s">
        <v>31</v>
      </c>
      <c r="Q2" s="9" t="s">
        <v>32</v>
      </c>
      <c r="R2" s="9" t="s">
        <v>33</v>
      </c>
      <c r="S2" s="9" t="s">
        <v>33</v>
      </c>
      <c r="T2" s="10" t="s">
        <v>34</v>
      </c>
      <c r="U2" s="10" t="s">
        <v>34</v>
      </c>
      <c r="V2" s="10" t="s">
        <v>35</v>
      </c>
      <c r="W2" s="10" t="s">
        <v>36</v>
      </c>
      <c r="X2" s="9" t="s">
        <v>37</v>
      </c>
      <c r="Y2" s="7"/>
      <c r="Z2" s="7"/>
    </row>
    <row r="3" spans="1:26" ht="15.75" customHeight="1">
      <c r="A3" s="8">
        <v>2</v>
      </c>
      <c r="B3" s="9" t="s">
        <v>23</v>
      </c>
      <c r="C3" s="9" t="s">
        <v>23</v>
      </c>
      <c r="D3" s="9" t="s">
        <v>24</v>
      </c>
      <c r="E3" s="9" t="s">
        <v>24</v>
      </c>
      <c r="F3" s="9" t="s">
        <v>25</v>
      </c>
      <c r="G3" s="9" t="s">
        <v>25</v>
      </c>
      <c r="H3" s="9" t="s">
        <v>38</v>
      </c>
      <c r="I3" s="9" t="s">
        <v>38</v>
      </c>
      <c r="J3" s="9" t="s">
        <v>27</v>
      </c>
      <c r="K3" s="9" t="s">
        <v>28</v>
      </c>
      <c r="L3" s="9" t="s">
        <v>28</v>
      </c>
      <c r="M3" s="9" t="s">
        <v>29</v>
      </c>
      <c r="N3" s="9" t="s">
        <v>30</v>
      </c>
      <c r="O3" s="9" t="s">
        <v>30</v>
      </c>
      <c r="P3" s="9" t="s">
        <v>31</v>
      </c>
      <c r="Q3" s="9" t="s">
        <v>32</v>
      </c>
      <c r="R3" s="9" t="s">
        <v>33</v>
      </c>
      <c r="S3" s="9" t="s">
        <v>33</v>
      </c>
      <c r="T3" s="10" t="s">
        <v>34</v>
      </c>
      <c r="U3" s="10" t="s">
        <v>34</v>
      </c>
      <c r="V3" s="10" t="s">
        <v>35</v>
      </c>
      <c r="W3" s="10" t="s">
        <v>36</v>
      </c>
      <c r="X3" s="9" t="s">
        <v>37</v>
      </c>
      <c r="Y3" s="7"/>
      <c r="Z3" s="7"/>
    </row>
    <row r="4" spans="1:26" ht="15.75" customHeight="1">
      <c r="A4" s="8">
        <v>3</v>
      </c>
      <c r="B4" s="9" t="s">
        <v>23</v>
      </c>
      <c r="C4" s="9" t="s">
        <v>23</v>
      </c>
      <c r="D4" s="9" t="s">
        <v>24</v>
      </c>
      <c r="E4" s="9" t="s">
        <v>24</v>
      </c>
      <c r="F4" s="9" t="s">
        <v>25</v>
      </c>
      <c r="G4" s="9" t="s">
        <v>25</v>
      </c>
      <c r="H4" s="9" t="s">
        <v>26</v>
      </c>
      <c r="I4" s="9" t="s">
        <v>26</v>
      </c>
      <c r="J4" s="9" t="s">
        <v>27</v>
      </c>
      <c r="K4" s="9" t="s">
        <v>28</v>
      </c>
      <c r="L4" s="9" t="s">
        <v>28</v>
      </c>
      <c r="M4" s="9" t="s">
        <v>29</v>
      </c>
      <c r="N4" s="9" t="s">
        <v>36</v>
      </c>
      <c r="O4" s="9" t="s">
        <v>36</v>
      </c>
      <c r="P4" s="9" t="s">
        <v>31</v>
      </c>
      <c r="Q4" s="9" t="s">
        <v>32</v>
      </c>
      <c r="R4" s="9" t="s">
        <v>33</v>
      </c>
      <c r="S4" s="9" t="s">
        <v>33</v>
      </c>
      <c r="T4" s="10" t="s">
        <v>34</v>
      </c>
      <c r="U4" s="10" t="s">
        <v>34</v>
      </c>
      <c r="V4" s="10" t="s">
        <v>35</v>
      </c>
      <c r="W4" s="10" t="s">
        <v>36</v>
      </c>
      <c r="X4" s="9" t="s">
        <v>37</v>
      </c>
      <c r="Y4" s="7"/>
      <c r="Z4" s="7"/>
    </row>
    <row r="5" spans="1:26" ht="15.75" customHeight="1">
      <c r="A5" s="8">
        <v>4</v>
      </c>
      <c r="B5" s="9" t="s">
        <v>23</v>
      </c>
      <c r="C5" s="9" t="s">
        <v>23</v>
      </c>
      <c r="D5" s="9" t="s">
        <v>24</v>
      </c>
      <c r="E5" s="9" t="s">
        <v>24</v>
      </c>
      <c r="F5" s="9" t="s">
        <v>25</v>
      </c>
      <c r="G5" s="9" t="s">
        <v>25</v>
      </c>
      <c r="H5" s="9" t="s">
        <v>26</v>
      </c>
      <c r="I5" s="9" t="s">
        <v>26</v>
      </c>
      <c r="J5" s="9" t="s">
        <v>27</v>
      </c>
      <c r="K5" s="9" t="s">
        <v>28</v>
      </c>
      <c r="L5" s="9" t="s">
        <v>28</v>
      </c>
      <c r="M5" s="9" t="s">
        <v>29</v>
      </c>
      <c r="N5" s="9" t="s">
        <v>30</v>
      </c>
      <c r="O5" s="9" t="s">
        <v>30</v>
      </c>
      <c r="P5" s="9" t="s">
        <v>31</v>
      </c>
      <c r="Q5" s="9" t="s">
        <v>32</v>
      </c>
      <c r="R5" s="9" t="s">
        <v>33</v>
      </c>
      <c r="S5" s="9" t="s">
        <v>33</v>
      </c>
      <c r="T5" s="10" t="s">
        <v>34</v>
      </c>
      <c r="U5" s="10" t="s">
        <v>34</v>
      </c>
      <c r="V5" s="10" t="s">
        <v>35</v>
      </c>
      <c r="W5" s="10" t="s">
        <v>36</v>
      </c>
      <c r="X5" s="11" t="s">
        <v>39</v>
      </c>
      <c r="Y5" s="7"/>
      <c r="Z5" s="7"/>
    </row>
    <row r="6" spans="1:26" ht="15.75" customHeight="1">
      <c r="A6" s="8">
        <v>5</v>
      </c>
      <c r="B6" s="9" t="s">
        <v>23</v>
      </c>
      <c r="C6" s="9" t="s">
        <v>23</v>
      </c>
      <c r="D6" s="9" t="s">
        <v>24</v>
      </c>
      <c r="E6" s="9" t="s">
        <v>24</v>
      </c>
      <c r="F6" s="9" t="s">
        <v>25</v>
      </c>
      <c r="G6" s="9" t="s">
        <v>25</v>
      </c>
      <c r="H6" s="9" t="s">
        <v>26</v>
      </c>
      <c r="I6" s="9" t="s">
        <v>26</v>
      </c>
      <c r="J6" s="9" t="s">
        <v>27</v>
      </c>
      <c r="K6" s="9" t="s">
        <v>40</v>
      </c>
      <c r="L6" s="9" t="s">
        <v>40</v>
      </c>
      <c r="M6" s="9" t="s">
        <v>29</v>
      </c>
      <c r="N6" s="9" t="s">
        <v>30</v>
      </c>
      <c r="O6" s="9" t="s">
        <v>30</v>
      </c>
      <c r="P6" s="9" t="s">
        <v>31</v>
      </c>
      <c r="Q6" s="9" t="s">
        <v>32</v>
      </c>
      <c r="R6" s="9" t="s">
        <v>33</v>
      </c>
      <c r="S6" s="9" t="s">
        <v>33</v>
      </c>
      <c r="T6" s="10" t="s">
        <v>34</v>
      </c>
      <c r="U6" s="10" t="s">
        <v>34</v>
      </c>
      <c r="V6" s="10" t="s">
        <v>35</v>
      </c>
      <c r="W6" s="10" t="s">
        <v>36</v>
      </c>
      <c r="X6" s="11" t="s">
        <v>39</v>
      </c>
      <c r="Y6" s="7"/>
      <c r="Z6" s="7"/>
    </row>
    <row r="7" spans="1:26" ht="15.75" customHeight="1">
      <c r="A7" s="8">
        <v>6</v>
      </c>
      <c r="B7" s="9" t="s">
        <v>23</v>
      </c>
      <c r="C7" s="9" t="s">
        <v>23</v>
      </c>
      <c r="D7" s="9" t="s">
        <v>38</v>
      </c>
      <c r="E7" s="9" t="s">
        <v>38</v>
      </c>
      <c r="F7" s="9" t="s">
        <v>25</v>
      </c>
      <c r="G7" s="9" t="s">
        <v>25</v>
      </c>
      <c r="H7" s="9" t="s">
        <v>38</v>
      </c>
      <c r="I7" s="9" t="s">
        <v>38</v>
      </c>
      <c r="J7" s="9" t="s">
        <v>27</v>
      </c>
      <c r="K7" s="9" t="s">
        <v>40</v>
      </c>
      <c r="L7" s="9" t="s">
        <v>40</v>
      </c>
      <c r="M7" s="9" t="s">
        <v>29</v>
      </c>
      <c r="N7" s="9" t="s">
        <v>30</v>
      </c>
      <c r="O7" s="9" t="s">
        <v>30</v>
      </c>
      <c r="P7" s="9" t="s">
        <v>31</v>
      </c>
      <c r="Q7" s="9" t="s">
        <v>32</v>
      </c>
      <c r="R7" s="9" t="s">
        <v>41</v>
      </c>
      <c r="S7" s="9" t="s">
        <v>41</v>
      </c>
      <c r="T7" s="10" t="s">
        <v>34</v>
      </c>
      <c r="U7" s="10" t="s">
        <v>34</v>
      </c>
      <c r="V7" s="10" t="s">
        <v>35</v>
      </c>
      <c r="W7" s="9" t="s">
        <v>42</v>
      </c>
      <c r="X7" s="11" t="s">
        <v>39</v>
      </c>
      <c r="Y7" s="7"/>
      <c r="Z7" s="7"/>
    </row>
    <row r="8" spans="1:26" ht="15.75" customHeight="1">
      <c r="A8" s="8">
        <v>7</v>
      </c>
      <c r="B8" s="9" t="s">
        <v>23</v>
      </c>
      <c r="C8" s="9" t="s">
        <v>23</v>
      </c>
      <c r="D8" s="9" t="s">
        <v>43</v>
      </c>
      <c r="E8" s="9" t="s">
        <v>43</v>
      </c>
      <c r="F8" s="9" t="s">
        <v>25</v>
      </c>
      <c r="G8" s="9" t="s">
        <v>25</v>
      </c>
      <c r="H8" s="9" t="s">
        <v>26</v>
      </c>
      <c r="I8" s="9" t="s">
        <v>26</v>
      </c>
      <c r="J8" s="9" t="s">
        <v>27</v>
      </c>
      <c r="K8" s="9" t="s">
        <v>44</v>
      </c>
      <c r="L8" s="9" t="s">
        <v>44</v>
      </c>
      <c r="M8" s="9" t="s">
        <v>29</v>
      </c>
      <c r="N8" s="9" t="s">
        <v>30</v>
      </c>
      <c r="O8" s="9" t="s">
        <v>30</v>
      </c>
      <c r="P8" s="9" t="s">
        <v>31</v>
      </c>
      <c r="Q8" s="9" t="s">
        <v>32</v>
      </c>
      <c r="R8" s="9" t="s">
        <v>41</v>
      </c>
      <c r="S8" s="9" t="s">
        <v>41</v>
      </c>
      <c r="T8" s="10" t="s">
        <v>34</v>
      </c>
      <c r="U8" s="10" t="s">
        <v>34</v>
      </c>
      <c r="V8" s="10" t="s">
        <v>35</v>
      </c>
      <c r="W8" s="10" t="s">
        <v>42</v>
      </c>
      <c r="X8" s="11" t="s">
        <v>39</v>
      </c>
      <c r="Y8" s="7"/>
      <c r="Z8" s="7"/>
    </row>
    <row r="9" spans="1:26" ht="15.75" customHeight="1">
      <c r="A9" s="8">
        <v>8</v>
      </c>
      <c r="B9" s="9" t="s">
        <v>23</v>
      </c>
      <c r="C9" s="9" t="s">
        <v>23</v>
      </c>
      <c r="D9" s="9" t="s">
        <v>43</v>
      </c>
      <c r="E9" s="9" t="s">
        <v>43</v>
      </c>
      <c r="F9" s="9" t="s">
        <v>25</v>
      </c>
      <c r="G9" s="9" t="s">
        <v>25</v>
      </c>
      <c r="H9" s="9" t="s">
        <v>26</v>
      </c>
      <c r="I9" s="9" t="s">
        <v>26</v>
      </c>
      <c r="J9" s="9" t="s">
        <v>27</v>
      </c>
      <c r="K9" s="9" t="s">
        <v>44</v>
      </c>
      <c r="L9" s="9" t="s">
        <v>44</v>
      </c>
      <c r="M9" s="9" t="s">
        <v>29</v>
      </c>
      <c r="N9" s="9" t="s">
        <v>30</v>
      </c>
      <c r="O9" s="9" t="s">
        <v>30</v>
      </c>
      <c r="P9" s="9" t="s">
        <v>31</v>
      </c>
      <c r="Q9" s="9" t="s">
        <v>32</v>
      </c>
      <c r="R9" s="9" t="s">
        <v>41</v>
      </c>
      <c r="S9" s="9" t="s">
        <v>41</v>
      </c>
      <c r="T9" s="10" t="s">
        <v>34</v>
      </c>
      <c r="U9" s="10" t="s">
        <v>34</v>
      </c>
      <c r="V9" s="10" t="s">
        <v>35</v>
      </c>
      <c r="W9" s="10" t="s">
        <v>42</v>
      </c>
      <c r="X9" s="10" t="s">
        <v>45</v>
      </c>
      <c r="Y9" s="7"/>
      <c r="Z9" s="7"/>
    </row>
    <row r="10" spans="1:26" ht="15.75" customHeight="1">
      <c r="A10" s="8">
        <v>9</v>
      </c>
      <c r="B10" s="9" t="s">
        <v>23</v>
      </c>
      <c r="C10" s="9" t="s">
        <v>23</v>
      </c>
      <c r="D10" s="9" t="s">
        <v>43</v>
      </c>
      <c r="E10" s="9" t="s">
        <v>43</v>
      </c>
      <c r="F10" s="9" t="s">
        <v>25</v>
      </c>
      <c r="G10" s="9" t="s">
        <v>25</v>
      </c>
      <c r="H10" s="9" t="s">
        <v>38</v>
      </c>
      <c r="I10" s="9" t="s">
        <v>38</v>
      </c>
      <c r="J10" s="9" t="s">
        <v>27</v>
      </c>
      <c r="K10" s="9" t="s">
        <v>40</v>
      </c>
      <c r="L10" s="9" t="s">
        <v>40</v>
      </c>
      <c r="M10" s="9" t="s">
        <v>29</v>
      </c>
      <c r="N10" s="9" t="s">
        <v>30</v>
      </c>
      <c r="O10" s="9" t="s">
        <v>30</v>
      </c>
      <c r="P10" s="9" t="s">
        <v>46</v>
      </c>
      <c r="Q10" s="9" t="s">
        <v>32</v>
      </c>
      <c r="R10" s="9" t="s">
        <v>41</v>
      </c>
      <c r="S10" s="9" t="s">
        <v>41</v>
      </c>
      <c r="T10" s="10" t="s">
        <v>34</v>
      </c>
      <c r="U10" s="10" t="s">
        <v>34</v>
      </c>
      <c r="V10" s="10" t="s">
        <v>35</v>
      </c>
      <c r="W10" s="10" t="s">
        <v>42</v>
      </c>
      <c r="X10" s="10" t="s">
        <v>45</v>
      </c>
      <c r="Y10" s="7"/>
      <c r="Z10" s="7"/>
    </row>
    <row r="11" spans="1:26" ht="15.75" customHeight="1">
      <c r="A11" s="8">
        <v>10</v>
      </c>
      <c r="B11" s="11" t="s">
        <v>47</v>
      </c>
      <c r="C11" s="11" t="s">
        <v>47</v>
      </c>
      <c r="D11" s="9" t="s">
        <v>38</v>
      </c>
      <c r="E11" s="9" t="s">
        <v>38</v>
      </c>
      <c r="F11" s="9" t="s">
        <v>25</v>
      </c>
      <c r="G11" s="9" t="s">
        <v>25</v>
      </c>
      <c r="H11" s="9" t="s">
        <v>26</v>
      </c>
      <c r="I11" s="9" t="s">
        <v>26</v>
      </c>
      <c r="J11" s="10" t="s">
        <v>48</v>
      </c>
      <c r="K11" s="9" t="s">
        <v>40</v>
      </c>
      <c r="L11" s="9" t="s">
        <v>40</v>
      </c>
      <c r="M11" s="9" t="s">
        <v>49</v>
      </c>
      <c r="N11" s="9" t="s">
        <v>36</v>
      </c>
      <c r="O11" s="9" t="s">
        <v>36</v>
      </c>
      <c r="P11" s="9" t="s">
        <v>46</v>
      </c>
      <c r="Q11" s="9" t="s">
        <v>32</v>
      </c>
      <c r="R11" s="9" t="s">
        <v>41</v>
      </c>
      <c r="S11" s="9" t="s">
        <v>41</v>
      </c>
      <c r="T11" s="10" t="s">
        <v>34</v>
      </c>
      <c r="U11" s="10" t="s">
        <v>34</v>
      </c>
      <c r="V11" s="10" t="s">
        <v>35</v>
      </c>
      <c r="W11" s="10" t="s">
        <v>42</v>
      </c>
      <c r="X11" s="10" t="s">
        <v>45</v>
      </c>
      <c r="Y11" s="7"/>
      <c r="Z11" s="7"/>
    </row>
    <row r="12" spans="1:26" ht="15.75" customHeight="1">
      <c r="A12" s="8">
        <v>11</v>
      </c>
      <c r="B12" s="9" t="s">
        <v>50</v>
      </c>
      <c r="C12" s="9" t="s">
        <v>50</v>
      </c>
      <c r="D12" s="9" t="s">
        <v>24</v>
      </c>
      <c r="E12" s="9" t="s">
        <v>24</v>
      </c>
      <c r="F12" s="9" t="s">
        <v>25</v>
      </c>
      <c r="G12" s="9" t="s">
        <v>25</v>
      </c>
      <c r="H12" s="9" t="s">
        <v>38</v>
      </c>
      <c r="I12" s="9" t="s">
        <v>38</v>
      </c>
      <c r="J12" s="10" t="s">
        <v>48</v>
      </c>
      <c r="K12" s="9" t="s">
        <v>51</v>
      </c>
      <c r="L12" s="9" t="s">
        <v>51</v>
      </c>
      <c r="M12" s="9" t="s">
        <v>49</v>
      </c>
      <c r="N12" s="9" t="s">
        <v>36</v>
      </c>
      <c r="O12" s="9" t="s">
        <v>36</v>
      </c>
      <c r="P12" s="9" t="s">
        <v>46</v>
      </c>
      <c r="Q12" s="9" t="s">
        <v>41</v>
      </c>
      <c r="R12" s="10" t="s">
        <v>52</v>
      </c>
      <c r="S12" s="10" t="s">
        <v>52</v>
      </c>
      <c r="T12" s="10" t="s">
        <v>34</v>
      </c>
      <c r="U12" s="10" t="s">
        <v>34</v>
      </c>
      <c r="V12" s="10" t="s">
        <v>35</v>
      </c>
      <c r="W12" s="10" t="s">
        <v>53</v>
      </c>
      <c r="X12" s="10" t="s">
        <v>45</v>
      </c>
      <c r="Y12" s="7"/>
      <c r="Z12" s="7"/>
    </row>
    <row r="13" spans="1:26" ht="15.75" customHeight="1">
      <c r="A13" s="8">
        <v>12</v>
      </c>
      <c r="B13" s="9" t="s">
        <v>50</v>
      </c>
      <c r="C13" s="9" t="s">
        <v>50</v>
      </c>
      <c r="D13" s="9" t="s">
        <v>43</v>
      </c>
      <c r="E13" s="9" t="s">
        <v>43</v>
      </c>
      <c r="F13" s="9" t="s">
        <v>25</v>
      </c>
      <c r="G13" s="9" t="s">
        <v>25</v>
      </c>
      <c r="H13" s="9" t="s">
        <v>26</v>
      </c>
      <c r="I13" s="9" t="s">
        <v>26</v>
      </c>
      <c r="J13" s="10" t="s">
        <v>48</v>
      </c>
      <c r="K13" s="9" t="s">
        <v>51</v>
      </c>
      <c r="L13" s="9" t="s">
        <v>51</v>
      </c>
      <c r="M13" s="9" t="s">
        <v>49</v>
      </c>
      <c r="N13" s="9" t="s">
        <v>36</v>
      </c>
      <c r="O13" s="9" t="s">
        <v>36</v>
      </c>
      <c r="P13" s="9" t="s">
        <v>46</v>
      </c>
      <c r="Q13" s="9" t="s">
        <v>41</v>
      </c>
      <c r="R13" s="10" t="s">
        <v>52</v>
      </c>
      <c r="S13" s="10" t="s">
        <v>52</v>
      </c>
      <c r="T13" s="10" t="s">
        <v>34</v>
      </c>
      <c r="U13" s="10" t="s">
        <v>34</v>
      </c>
      <c r="V13" s="10" t="s">
        <v>35</v>
      </c>
      <c r="W13" s="10" t="s">
        <v>53</v>
      </c>
      <c r="X13" s="10" t="s">
        <v>45</v>
      </c>
      <c r="Y13" s="7"/>
      <c r="Z13" s="7"/>
    </row>
    <row r="14" spans="1:26" ht="15.75" customHeight="1">
      <c r="A14" s="8">
        <v>13</v>
      </c>
      <c r="B14" s="9" t="s">
        <v>50</v>
      </c>
      <c r="C14" s="9" t="s">
        <v>50</v>
      </c>
      <c r="D14" s="9" t="s">
        <v>43</v>
      </c>
      <c r="E14" s="9" t="s">
        <v>43</v>
      </c>
      <c r="F14" s="9" t="s">
        <v>25</v>
      </c>
      <c r="G14" s="9" t="s">
        <v>25</v>
      </c>
      <c r="H14" s="9" t="s">
        <v>26</v>
      </c>
      <c r="I14" s="9" t="s">
        <v>26</v>
      </c>
      <c r="J14" s="10" t="s">
        <v>48</v>
      </c>
      <c r="K14" s="9" t="s">
        <v>28</v>
      </c>
      <c r="L14" s="9" t="s">
        <v>28</v>
      </c>
      <c r="M14" s="9" t="s">
        <v>49</v>
      </c>
      <c r="N14" s="9" t="s">
        <v>36</v>
      </c>
      <c r="O14" s="9" t="s">
        <v>36</v>
      </c>
      <c r="P14" s="9" t="s">
        <v>46</v>
      </c>
      <c r="Q14" s="9" t="s">
        <v>41</v>
      </c>
      <c r="R14" s="10" t="s">
        <v>52</v>
      </c>
      <c r="S14" s="10" t="s">
        <v>52</v>
      </c>
      <c r="T14" s="10" t="s">
        <v>34</v>
      </c>
      <c r="U14" s="10" t="s">
        <v>34</v>
      </c>
      <c r="V14" s="10" t="s">
        <v>35</v>
      </c>
      <c r="W14" s="10" t="s">
        <v>53</v>
      </c>
      <c r="X14" s="10" t="s">
        <v>45</v>
      </c>
      <c r="Y14" s="7"/>
      <c r="Z14" s="7"/>
    </row>
    <row r="15" spans="1:26" ht="15.75" customHeight="1">
      <c r="A15" s="8">
        <v>14</v>
      </c>
      <c r="B15" s="9" t="s">
        <v>50</v>
      </c>
      <c r="C15" s="9" t="s">
        <v>50</v>
      </c>
      <c r="D15" s="9" t="s">
        <v>38</v>
      </c>
      <c r="E15" s="9" t="s">
        <v>38</v>
      </c>
      <c r="F15" s="9" t="s">
        <v>25</v>
      </c>
      <c r="G15" s="9" t="s">
        <v>25</v>
      </c>
      <c r="H15" s="9" t="s">
        <v>26</v>
      </c>
      <c r="I15" s="9" t="s">
        <v>26</v>
      </c>
      <c r="J15" s="9" t="s">
        <v>48</v>
      </c>
      <c r="K15" s="9" t="s">
        <v>28</v>
      </c>
      <c r="L15" s="9" t="s">
        <v>28</v>
      </c>
      <c r="M15" s="9" t="s">
        <v>49</v>
      </c>
      <c r="N15" s="9" t="s">
        <v>30</v>
      </c>
      <c r="O15" s="9" t="s">
        <v>30</v>
      </c>
      <c r="P15" s="9" t="s">
        <v>46</v>
      </c>
      <c r="Q15" s="9" t="s">
        <v>41</v>
      </c>
      <c r="R15" s="10" t="s">
        <v>52</v>
      </c>
      <c r="S15" s="10" t="s">
        <v>52</v>
      </c>
      <c r="T15" s="10" t="s">
        <v>34</v>
      </c>
      <c r="U15" s="10" t="s">
        <v>34</v>
      </c>
      <c r="V15" s="10" t="s">
        <v>35</v>
      </c>
      <c r="W15" s="10" t="s">
        <v>53</v>
      </c>
      <c r="X15" s="9" t="s">
        <v>37</v>
      </c>
      <c r="Y15" s="7"/>
      <c r="Z15" s="7"/>
    </row>
    <row r="16" spans="1:26" ht="15.75" customHeight="1">
      <c r="A16" s="8">
        <v>15</v>
      </c>
      <c r="B16" s="9" t="s">
        <v>50</v>
      </c>
      <c r="C16" s="9" t="s">
        <v>50</v>
      </c>
      <c r="D16" s="9" t="s">
        <v>24</v>
      </c>
      <c r="E16" s="9" t="s">
        <v>24</v>
      </c>
      <c r="F16" s="9" t="s">
        <v>25</v>
      </c>
      <c r="G16" s="9" t="s">
        <v>25</v>
      </c>
      <c r="H16" s="9" t="s">
        <v>26</v>
      </c>
      <c r="I16" s="9" t="s">
        <v>26</v>
      </c>
      <c r="J16" s="9" t="s">
        <v>54</v>
      </c>
      <c r="K16" s="9" t="s">
        <v>28</v>
      </c>
      <c r="L16" s="9" t="s">
        <v>28</v>
      </c>
      <c r="M16" s="10" t="s">
        <v>29</v>
      </c>
      <c r="N16" s="9" t="s">
        <v>30</v>
      </c>
      <c r="O16" s="9" t="s">
        <v>30</v>
      </c>
      <c r="P16" s="9" t="s">
        <v>46</v>
      </c>
      <c r="Q16" s="9" t="s">
        <v>41</v>
      </c>
      <c r="R16" s="10" t="s">
        <v>52</v>
      </c>
      <c r="S16" s="10" t="s">
        <v>52</v>
      </c>
      <c r="T16" s="10" t="s">
        <v>34</v>
      </c>
      <c r="U16" s="10" t="s">
        <v>34</v>
      </c>
      <c r="V16" s="10" t="s">
        <v>35</v>
      </c>
      <c r="W16" s="9" t="s">
        <v>53</v>
      </c>
      <c r="X16" s="10" t="s">
        <v>55</v>
      </c>
      <c r="Y16" s="7"/>
      <c r="Z16" s="7"/>
    </row>
    <row r="17" spans="1:26" ht="15.75" customHeight="1">
      <c r="A17" s="8">
        <v>16</v>
      </c>
      <c r="B17" s="9" t="s">
        <v>50</v>
      </c>
      <c r="C17" s="9" t="s">
        <v>50</v>
      </c>
      <c r="D17" s="9" t="s">
        <v>38</v>
      </c>
      <c r="E17" s="9" t="s">
        <v>38</v>
      </c>
      <c r="F17" s="9" t="s">
        <v>25</v>
      </c>
      <c r="G17" s="9" t="s">
        <v>25</v>
      </c>
      <c r="H17" s="9" t="s">
        <v>26</v>
      </c>
      <c r="I17" s="9" t="s">
        <v>26</v>
      </c>
      <c r="J17" s="9" t="s">
        <v>54</v>
      </c>
      <c r="K17" s="9" t="s">
        <v>28</v>
      </c>
      <c r="L17" s="9" t="s">
        <v>28</v>
      </c>
      <c r="M17" s="10" t="s">
        <v>29</v>
      </c>
      <c r="N17" s="9" t="s">
        <v>30</v>
      </c>
      <c r="O17" s="9" t="s">
        <v>30</v>
      </c>
      <c r="P17" s="9" t="s">
        <v>46</v>
      </c>
      <c r="Q17" s="9" t="s">
        <v>41</v>
      </c>
      <c r="R17" s="10" t="s">
        <v>56</v>
      </c>
      <c r="S17" s="10" t="s">
        <v>56</v>
      </c>
      <c r="T17" s="9" t="s">
        <v>57</v>
      </c>
      <c r="U17" s="9" t="s">
        <v>57</v>
      </c>
      <c r="V17" s="10" t="s">
        <v>58</v>
      </c>
      <c r="W17" s="10" t="s">
        <v>42</v>
      </c>
      <c r="X17" s="10" t="s">
        <v>55</v>
      </c>
      <c r="Y17" s="7"/>
      <c r="Z17" s="7"/>
    </row>
    <row r="18" spans="1:26" ht="15.75" customHeight="1">
      <c r="A18" s="8">
        <v>17</v>
      </c>
      <c r="B18" s="9" t="s">
        <v>50</v>
      </c>
      <c r="C18" s="9" t="s">
        <v>50</v>
      </c>
      <c r="D18" s="9" t="s">
        <v>43</v>
      </c>
      <c r="E18" s="9" t="s">
        <v>43</v>
      </c>
      <c r="F18" s="9" t="s">
        <v>25</v>
      </c>
      <c r="G18" s="9" t="s">
        <v>25</v>
      </c>
      <c r="H18" s="9" t="s">
        <v>38</v>
      </c>
      <c r="I18" s="9" t="s">
        <v>38</v>
      </c>
      <c r="J18" s="9" t="s">
        <v>54</v>
      </c>
      <c r="K18" s="9" t="s">
        <v>59</v>
      </c>
      <c r="L18" s="9" t="s">
        <v>59</v>
      </c>
      <c r="M18" s="10" t="s">
        <v>29</v>
      </c>
      <c r="N18" s="9" t="s">
        <v>30</v>
      </c>
      <c r="O18" s="9" t="s">
        <v>30</v>
      </c>
      <c r="P18" s="9" t="s">
        <v>46</v>
      </c>
      <c r="Q18" s="9" t="s">
        <v>41</v>
      </c>
      <c r="R18" s="10" t="s">
        <v>56</v>
      </c>
      <c r="S18" s="10" t="s">
        <v>56</v>
      </c>
      <c r="T18" s="9" t="s">
        <v>57</v>
      </c>
      <c r="U18" s="9" t="s">
        <v>57</v>
      </c>
      <c r="V18" s="10" t="s">
        <v>58</v>
      </c>
      <c r="W18" s="10" t="s">
        <v>42</v>
      </c>
      <c r="X18" s="10" t="s">
        <v>55</v>
      </c>
      <c r="Y18" s="7"/>
      <c r="Z18" s="7"/>
    </row>
    <row r="19" spans="1:26" ht="15.75" customHeight="1">
      <c r="A19" s="8">
        <v>18</v>
      </c>
      <c r="B19" s="9" t="s">
        <v>50</v>
      </c>
      <c r="C19" s="9" t="s">
        <v>50</v>
      </c>
      <c r="D19" s="9" t="s">
        <v>43</v>
      </c>
      <c r="E19" s="9" t="s">
        <v>43</v>
      </c>
      <c r="F19" s="9" t="s">
        <v>25</v>
      </c>
      <c r="G19" s="9" t="s">
        <v>25</v>
      </c>
      <c r="H19" s="9" t="s">
        <v>26</v>
      </c>
      <c r="I19" s="9" t="s">
        <v>26</v>
      </c>
      <c r="J19" s="9" t="s">
        <v>54</v>
      </c>
      <c r="K19" s="9" t="s">
        <v>59</v>
      </c>
      <c r="L19" s="9" t="s">
        <v>59</v>
      </c>
      <c r="M19" s="10" t="s">
        <v>29</v>
      </c>
      <c r="N19" s="9" t="s">
        <v>30</v>
      </c>
      <c r="O19" s="9" t="s">
        <v>30</v>
      </c>
      <c r="P19" s="9" t="s">
        <v>46</v>
      </c>
      <c r="Q19" s="9" t="s">
        <v>41</v>
      </c>
      <c r="R19" s="10" t="s">
        <v>56</v>
      </c>
      <c r="S19" s="10" t="s">
        <v>56</v>
      </c>
      <c r="T19" s="9" t="s">
        <v>57</v>
      </c>
      <c r="U19" s="9" t="s">
        <v>57</v>
      </c>
      <c r="V19" s="10" t="s">
        <v>58</v>
      </c>
      <c r="W19" s="10" t="s">
        <v>42</v>
      </c>
      <c r="X19" s="10" t="s">
        <v>55</v>
      </c>
      <c r="Y19" s="7"/>
      <c r="Z19" s="7"/>
    </row>
    <row r="20" spans="1:26" ht="15.75" customHeight="1">
      <c r="A20" s="8">
        <v>19</v>
      </c>
      <c r="B20" s="9" t="s">
        <v>50</v>
      </c>
      <c r="C20" s="9" t="s">
        <v>50</v>
      </c>
      <c r="D20" s="9" t="s">
        <v>38</v>
      </c>
      <c r="E20" s="9" t="s">
        <v>38</v>
      </c>
      <c r="F20" s="11" t="s">
        <v>51</v>
      </c>
      <c r="G20" s="11" t="s">
        <v>51</v>
      </c>
      <c r="H20" s="11" t="s">
        <v>51</v>
      </c>
      <c r="I20" s="11" t="s">
        <v>51</v>
      </c>
      <c r="J20" s="9" t="s">
        <v>54</v>
      </c>
      <c r="K20" s="9" t="s">
        <v>60</v>
      </c>
      <c r="L20" s="9" t="s">
        <v>60</v>
      </c>
      <c r="M20" s="10" t="s">
        <v>29</v>
      </c>
      <c r="N20" s="9" t="s">
        <v>30</v>
      </c>
      <c r="O20" s="9" t="s">
        <v>30</v>
      </c>
      <c r="P20" s="9" t="s">
        <v>46</v>
      </c>
      <c r="Q20" s="9" t="s">
        <v>41</v>
      </c>
      <c r="R20" s="10" t="s">
        <v>56</v>
      </c>
      <c r="S20" s="10" t="s">
        <v>56</v>
      </c>
      <c r="T20" s="9" t="s">
        <v>57</v>
      </c>
      <c r="U20" s="9" t="s">
        <v>57</v>
      </c>
      <c r="V20" s="10" t="s">
        <v>58</v>
      </c>
      <c r="W20" s="10" t="s">
        <v>42</v>
      </c>
      <c r="X20" s="9" t="s">
        <v>37</v>
      </c>
      <c r="Y20" s="7"/>
      <c r="Z20" s="7"/>
    </row>
    <row r="21" spans="1:26" ht="15.75" customHeight="1">
      <c r="A21" s="8">
        <v>20</v>
      </c>
      <c r="B21" s="9" t="s">
        <v>50</v>
      </c>
      <c r="C21" s="9" t="s">
        <v>50</v>
      </c>
      <c r="D21" s="9" t="s">
        <v>24</v>
      </c>
      <c r="E21" s="9" t="s">
        <v>24</v>
      </c>
      <c r="F21" s="11" t="s">
        <v>51</v>
      </c>
      <c r="G21" s="11" t="s">
        <v>51</v>
      </c>
      <c r="H21" s="11" t="s">
        <v>51</v>
      </c>
      <c r="I21" s="11" t="s">
        <v>51</v>
      </c>
      <c r="J21" s="9" t="s">
        <v>27</v>
      </c>
      <c r="K21" s="9" t="s">
        <v>60</v>
      </c>
      <c r="L21" s="9" t="s">
        <v>60</v>
      </c>
      <c r="M21" s="10" t="s">
        <v>29</v>
      </c>
      <c r="N21" s="9" t="s">
        <v>30</v>
      </c>
      <c r="O21" s="9" t="s">
        <v>30</v>
      </c>
      <c r="P21" s="9" t="s">
        <v>46</v>
      </c>
      <c r="Q21" s="9" t="s">
        <v>41</v>
      </c>
      <c r="R21" s="10" t="s">
        <v>56</v>
      </c>
      <c r="S21" s="10" t="s">
        <v>56</v>
      </c>
      <c r="T21" s="9" t="s">
        <v>57</v>
      </c>
      <c r="U21" s="9" t="s">
        <v>57</v>
      </c>
      <c r="V21" s="10" t="s">
        <v>58</v>
      </c>
      <c r="W21" s="10" t="s">
        <v>42</v>
      </c>
      <c r="X21" s="9" t="s">
        <v>37</v>
      </c>
      <c r="Y21" s="7"/>
      <c r="Z2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"/>
  <sheetViews>
    <sheetView workbookViewId="0"/>
  </sheetViews>
  <sheetFormatPr defaultColWidth="14.3984375" defaultRowHeight="15.75" customHeight="1"/>
  <sheetData>
    <row r="1" spans="1:7" ht="15.75" customHeight="1">
      <c r="A1" s="12" t="s">
        <v>61</v>
      </c>
      <c r="B1" s="13" t="s">
        <v>62</v>
      </c>
      <c r="C1" s="12" t="s">
        <v>63</v>
      </c>
    </row>
    <row r="2" spans="1:7" ht="15.75" customHeight="1">
      <c r="A2" s="164">
        <v>17</v>
      </c>
      <c r="B2" s="14">
        <v>1</v>
      </c>
      <c r="C2" s="15"/>
      <c r="F2" s="16" t="s">
        <v>64</v>
      </c>
      <c r="G2" s="16" t="s">
        <v>65</v>
      </c>
    </row>
    <row r="3" spans="1:7" ht="15.75" customHeight="1">
      <c r="A3" s="165"/>
      <c r="B3" s="17">
        <v>2</v>
      </c>
      <c r="C3" s="18"/>
      <c r="F3" s="16" t="s">
        <v>66</v>
      </c>
      <c r="G3" s="16" t="s">
        <v>67</v>
      </c>
    </row>
    <row r="4" spans="1:7" ht="15.75" customHeight="1">
      <c r="A4" s="166"/>
      <c r="B4" s="19">
        <v>3</v>
      </c>
      <c r="C4" s="20"/>
      <c r="F4" s="16" t="s">
        <v>68</v>
      </c>
      <c r="G4" s="16" t="s">
        <v>69</v>
      </c>
    </row>
    <row r="5" spans="1:7" ht="15.75" customHeight="1">
      <c r="A5" s="164">
        <v>18</v>
      </c>
      <c r="B5" s="14">
        <v>1</v>
      </c>
      <c r="C5" s="15" t="s">
        <v>70</v>
      </c>
      <c r="D5" s="21">
        <v>46307</v>
      </c>
      <c r="F5" s="16" t="s">
        <v>71</v>
      </c>
      <c r="G5" s="16" t="s">
        <v>72</v>
      </c>
    </row>
    <row r="6" spans="1:7" ht="15.75" customHeight="1">
      <c r="A6" s="165"/>
      <c r="B6" s="17">
        <v>2</v>
      </c>
      <c r="C6" s="15" t="s">
        <v>64</v>
      </c>
      <c r="D6" s="22" t="s">
        <v>73</v>
      </c>
      <c r="F6" s="16" t="s">
        <v>70</v>
      </c>
      <c r="G6" s="16" t="s">
        <v>74</v>
      </c>
    </row>
    <row r="7" spans="1:7" ht="15.75" customHeight="1">
      <c r="A7" s="166"/>
      <c r="B7" s="19">
        <v>3</v>
      </c>
      <c r="C7" s="20"/>
      <c r="D7" s="21">
        <v>46149</v>
      </c>
      <c r="F7" s="16" t="s">
        <v>75</v>
      </c>
      <c r="G7" s="16" t="s">
        <v>76</v>
      </c>
    </row>
    <row r="8" spans="1:7" ht="15.75" customHeight="1">
      <c r="A8" s="167">
        <v>19</v>
      </c>
      <c r="B8" s="14">
        <v>1</v>
      </c>
      <c r="C8" s="15" t="s">
        <v>77</v>
      </c>
      <c r="F8" s="16" t="s">
        <v>78</v>
      </c>
      <c r="G8" s="16" t="s">
        <v>77</v>
      </c>
    </row>
    <row r="9" spans="1:7" ht="15.75" customHeight="1">
      <c r="A9" s="165"/>
      <c r="B9" s="17">
        <v>2</v>
      </c>
      <c r="C9" s="18" t="s">
        <v>71</v>
      </c>
      <c r="F9" s="16" t="s">
        <v>79</v>
      </c>
    </row>
    <row r="10" spans="1:7" ht="15.75" customHeight="1">
      <c r="A10" s="166"/>
      <c r="B10" s="19">
        <v>3</v>
      </c>
      <c r="C10" s="20"/>
    </row>
    <row r="11" spans="1:7" ht="15.75" customHeight="1">
      <c r="A11" s="164">
        <v>20</v>
      </c>
      <c r="B11" s="14">
        <v>1</v>
      </c>
      <c r="C11" s="15" t="s">
        <v>76</v>
      </c>
    </row>
    <row r="12" spans="1:7" ht="15.75" customHeight="1">
      <c r="A12" s="165"/>
      <c r="B12" s="17">
        <v>2</v>
      </c>
      <c r="C12" s="18" t="s">
        <v>66</v>
      </c>
    </row>
    <row r="13" spans="1:7" ht="15.75" customHeight="1">
      <c r="A13" s="166"/>
      <c r="B13" s="19">
        <v>3</v>
      </c>
      <c r="C13" s="20"/>
    </row>
    <row r="14" spans="1:7" ht="15.75" customHeight="1">
      <c r="A14" s="164">
        <v>21</v>
      </c>
      <c r="B14" s="14">
        <v>1</v>
      </c>
      <c r="C14" s="15" t="s">
        <v>65</v>
      </c>
    </row>
    <row r="15" spans="1:7" ht="15.75" customHeight="1">
      <c r="A15" s="165"/>
      <c r="B15" s="17">
        <v>2</v>
      </c>
      <c r="C15" s="18" t="s">
        <v>72</v>
      </c>
    </row>
    <row r="16" spans="1:7" ht="15.75" customHeight="1">
      <c r="A16" s="166"/>
      <c r="B16" s="19">
        <v>3</v>
      </c>
      <c r="C16" s="20" t="s">
        <v>68</v>
      </c>
    </row>
    <row r="17" spans="1:3" ht="15.75" customHeight="1">
      <c r="A17" s="164">
        <v>23</v>
      </c>
      <c r="B17" s="14">
        <v>1</v>
      </c>
      <c r="C17" s="15" t="s">
        <v>69</v>
      </c>
    </row>
    <row r="18" spans="1:3" ht="15.75" customHeight="1">
      <c r="A18" s="165"/>
      <c r="B18" s="17">
        <v>2</v>
      </c>
      <c r="C18" s="18" t="s">
        <v>79</v>
      </c>
    </row>
    <row r="19" spans="1:3" ht="15.75" customHeight="1">
      <c r="A19" s="166"/>
      <c r="B19" s="19">
        <v>3</v>
      </c>
      <c r="C19" s="20" t="s">
        <v>78</v>
      </c>
    </row>
    <row r="20" spans="1:3" ht="15.75" customHeight="1">
      <c r="A20" s="164">
        <v>24</v>
      </c>
      <c r="B20" s="14">
        <v>1</v>
      </c>
      <c r="C20" s="15" t="s">
        <v>74</v>
      </c>
    </row>
    <row r="21" spans="1:3" ht="15.75" customHeight="1">
      <c r="A21" s="165"/>
      <c r="B21" s="17">
        <v>2</v>
      </c>
      <c r="C21" s="18" t="s">
        <v>67</v>
      </c>
    </row>
    <row r="22" spans="1:3" ht="15.75" customHeight="1">
      <c r="A22" s="166"/>
      <c r="B22" s="19">
        <v>3</v>
      </c>
      <c r="C22" s="20" t="s">
        <v>75</v>
      </c>
    </row>
    <row r="23" spans="1:3" ht="15.75" customHeight="1">
      <c r="A23" s="162"/>
      <c r="B23" s="23"/>
    </row>
    <row r="24" spans="1:3" ht="15.75" customHeight="1">
      <c r="A24" s="163"/>
      <c r="B24" s="23"/>
    </row>
    <row r="25" spans="1:3" ht="15.75" customHeight="1">
      <c r="A25" s="163"/>
      <c r="B25" s="23"/>
    </row>
    <row r="26" spans="1:3" ht="15.75" customHeight="1">
      <c r="A26" s="162"/>
      <c r="B26" s="23"/>
    </row>
    <row r="27" spans="1:3" ht="15.75" customHeight="1">
      <c r="A27" s="163"/>
      <c r="B27" s="23"/>
    </row>
    <row r="28" spans="1:3" ht="15.75" customHeight="1">
      <c r="A28" s="163"/>
      <c r="B28" s="23"/>
    </row>
    <row r="29" spans="1:3" ht="15.75" customHeight="1">
      <c r="A29" s="162"/>
      <c r="B29" s="23"/>
    </row>
    <row r="30" spans="1:3" ht="15.75" customHeight="1">
      <c r="A30" s="163"/>
      <c r="B30" s="23"/>
    </row>
    <row r="31" spans="1:3" ht="15.75" customHeight="1">
      <c r="A31" s="163"/>
      <c r="B31" s="23"/>
    </row>
  </sheetData>
  <mergeCells count="10">
    <mergeCell ref="A23:A25"/>
    <mergeCell ref="A26:A28"/>
    <mergeCell ref="A29:A31"/>
    <mergeCell ref="A2:A4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5"/>
  <sheetViews>
    <sheetView tabSelected="1" workbookViewId="0">
      <selection activeCell="B14" sqref="B14"/>
    </sheetView>
  </sheetViews>
  <sheetFormatPr defaultColWidth="14.3984375" defaultRowHeight="15.75" customHeight="1"/>
  <cols>
    <col min="1" max="1" width="10" customWidth="1"/>
    <col min="2" max="2" width="25.09765625" customWidth="1"/>
    <col min="3" max="3" width="82.3984375" customWidth="1"/>
    <col min="4" max="4" width="113.8984375" bestFit="1" customWidth="1"/>
  </cols>
  <sheetData>
    <row r="1" spans="1:4" ht="15.75" customHeight="1">
      <c r="A1" s="159" t="s">
        <v>80</v>
      </c>
      <c r="B1" s="160"/>
      <c r="C1" s="160"/>
      <c r="D1" s="161"/>
    </row>
    <row r="2" spans="1:4" ht="15.75" customHeight="1">
      <c r="A2" s="24" t="s">
        <v>81</v>
      </c>
      <c r="B2" s="25" t="s">
        <v>82</v>
      </c>
      <c r="C2" s="24" t="s">
        <v>83</v>
      </c>
      <c r="D2" s="26" t="s">
        <v>84</v>
      </c>
    </row>
    <row r="3" spans="1:4" ht="15.75" customHeight="1">
      <c r="A3" s="27">
        <v>1</v>
      </c>
      <c r="B3" s="28" t="s">
        <v>85</v>
      </c>
      <c r="C3" s="27" t="s">
        <v>0</v>
      </c>
      <c r="D3" s="29" t="s">
        <v>86</v>
      </c>
    </row>
    <row r="4" spans="1:4" ht="15.75" customHeight="1">
      <c r="A4" s="30">
        <v>2</v>
      </c>
      <c r="B4" s="31" t="s">
        <v>87</v>
      </c>
      <c r="C4" s="30" t="s">
        <v>1</v>
      </c>
      <c r="D4" s="32" t="s">
        <v>86</v>
      </c>
    </row>
    <row r="5" spans="1:4" ht="15.75" customHeight="1">
      <c r="A5" s="30">
        <v>3</v>
      </c>
      <c r="B5" s="31" t="s">
        <v>88</v>
      </c>
      <c r="C5" s="30" t="s">
        <v>2</v>
      </c>
      <c r="D5" s="32" t="s">
        <v>89</v>
      </c>
    </row>
    <row r="6" spans="1:4" ht="15.75" customHeight="1">
      <c r="A6" s="30">
        <v>4</v>
      </c>
      <c r="B6" s="31" t="s">
        <v>90</v>
      </c>
      <c r="C6" s="30" t="s">
        <v>3</v>
      </c>
      <c r="D6" s="32" t="s">
        <v>89</v>
      </c>
    </row>
    <row r="7" spans="1:4" ht="15.75" customHeight="1">
      <c r="A7" s="30">
        <v>5</v>
      </c>
      <c r="B7" s="31" t="s">
        <v>91</v>
      </c>
      <c r="C7" s="30" t="s">
        <v>4</v>
      </c>
      <c r="D7" s="32" t="s">
        <v>1949</v>
      </c>
    </row>
    <row r="8" spans="1:4" ht="15.75" customHeight="1">
      <c r="A8" s="30">
        <v>6</v>
      </c>
      <c r="B8" s="31" t="s">
        <v>93</v>
      </c>
      <c r="C8" s="30" t="s">
        <v>5</v>
      </c>
      <c r="D8" s="32" t="s">
        <v>1949</v>
      </c>
    </row>
    <row r="9" spans="1:4" ht="15.75" customHeight="1">
      <c r="A9" s="30">
        <v>7</v>
      </c>
      <c r="B9" s="31" t="s">
        <v>94</v>
      </c>
      <c r="C9" s="30" t="s">
        <v>6</v>
      </c>
      <c r="D9" s="32" t="s">
        <v>95</v>
      </c>
    </row>
    <row r="10" spans="1:4" ht="15.75" customHeight="1">
      <c r="A10" s="30">
        <v>8</v>
      </c>
      <c r="B10" s="31" t="s">
        <v>96</v>
      </c>
      <c r="C10" s="30" t="s">
        <v>7</v>
      </c>
      <c r="D10" s="32" t="s">
        <v>95</v>
      </c>
    </row>
    <row r="11" spans="1:4" ht="15.75" customHeight="1">
      <c r="A11" s="30">
        <v>9</v>
      </c>
      <c r="B11" s="31" t="s">
        <v>97</v>
      </c>
      <c r="C11" s="30" t="s">
        <v>8</v>
      </c>
      <c r="D11" s="32" t="s">
        <v>98</v>
      </c>
    </row>
    <row r="12" spans="1:4" ht="15.75" customHeight="1">
      <c r="A12" s="30">
        <v>10</v>
      </c>
      <c r="B12" s="31" t="s">
        <v>1953</v>
      </c>
      <c r="C12" s="30" t="s">
        <v>1951</v>
      </c>
      <c r="D12" s="32" t="s">
        <v>1944</v>
      </c>
    </row>
    <row r="13" spans="1:4" ht="15.75" customHeight="1">
      <c r="A13" s="30">
        <v>11</v>
      </c>
      <c r="B13" s="31" t="s">
        <v>1954</v>
      </c>
      <c r="C13" s="30" t="s">
        <v>1952</v>
      </c>
      <c r="D13" s="32" t="s">
        <v>1944</v>
      </c>
    </row>
    <row r="14" spans="1:4" ht="15.75" customHeight="1">
      <c r="A14" s="30">
        <v>12</v>
      </c>
      <c r="B14" s="31" t="s">
        <v>100</v>
      </c>
      <c r="C14" s="30" t="s">
        <v>11</v>
      </c>
      <c r="D14" s="32" t="s">
        <v>101</v>
      </c>
    </row>
    <row r="15" spans="1:4" ht="15.75" customHeight="1">
      <c r="A15" s="33">
        <v>13</v>
      </c>
      <c r="B15" s="31" t="s">
        <v>102</v>
      </c>
      <c r="C15" s="30" t="s">
        <v>12</v>
      </c>
      <c r="D15" s="32" t="s">
        <v>1948</v>
      </c>
    </row>
    <row r="16" spans="1:4" ht="15.75" customHeight="1">
      <c r="A16" s="33">
        <v>14</v>
      </c>
      <c r="B16" s="31" t="s">
        <v>104</v>
      </c>
      <c r="C16" s="30" t="s">
        <v>13</v>
      </c>
      <c r="D16" s="32" t="s">
        <v>1948</v>
      </c>
    </row>
    <row r="17" spans="1:4" ht="15.75" customHeight="1">
      <c r="A17" s="33">
        <v>15</v>
      </c>
      <c r="B17" s="34" t="s">
        <v>105</v>
      </c>
      <c r="C17" s="33" t="s">
        <v>14</v>
      </c>
      <c r="D17" s="35" t="s">
        <v>1950</v>
      </c>
    </row>
    <row r="18" spans="1:4" ht="15.75" customHeight="1">
      <c r="A18" s="33">
        <v>16</v>
      </c>
      <c r="B18" s="34" t="s">
        <v>107</v>
      </c>
      <c r="C18" s="33" t="s">
        <v>15</v>
      </c>
      <c r="D18" s="35" t="s">
        <v>108</v>
      </c>
    </row>
    <row r="19" spans="1:4" ht="15.75" customHeight="1">
      <c r="A19" s="33">
        <v>17</v>
      </c>
      <c r="B19" s="34" t="s">
        <v>109</v>
      </c>
      <c r="C19" s="33" t="s">
        <v>16</v>
      </c>
      <c r="D19" s="35" t="s">
        <v>1946</v>
      </c>
    </row>
    <row r="20" spans="1:4" ht="15.75" customHeight="1">
      <c r="A20" s="33">
        <v>18</v>
      </c>
      <c r="B20" s="34" t="s">
        <v>111</v>
      </c>
      <c r="C20" s="33" t="s">
        <v>17</v>
      </c>
      <c r="D20" s="35" t="s">
        <v>1946</v>
      </c>
    </row>
    <row r="21" spans="1:4" ht="15.75" customHeight="1">
      <c r="A21" s="30">
        <v>19</v>
      </c>
      <c r="B21" s="31" t="s">
        <v>112</v>
      </c>
      <c r="C21" s="30" t="s">
        <v>18</v>
      </c>
      <c r="D21" s="32" t="s">
        <v>1945</v>
      </c>
    </row>
    <row r="22" spans="1:4" ht="15.75" customHeight="1">
      <c r="A22" s="30">
        <v>20</v>
      </c>
      <c r="B22" s="31" t="s">
        <v>114</v>
      </c>
      <c r="C22" s="30" t="s">
        <v>19</v>
      </c>
      <c r="D22" s="32" t="s">
        <v>1945</v>
      </c>
    </row>
    <row r="23" spans="1:4" ht="15.75" customHeight="1">
      <c r="A23" s="33">
        <v>21</v>
      </c>
      <c r="B23" s="34" t="s">
        <v>115</v>
      </c>
      <c r="C23" s="33" t="s">
        <v>20</v>
      </c>
      <c r="D23" s="35" t="s">
        <v>116</v>
      </c>
    </row>
    <row r="24" spans="1:4" ht="15.75" customHeight="1">
      <c r="A24" s="33">
        <v>22</v>
      </c>
      <c r="B24" s="34" t="s">
        <v>117</v>
      </c>
      <c r="C24" s="33" t="s">
        <v>21</v>
      </c>
      <c r="D24" s="35" t="s">
        <v>1947</v>
      </c>
    </row>
    <row r="25" spans="1:4" ht="15.75" customHeight="1">
      <c r="A25" s="36">
        <v>23</v>
      </c>
      <c r="B25" s="37" t="s">
        <v>119</v>
      </c>
      <c r="C25" s="36" t="s">
        <v>22</v>
      </c>
      <c r="D25" s="38" t="s">
        <v>120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23"/>
  <sheetViews>
    <sheetView workbookViewId="0"/>
  </sheetViews>
  <sheetFormatPr defaultColWidth="14.3984375" defaultRowHeight="15.75" customHeight="1"/>
  <cols>
    <col min="1" max="1" width="11.59765625" customWidth="1"/>
    <col min="2" max="2" width="6.59765625" customWidth="1"/>
    <col min="3" max="3" width="31.296875" customWidth="1"/>
    <col min="4" max="4" width="31.69921875" customWidth="1"/>
    <col min="5" max="5" width="31.296875" customWidth="1"/>
    <col min="6" max="6" width="29" customWidth="1"/>
    <col min="7" max="8" width="31.296875" customWidth="1"/>
    <col min="9" max="9" width="31.3984375" customWidth="1"/>
    <col min="11" max="11" width="31.69921875" customWidth="1"/>
  </cols>
  <sheetData>
    <row r="1" spans="1:14" ht="15.75" customHeight="1">
      <c r="A1" s="39"/>
      <c r="B1" s="39"/>
      <c r="C1" s="40"/>
      <c r="D1" s="172" t="s">
        <v>121</v>
      </c>
      <c r="E1" s="163"/>
      <c r="F1" s="163"/>
      <c r="G1" s="163"/>
      <c r="H1" s="40"/>
      <c r="I1" s="42"/>
    </row>
    <row r="2" spans="1:14" ht="15.75" customHeight="1">
      <c r="A2" s="43" t="s">
        <v>122</v>
      </c>
      <c r="B2" s="44"/>
      <c r="C2" s="45" t="s">
        <v>123</v>
      </c>
      <c r="D2" s="45" t="s">
        <v>124</v>
      </c>
      <c r="E2" s="45" t="s">
        <v>125</v>
      </c>
      <c r="F2" s="45" t="s">
        <v>126</v>
      </c>
      <c r="G2" s="45" t="s">
        <v>127</v>
      </c>
      <c r="H2" s="45" t="s">
        <v>128</v>
      </c>
      <c r="I2" s="46" t="s">
        <v>129</v>
      </c>
      <c r="K2" s="47" t="s">
        <v>130</v>
      </c>
      <c r="L2" s="47">
        <f t="shared" ref="L2:L24" si="0">COUNTIF($A$1:$I$950,K2 )</f>
        <v>20</v>
      </c>
      <c r="M2" s="48"/>
      <c r="N2" s="48"/>
    </row>
    <row r="3" spans="1:14" ht="15.75" customHeight="1">
      <c r="A3" s="168">
        <v>46020</v>
      </c>
      <c r="B3" s="173" t="s">
        <v>131</v>
      </c>
      <c r="C3" s="49" t="s">
        <v>79</v>
      </c>
      <c r="D3" s="50" t="s">
        <v>132</v>
      </c>
      <c r="E3" s="50"/>
      <c r="F3" s="50" t="s">
        <v>70</v>
      </c>
      <c r="G3" s="50" t="s">
        <v>78</v>
      </c>
      <c r="H3" s="50" t="s">
        <v>130</v>
      </c>
      <c r="I3" s="51" t="s">
        <v>70</v>
      </c>
      <c r="K3" s="47" t="s">
        <v>133</v>
      </c>
      <c r="L3" s="47">
        <f t="shared" si="0"/>
        <v>20</v>
      </c>
      <c r="M3" s="48"/>
      <c r="N3" s="48"/>
    </row>
    <row r="4" spans="1:14" ht="15.75" customHeight="1">
      <c r="A4" s="169"/>
      <c r="B4" s="169"/>
      <c r="C4" s="52" t="s">
        <v>27</v>
      </c>
      <c r="D4" s="53" t="s">
        <v>23</v>
      </c>
      <c r="E4" s="53"/>
      <c r="F4" s="53" t="s">
        <v>31</v>
      </c>
      <c r="G4" s="53" t="s">
        <v>36</v>
      </c>
      <c r="H4" s="53" t="s">
        <v>33</v>
      </c>
      <c r="I4" s="54" t="s">
        <v>31</v>
      </c>
      <c r="K4" s="47" t="s">
        <v>134</v>
      </c>
      <c r="L4" s="47">
        <f t="shared" si="0"/>
        <v>20</v>
      </c>
      <c r="M4" s="48"/>
    </row>
    <row r="5" spans="1:14" ht="15.75" customHeight="1">
      <c r="A5" s="169"/>
      <c r="B5" s="169"/>
      <c r="C5" s="55"/>
      <c r="D5" s="56" t="s">
        <v>135</v>
      </c>
      <c r="E5" s="56" t="s">
        <v>75</v>
      </c>
      <c r="F5" s="56"/>
      <c r="G5" s="56" t="s">
        <v>136</v>
      </c>
      <c r="H5" s="56" t="s">
        <v>67</v>
      </c>
      <c r="I5" s="57"/>
      <c r="K5" s="47" t="s">
        <v>137</v>
      </c>
      <c r="L5" s="47">
        <f t="shared" si="0"/>
        <v>20</v>
      </c>
      <c r="M5" s="48"/>
    </row>
    <row r="6" spans="1:14" ht="15.75" customHeight="1">
      <c r="A6" s="170"/>
      <c r="B6" s="170"/>
      <c r="C6" s="58"/>
      <c r="D6" s="59" t="s">
        <v>138</v>
      </c>
      <c r="E6" s="59" t="s">
        <v>32</v>
      </c>
      <c r="F6" s="59"/>
      <c r="G6" s="59" t="s">
        <v>138</v>
      </c>
      <c r="H6" s="59" t="s">
        <v>37</v>
      </c>
      <c r="I6" s="60"/>
      <c r="K6" s="47" t="s">
        <v>78</v>
      </c>
      <c r="L6" s="47">
        <f t="shared" si="0"/>
        <v>20</v>
      </c>
      <c r="M6" s="48"/>
      <c r="N6" s="48"/>
    </row>
    <row r="7" spans="1:14" ht="15.75" customHeight="1">
      <c r="A7" s="168">
        <f>A3+1</f>
        <v>46021</v>
      </c>
      <c r="B7" s="173" t="s">
        <v>139</v>
      </c>
      <c r="C7" s="49" t="s">
        <v>70</v>
      </c>
      <c r="D7" s="50" t="s">
        <v>132</v>
      </c>
      <c r="E7" s="50" t="s">
        <v>70</v>
      </c>
      <c r="F7" s="50"/>
      <c r="G7" s="50" t="s">
        <v>140</v>
      </c>
      <c r="H7" s="50" t="s">
        <v>140</v>
      </c>
      <c r="I7" s="51" t="s">
        <v>133</v>
      </c>
      <c r="K7" s="47" t="s">
        <v>141</v>
      </c>
      <c r="L7" s="47">
        <f t="shared" si="0"/>
        <v>19</v>
      </c>
      <c r="M7" s="48"/>
    </row>
    <row r="8" spans="1:14" ht="15.75" customHeight="1">
      <c r="A8" s="169"/>
      <c r="B8" s="169"/>
      <c r="C8" s="52" t="s">
        <v>31</v>
      </c>
      <c r="D8" s="53" t="s">
        <v>23</v>
      </c>
      <c r="E8" s="53" t="s">
        <v>31</v>
      </c>
      <c r="F8" s="53"/>
      <c r="G8" s="53" t="s">
        <v>28</v>
      </c>
      <c r="H8" s="53" t="s">
        <v>28</v>
      </c>
      <c r="I8" s="54" t="s">
        <v>33</v>
      </c>
      <c r="K8" s="47" t="s">
        <v>132</v>
      </c>
      <c r="L8" s="47">
        <f t="shared" si="0"/>
        <v>19</v>
      </c>
      <c r="M8" s="48"/>
    </row>
    <row r="9" spans="1:14" ht="15.75" customHeight="1">
      <c r="A9" s="169"/>
      <c r="B9" s="169"/>
      <c r="C9" s="55"/>
      <c r="D9" s="56" t="s">
        <v>135</v>
      </c>
      <c r="E9" s="56"/>
      <c r="F9" s="56" t="s">
        <v>75</v>
      </c>
      <c r="G9" s="56" t="s">
        <v>142</v>
      </c>
      <c r="H9" s="56" t="s">
        <v>142</v>
      </c>
      <c r="I9" s="57" t="s">
        <v>76</v>
      </c>
      <c r="K9" s="47" t="s">
        <v>79</v>
      </c>
      <c r="L9" s="47">
        <f t="shared" si="0"/>
        <v>20</v>
      </c>
      <c r="M9" s="48"/>
      <c r="N9" s="48"/>
    </row>
    <row r="10" spans="1:14" ht="15.75" customHeight="1">
      <c r="A10" s="170"/>
      <c r="B10" s="170"/>
      <c r="C10" s="58"/>
      <c r="D10" s="59" t="s">
        <v>138</v>
      </c>
      <c r="E10" s="59"/>
      <c r="F10" s="59" t="s">
        <v>32</v>
      </c>
      <c r="G10" s="59" t="s">
        <v>30</v>
      </c>
      <c r="H10" s="59" t="s">
        <v>30</v>
      </c>
      <c r="I10" s="60" t="s">
        <v>29</v>
      </c>
      <c r="K10" s="47" t="s">
        <v>143</v>
      </c>
      <c r="L10" s="47">
        <f t="shared" si="0"/>
        <v>20</v>
      </c>
      <c r="M10" s="48"/>
    </row>
    <row r="11" spans="1:14" ht="15.75" customHeight="1">
      <c r="A11" s="168">
        <f>A7+1</f>
        <v>46022</v>
      </c>
      <c r="B11" s="173" t="s">
        <v>144</v>
      </c>
      <c r="C11" s="49" t="s">
        <v>79</v>
      </c>
      <c r="D11" s="50" t="s">
        <v>132</v>
      </c>
      <c r="E11" s="50" t="s">
        <v>72</v>
      </c>
      <c r="F11" s="50" t="s">
        <v>72</v>
      </c>
      <c r="G11" s="50" t="s">
        <v>78</v>
      </c>
      <c r="H11" s="61"/>
      <c r="I11" s="62"/>
      <c r="K11" s="47" t="s">
        <v>145</v>
      </c>
      <c r="L11" s="47">
        <f t="shared" si="0"/>
        <v>20</v>
      </c>
      <c r="M11" s="48"/>
    </row>
    <row r="12" spans="1:14" ht="15.75" customHeight="1">
      <c r="A12" s="169"/>
      <c r="B12" s="169"/>
      <c r="C12" s="52" t="s">
        <v>27</v>
      </c>
      <c r="D12" s="53" t="s">
        <v>23</v>
      </c>
      <c r="E12" s="53" t="s">
        <v>35</v>
      </c>
      <c r="F12" s="53" t="s">
        <v>35</v>
      </c>
      <c r="G12" s="53" t="s">
        <v>36</v>
      </c>
      <c r="H12" s="63"/>
      <c r="I12" s="64"/>
      <c r="K12" s="47" t="s">
        <v>142</v>
      </c>
      <c r="L12" s="47">
        <f t="shared" si="0"/>
        <v>20</v>
      </c>
    </row>
    <row r="13" spans="1:14" ht="15.75" customHeight="1">
      <c r="A13" s="169"/>
      <c r="B13" s="169"/>
      <c r="C13" s="55"/>
      <c r="D13" s="56" t="s">
        <v>135</v>
      </c>
      <c r="E13" s="56" t="s">
        <v>146</v>
      </c>
      <c r="F13" s="56" t="s">
        <v>146</v>
      </c>
      <c r="G13" s="56" t="s">
        <v>136</v>
      </c>
      <c r="H13" s="65"/>
      <c r="I13" s="66"/>
      <c r="K13" s="47" t="s">
        <v>147</v>
      </c>
      <c r="L13" s="47">
        <f t="shared" si="0"/>
        <v>18</v>
      </c>
    </row>
    <row r="14" spans="1:14" ht="15.75" customHeight="1">
      <c r="A14" s="170"/>
      <c r="B14" s="170"/>
      <c r="C14" s="58"/>
      <c r="D14" s="59" t="s">
        <v>138</v>
      </c>
      <c r="E14" s="59" t="s">
        <v>26</v>
      </c>
      <c r="F14" s="59" t="s">
        <v>26</v>
      </c>
      <c r="G14" s="59" t="s">
        <v>138</v>
      </c>
      <c r="H14" s="67"/>
      <c r="I14" s="68"/>
      <c r="K14" s="47" t="s">
        <v>146</v>
      </c>
      <c r="L14" s="47">
        <f t="shared" si="0"/>
        <v>18</v>
      </c>
    </row>
    <row r="15" spans="1:14" ht="15.75" customHeight="1">
      <c r="A15" s="168">
        <f>A11+1</f>
        <v>46023</v>
      </c>
      <c r="B15" s="173" t="s">
        <v>148</v>
      </c>
      <c r="C15" s="69"/>
      <c r="D15" s="50" t="s">
        <v>78</v>
      </c>
      <c r="E15" s="50" t="s">
        <v>72</v>
      </c>
      <c r="F15" s="50" t="s">
        <v>141</v>
      </c>
      <c r="G15" s="50" t="s">
        <v>140</v>
      </c>
      <c r="H15" s="50" t="s">
        <v>140</v>
      </c>
      <c r="I15" s="51" t="s">
        <v>130</v>
      </c>
      <c r="K15" s="47" t="s">
        <v>67</v>
      </c>
      <c r="L15" s="47">
        <f t="shared" si="0"/>
        <v>16</v>
      </c>
    </row>
    <row r="16" spans="1:14" ht="15.75" customHeight="1">
      <c r="A16" s="169"/>
      <c r="B16" s="169"/>
      <c r="C16" s="70"/>
      <c r="D16" s="53" t="s">
        <v>36</v>
      </c>
      <c r="E16" s="53" t="s">
        <v>35</v>
      </c>
      <c r="F16" s="53" t="s">
        <v>23</v>
      </c>
      <c r="G16" s="53" t="s">
        <v>28</v>
      </c>
      <c r="H16" s="53" t="s">
        <v>28</v>
      </c>
      <c r="I16" s="54" t="s">
        <v>33</v>
      </c>
      <c r="K16" s="47" t="s">
        <v>149</v>
      </c>
      <c r="L16" s="47">
        <f t="shared" si="0"/>
        <v>20</v>
      </c>
    </row>
    <row r="17" spans="1:14" ht="15.75" customHeight="1">
      <c r="A17" s="169"/>
      <c r="B17" s="169"/>
      <c r="C17" s="71"/>
      <c r="D17" s="56" t="s">
        <v>136</v>
      </c>
      <c r="E17" s="56" t="s">
        <v>146</v>
      </c>
      <c r="F17" s="56" t="s">
        <v>147</v>
      </c>
      <c r="G17" s="56" t="s">
        <v>142</v>
      </c>
      <c r="H17" s="56" t="s">
        <v>142</v>
      </c>
      <c r="I17" s="57" t="s">
        <v>67</v>
      </c>
      <c r="K17" s="47" t="s">
        <v>75</v>
      </c>
      <c r="L17" s="47">
        <f t="shared" si="0"/>
        <v>20</v>
      </c>
      <c r="N17" s="72"/>
    </row>
    <row r="18" spans="1:14" ht="15.75" customHeight="1">
      <c r="A18" s="170"/>
      <c r="B18" s="170"/>
      <c r="C18" s="73"/>
      <c r="D18" s="59" t="s">
        <v>138</v>
      </c>
      <c r="E18" s="59" t="s">
        <v>26</v>
      </c>
      <c r="F18" s="59" t="s">
        <v>26</v>
      </c>
      <c r="G18" s="59" t="s">
        <v>36</v>
      </c>
      <c r="H18" s="59" t="s">
        <v>30</v>
      </c>
      <c r="I18" s="60" t="s">
        <v>37</v>
      </c>
      <c r="K18" s="47" t="s">
        <v>70</v>
      </c>
      <c r="L18" s="47">
        <f t="shared" si="0"/>
        <v>20</v>
      </c>
    </row>
    <row r="19" spans="1:14" ht="15.75" customHeight="1">
      <c r="A19" s="168">
        <f>A15+1</f>
        <v>46024</v>
      </c>
      <c r="B19" s="173" t="s">
        <v>150</v>
      </c>
      <c r="C19" s="49" t="s">
        <v>79</v>
      </c>
      <c r="D19" s="50" t="s">
        <v>141</v>
      </c>
      <c r="E19" s="50" t="s">
        <v>133</v>
      </c>
      <c r="F19" s="50" t="s">
        <v>141</v>
      </c>
      <c r="G19" s="50" t="s">
        <v>151</v>
      </c>
      <c r="H19" s="50" t="s">
        <v>151</v>
      </c>
      <c r="I19" s="51" t="s">
        <v>133</v>
      </c>
      <c r="K19" s="47" t="s">
        <v>135</v>
      </c>
      <c r="L19" s="47">
        <f t="shared" si="0"/>
        <v>18</v>
      </c>
    </row>
    <row r="20" spans="1:14" ht="15.75" customHeight="1">
      <c r="A20" s="169"/>
      <c r="B20" s="169"/>
      <c r="C20" s="52" t="s">
        <v>27</v>
      </c>
      <c r="D20" s="53" t="s">
        <v>23</v>
      </c>
      <c r="E20" s="53" t="s">
        <v>33</v>
      </c>
      <c r="F20" s="53" t="s">
        <v>23</v>
      </c>
      <c r="G20" s="53" t="s">
        <v>28</v>
      </c>
      <c r="H20" s="53" t="s">
        <v>28</v>
      </c>
      <c r="I20" s="54" t="s">
        <v>33</v>
      </c>
      <c r="K20" s="47" t="s">
        <v>136</v>
      </c>
      <c r="L20" s="47">
        <f t="shared" si="0"/>
        <v>18</v>
      </c>
    </row>
    <row r="21" spans="1:14" ht="15.75" customHeight="1">
      <c r="A21" s="169"/>
      <c r="B21" s="169"/>
      <c r="C21" s="55"/>
      <c r="D21" s="56" t="s">
        <v>147</v>
      </c>
      <c r="E21" s="56" t="s">
        <v>76</v>
      </c>
      <c r="F21" s="56" t="s">
        <v>147</v>
      </c>
      <c r="G21" s="56" t="s">
        <v>145</v>
      </c>
      <c r="H21" s="56" t="s">
        <v>145</v>
      </c>
      <c r="I21" s="57" t="s">
        <v>76</v>
      </c>
      <c r="K21" s="47" t="s">
        <v>76</v>
      </c>
      <c r="L21" s="47">
        <f t="shared" si="0"/>
        <v>20</v>
      </c>
    </row>
    <row r="22" spans="1:14" ht="15.75" customHeight="1">
      <c r="A22" s="170"/>
      <c r="B22" s="170"/>
      <c r="C22" s="58"/>
      <c r="D22" s="59" t="s">
        <v>26</v>
      </c>
      <c r="E22" s="59" t="s">
        <v>29</v>
      </c>
      <c r="F22" s="59" t="s">
        <v>26</v>
      </c>
      <c r="G22" s="59" t="s">
        <v>30</v>
      </c>
      <c r="H22" s="59" t="s">
        <v>30</v>
      </c>
      <c r="I22" s="60" t="s">
        <v>29</v>
      </c>
      <c r="K22" s="47" t="s">
        <v>151</v>
      </c>
      <c r="L22" s="47">
        <f t="shared" si="0"/>
        <v>20</v>
      </c>
      <c r="N22" s="72"/>
    </row>
    <row r="23" spans="1:14" ht="15.75" customHeight="1">
      <c r="A23" s="168">
        <f>A19+1</f>
        <v>46025</v>
      </c>
      <c r="B23" s="173" t="s">
        <v>152</v>
      </c>
      <c r="C23" s="49"/>
      <c r="D23" s="50" t="s">
        <v>151</v>
      </c>
      <c r="E23" s="50" t="s">
        <v>151</v>
      </c>
      <c r="F23" s="50" t="s">
        <v>130</v>
      </c>
      <c r="G23" s="50"/>
      <c r="H23" s="50"/>
      <c r="I23" s="51"/>
      <c r="K23" s="47" t="s">
        <v>140</v>
      </c>
      <c r="L23" s="47">
        <f t="shared" si="0"/>
        <v>20</v>
      </c>
    </row>
    <row r="24" spans="1:14" ht="15.75" customHeight="1">
      <c r="A24" s="169"/>
      <c r="B24" s="169"/>
      <c r="C24" s="52"/>
      <c r="D24" s="53" t="s">
        <v>28</v>
      </c>
      <c r="E24" s="53" t="s">
        <v>28</v>
      </c>
      <c r="F24" s="53" t="s">
        <v>33</v>
      </c>
      <c r="G24" s="53"/>
      <c r="H24" s="53"/>
      <c r="I24" s="54"/>
      <c r="K24" s="47" t="s">
        <v>72</v>
      </c>
      <c r="L24" s="47">
        <f t="shared" si="0"/>
        <v>20</v>
      </c>
    </row>
    <row r="25" spans="1:14" ht="15.75" customHeight="1">
      <c r="A25" s="169"/>
      <c r="B25" s="169"/>
      <c r="C25" s="55"/>
      <c r="D25" s="56" t="s">
        <v>145</v>
      </c>
      <c r="E25" s="56" t="s">
        <v>145</v>
      </c>
      <c r="F25" s="56" t="s">
        <v>67</v>
      </c>
      <c r="G25" s="56"/>
      <c r="H25" s="56"/>
      <c r="I25" s="57"/>
    </row>
    <row r="26" spans="1:14" ht="15.75" customHeight="1">
      <c r="A26" s="170"/>
      <c r="B26" s="170"/>
      <c r="C26" s="58"/>
      <c r="D26" s="59" t="s">
        <v>36</v>
      </c>
      <c r="E26" s="59" t="s">
        <v>30</v>
      </c>
      <c r="F26" s="59" t="s">
        <v>37</v>
      </c>
      <c r="G26" s="59"/>
      <c r="H26" s="59"/>
      <c r="I26" s="60"/>
      <c r="K26" s="72"/>
      <c r="N26" s="72"/>
    </row>
    <row r="27" spans="1:14" ht="15.75" customHeight="1">
      <c r="A27" s="168">
        <f>A23+1</f>
        <v>46026</v>
      </c>
      <c r="B27" s="173" t="s">
        <v>153</v>
      </c>
      <c r="C27" s="49"/>
      <c r="D27" s="50"/>
      <c r="E27" s="50"/>
      <c r="F27" s="50"/>
      <c r="G27" s="50"/>
      <c r="H27" s="74"/>
      <c r="I27" s="75"/>
    </row>
    <row r="28" spans="1:14" ht="15.75" customHeight="1">
      <c r="A28" s="169"/>
      <c r="B28" s="169"/>
      <c r="C28" s="52"/>
      <c r="D28" s="53"/>
      <c r="E28" s="53"/>
      <c r="F28" s="53"/>
      <c r="G28" s="53"/>
      <c r="H28" s="53"/>
      <c r="I28" s="54"/>
    </row>
    <row r="29" spans="1:14" ht="15.75" customHeight="1">
      <c r="A29" s="169"/>
      <c r="B29" s="169"/>
      <c r="C29" s="55"/>
      <c r="D29" s="56"/>
      <c r="E29" s="56"/>
      <c r="F29" s="56"/>
      <c r="G29" s="56"/>
      <c r="H29" s="53"/>
      <c r="I29" s="54"/>
      <c r="K29" s="72"/>
      <c r="N29" s="72"/>
    </row>
    <row r="30" spans="1:14" ht="15.75" customHeight="1">
      <c r="A30" s="170"/>
      <c r="B30" s="170"/>
      <c r="C30" s="58"/>
      <c r="D30" s="59"/>
      <c r="E30" s="59"/>
      <c r="F30" s="59"/>
      <c r="G30" s="59"/>
      <c r="H30" s="59"/>
      <c r="I30" s="60"/>
    </row>
    <row r="31" spans="1:14" ht="15.75" customHeight="1">
      <c r="A31" s="72"/>
      <c r="B31" s="72"/>
    </row>
    <row r="32" spans="1:14" ht="15.75" customHeight="1">
      <c r="A32" s="39"/>
      <c r="B32" s="39"/>
      <c r="C32" s="40"/>
      <c r="D32" s="172" t="s">
        <v>154</v>
      </c>
      <c r="E32" s="163"/>
      <c r="F32" s="163"/>
      <c r="G32" s="163"/>
      <c r="H32" s="40"/>
      <c r="I32" s="42"/>
    </row>
    <row r="33" spans="1:9" ht="15.75" customHeight="1">
      <c r="A33" s="43" t="s">
        <v>155</v>
      </c>
      <c r="B33" s="44"/>
      <c r="C33" s="45" t="s">
        <v>123</v>
      </c>
      <c r="D33" s="45" t="s">
        <v>124</v>
      </c>
      <c r="E33" s="45" t="s">
        <v>125</v>
      </c>
      <c r="F33" s="45" t="s">
        <v>126</v>
      </c>
      <c r="G33" s="45" t="s">
        <v>127</v>
      </c>
      <c r="H33" s="45" t="s">
        <v>128</v>
      </c>
      <c r="I33" s="46" t="s">
        <v>129</v>
      </c>
    </row>
    <row r="34" spans="1:9" ht="15.75" customHeight="1">
      <c r="A34" s="168">
        <f>A27+1</f>
        <v>46027</v>
      </c>
      <c r="B34" s="173" t="s">
        <v>131</v>
      </c>
      <c r="C34" s="49" t="s">
        <v>130</v>
      </c>
      <c r="D34" s="50" t="s">
        <v>132</v>
      </c>
      <c r="E34" s="50" t="s">
        <v>134</v>
      </c>
      <c r="F34" s="50" t="s">
        <v>141</v>
      </c>
      <c r="G34" s="50" t="s">
        <v>78</v>
      </c>
      <c r="H34" s="50" t="s">
        <v>137</v>
      </c>
      <c r="I34" s="51"/>
    </row>
    <row r="35" spans="1:9" ht="15.75" customHeight="1">
      <c r="A35" s="169"/>
      <c r="B35" s="169"/>
      <c r="C35" s="52" t="s">
        <v>33</v>
      </c>
      <c r="D35" s="53" t="s">
        <v>23</v>
      </c>
      <c r="E35" s="53" t="s">
        <v>24</v>
      </c>
      <c r="F35" s="53" t="s">
        <v>23</v>
      </c>
      <c r="G35" s="53" t="s">
        <v>36</v>
      </c>
      <c r="H35" s="53" t="s">
        <v>24</v>
      </c>
      <c r="I35" s="54"/>
    </row>
    <row r="36" spans="1:9" ht="15.75" customHeight="1">
      <c r="A36" s="169"/>
      <c r="B36" s="169"/>
      <c r="C36" s="55" t="s">
        <v>67</v>
      </c>
      <c r="D36" s="56" t="s">
        <v>135</v>
      </c>
      <c r="E36" s="56" t="s">
        <v>75</v>
      </c>
      <c r="F36" s="56" t="s">
        <v>147</v>
      </c>
      <c r="G36" s="56" t="s">
        <v>136</v>
      </c>
      <c r="H36" s="56"/>
      <c r="I36" s="57"/>
    </row>
    <row r="37" spans="1:9" ht="14">
      <c r="A37" s="170"/>
      <c r="B37" s="170"/>
      <c r="C37" s="58" t="s">
        <v>37</v>
      </c>
      <c r="D37" s="59" t="s">
        <v>138</v>
      </c>
      <c r="E37" s="59" t="s">
        <v>32</v>
      </c>
      <c r="F37" s="59" t="s">
        <v>26</v>
      </c>
      <c r="G37" s="59" t="s">
        <v>138</v>
      </c>
      <c r="H37" s="59"/>
      <c r="I37" s="60"/>
    </row>
    <row r="38" spans="1:9" ht="14">
      <c r="A38" s="168">
        <f>A34+1</f>
        <v>46028</v>
      </c>
      <c r="B38" s="173" t="s">
        <v>139</v>
      </c>
      <c r="C38" s="49" t="s">
        <v>137</v>
      </c>
      <c r="D38" s="50" t="s">
        <v>132</v>
      </c>
      <c r="E38" s="50" t="s">
        <v>134</v>
      </c>
      <c r="F38" s="50" t="s">
        <v>141</v>
      </c>
      <c r="G38" s="50" t="s">
        <v>140</v>
      </c>
      <c r="H38" s="50" t="s">
        <v>140</v>
      </c>
      <c r="I38" s="51" t="s">
        <v>130</v>
      </c>
    </row>
    <row r="39" spans="1:9" ht="14">
      <c r="A39" s="169"/>
      <c r="B39" s="169"/>
      <c r="C39" s="52" t="s">
        <v>24</v>
      </c>
      <c r="D39" s="53" t="s">
        <v>23</v>
      </c>
      <c r="E39" s="53" t="s">
        <v>24</v>
      </c>
      <c r="F39" s="53" t="s">
        <v>23</v>
      </c>
      <c r="G39" s="53" t="s">
        <v>40</v>
      </c>
      <c r="H39" s="53" t="s">
        <v>40</v>
      </c>
      <c r="I39" s="54" t="s">
        <v>33</v>
      </c>
    </row>
    <row r="40" spans="1:9" ht="14">
      <c r="A40" s="169"/>
      <c r="B40" s="169"/>
      <c r="C40" s="55"/>
      <c r="D40" s="56" t="s">
        <v>135</v>
      </c>
      <c r="E40" s="56" t="s">
        <v>75</v>
      </c>
      <c r="F40" s="56" t="s">
        <v>147</v>
      </c>
      <c r="G40" s="56" t="s">
        <v>142</v>
      </c>
      <c r="H40" s="56" t="s">
        <v>142</v>
      </c>
      <c r="I40" s="57"/>
    </row>
    <row r="41" spans="1:9" ht="14">
      <c r="A41" s="170"/>
      <c r="B41" s="170"/>
      <c r="C41" s="58"/>
      <c r="D41" s="59" t="s">
        <v>138</v>
      </c>
      <c r="E41" s="59" t="s">
        <v>32</v>
      </c>
      <c r="F41" s="53" t="s">
        <v>38</v>
      </c>
      <c r="G41" s="59" t="s">
        <v>30</v>
      </c>
      <c r="H41" s="59" t="s">
        <v>30</v>
      </c>
      <c r="I41" s="60"/>
    </row>
    <row r="42" spans="1:9" ht="14">
      <c r="A42" s="168">
        <f>A38+1</f>
        <v>46029</v>
      </c>
      <c r="B42" s="173" t="s">
        <v>144</v>
      </c>
      <c r="C42" s="49" t="s">
        <v>79</v>
      </c>
      <c r="D42" s="50" t="s">
        <v>132</v>
      </c>
      <c r="E42" s="50" t="s">
        <v>72</v>
      </c>
      <c r="F42" s="50" t="s">
        <v>72</v>
      </c>
      <c r="G42" s="50" t="s">
        <v>151</v>
      </c>
      <c r="H42" s="50" t="s">
        <v>151</v>
      </c>
      <c r="I42" s="76"/>
    </row>
    <row r="43" spans="1:9" ht="14">
      <c r="A43" s="169"/>
      <c r="B43" s="169"/>
      <c r="C43" s="52" t="s">
        <v>27</v>
      </c>
      <c r="D43" s="53" t="s">
        <v>23</v>
      </c>
      <c r="E43" s="53" t="s">
        <v>35</v>
      </c>
      <c r="F43" s="53" t="s">
        <v>35</v>
      </c>
      <c r="G43" s="53" t="s">
        <v>40</v>
      </c>
      <c r="H43" s="53" t="s">
        <v>40</v>
      </c>
      <c r="I43" s="77"/>
    </row>
    <row r="44" spans="1:9" ht="14">
      <c r="A44" s="169"/>
      <c r="B44" s="169"/>
      <c r="C44" s="55"/>
      <c r="D44" s="56" t="s">
        <v>135</v>
      </c>
      <c r="E44" s="56" t="s">
        <v>146</v>
      </c>
      <c r="F44" s="56" t="s">
        <v>146</v>
      </c>
      <c r="G44" s="56" t="s">
        <v>145</v>
      </c>
      <c r="H44" s="56" t="s">
        <v>145</v>
      </c>
      <c r="I44" s="78" t="s">
        <v>76</v>
      </c>
    </row>
    <row r="45" spans="1:9" ht="14">
      <c r="A45" s="170"/>
      <c r="B45" s="170"/>
      <c r="C45" s="58"/>
      <c r="D45" s="59" t="s">
        <v>138</v>
      </c>
      <c r="E45" s="59" t="s">
        <v>26</v>
      </c>
      <c r="F45" s="59" t="s">
        <v>38</v>
      </c>
      <c r="G45" s="59" t="s">
        <v>30</v>
      </c>
      <c r="H45" s="59" t="s">
        <v>30</v>
      </c>
      <c r="I45" s="79" t="s">
        <v>29</v>
      </c>
    </row>
    <row r="46" spans="1:9" ht="14">
      <c r="A46" s="171">
        <f>A42+1</f>
        <v>46030</v>
      </c>
      <c r="B46" s="173" t="s">
        <v>148</v>
      </c>
      <c r="C46" s="49" t="s">
        <v>72</v>
      </c>
      <c r="D46" s="50" t="s">
        <v>143</v>
      </c>
      <c r="E46" s="50" t="s">
        <v>143</v>
      </c>
      <c r="F46" s="50" t="s">
        <v>141</v>
      </c>
      <c r="G46" s="50" t="s">
        <v>140</v>
      </c>
      <c r="H46" s="50" t="s">
        <v>140</v>
      </c>
      <c r="I46" s="51" t="s">
        <v>149</v>
      </c>
    </row>
    <row r="47" spans="1:9" ht="14">
      <c r="A47" s="169"/>
      <c r="B47" s="169"/>
      <c r="C47" s="52" t="s">
        <v>35</v>
      </c>
      <c r="D47" s="53" t="s">
        <v>156</v>
      </c>
      <c r="E47" s="53" t="s">
        <v>156</v>
      </c>
      <c r="F47" s="53" t="s">
        <v>23</v>
      </c>
      <c r="G47" s="53" t="s">
        <v>44</v>
      </c>
      <c r="H47" s="53" t="s">
        <v>44</v>
      </c>
      <c r="I47" s="54" t="s">
        <v>156</v>
      </c>
    </row>
    <row r="48" spans="1:9" ht="14">
      <c r="A48" s="169"/>
      <c r="B48" s="169"/>
      <c r="C48" s="55" t="s">
        <v>146</v>
      </c>
      <c r="D48" s="56" t="s">
        <v>136</v>
      </c>
      <c r="E48" s="56" t="s">
        <v>76</v>
      </c>
      <c r="F48" s="56" t="s">
        <v>147</v>
      </c>
      <c r="G48" s="56" t="s">
        <v>142</v>
      </c>
      <c r="H48" s="56" t="s">
        <v>142</v>
      </c>
      <c r="I48" s="57" t="s">
        <v>133</v>
      </c>
    </row>
    <row r="49" spans="1:9" ht="14">
      <c r="A49" s="170"/>
      <c r="B49" s="170"/>
      <c r="C49" s="58" t="s">
        <v>38</v>
      </c>
      <c r="D49" s="59" t="s">
        <v>138</v>
      </c>
      <c r="E49" s="59" t="s">
        <v>29</v>
      </c>
      <c r="F49" s="53" t="s">
        <v>38</v>
      </c>
      <c r="G49" s="59" t="s">
        <v>30</v>
      </c>
      <c r="H49" s="59" t="s">
        <v>30</v>
      </c>
      <c r="I49" s="60" t="s">
        <v>33</v>
      </c>
    </row>
    <row r="50" spans="1:9" ht="14">
      <c r="A50" s="171">
        <f>A46+1</f>
        <v>46031</v>
      </c>
      <c r="B50" s="173" t="s">
        <v>150</v>
      </c>
      <c r="C50" s="49" t="s">
        <v>143</v>
      </c>
      <c r="D50" s="50" t="s">
        <v>143</v>
      </c>
      <c r="E50" s="50" t="s">
        <v>149</v>
      </c>
      <c r="F50" s="50" t="s">
        <v>149</v>
      </c>
      <c r="G50" s="50" t="s">
        <v>151</v>
      </c>
      <c r="H50" s="50" t="s">
        <v>151</v>
      </c>
      <c r="I50" s="51"/>
    </row>
    <row r="51" spans="1:9" ht="14">
      <c r="A51" s="169"/>
      <c r="B51" s="169"/>
      <c r="C51" s="52" t="s">
        <v>156</v>
      </c>
      <c r="D51" s="53" t="s">
        <v>156</v>
      </c>
      <c r="E51" s="53" t="s">
        <v>156</v>
      </c>
      <c r="F51" s="53" t="s">
        <v>156</v>
      </c>
      <c r="G51" s="53" t="s">
        <v>44</v>
      </c>
      <c r="H51" s="53" t="s">
        <v>44</v>
      </c>
      <c r="I51" s="54"/>
    </row>
    <row r="52" spans="1:9" ht="14">
      <c r="A52" s="169"/>
      <c r="B52" s="169"/>
      <c r="C52" s="55" t="s">
        <v>76</v>
      </c>
      <c r="D52" s="56" t="s">
        <v>136</v>
      </c>
      <c r="E52" s="56" t="s">
        <v>133</v>
      </c>
      <c r="F52" s="56" t="s">
        <v>133</v>
      </c>
      <c r="G52" s="56" t="s">
        <v>145</v>
      </c>
      <c r="H52" s="56" t="s">
        <v>145</v>
      </c>
      <c r="I52" s="57"/>
    </row>
    <row r="53" spans="1:9" ht="14">
      <c r="A53" s="170"/>
      <c r="B53" s="170"/>
      <c r="C53" s="58" t="s">
        <v>29</v>
      </c>
      <c r="D53" s="59" t="s">
        <v>138</v>
      </c>
      <c r="E53" s="59" t="s">
        <v>33</v>
      </c>
      <c r="F53" s="59" t="s">
        <v>41</v>
      </c>
      <c r="G53" s="59" t="s">
        <v>30</v>
      </c>
      <c r="H53" s="59" t="s">
        <v>30</v>
      </c>
      <c r="I53" s="60"/>
    </row>
    <row r="54" spans="1:9" ht="14">
      <c r="A54" s="171">
        <f>A50+1</f>
        <v>46032</v>
      </c>
      <c r="B54" s="173" t="s">
        <v>152</v>
      </c>
      <c r="C54" s="49" t="s">
        <v>134</v>
      </c>
      <c r="D54" s="50" t="s">
        <v>143</v>
      </c>
      <c r="E54" s="50" t="s">
        <v>149</v>
      </c>
      <c r="F54" s="50" t="s">
        <v>149</v>
      </c>
      <c r="G54" s="50" t="s">
        <v>151</v>
      </c>
      <c r="H54" s="50" t="s">
        <v>151</v>
      </c>
      <c r="I54" s="51" t="s">
        <v>78</v>
      </c>
    </row>
    <row r="55" spans="1:9" ht="14">
      <c r="A55" s="169"/>
      <c r="B55" s="169"/>
      <c r="C55" s="52" t="s">
        <v>24</v>
      </c>
      <c r="D55" s="53" t="s">
        <v>156</v>
      </c>
      <c r="E55" s="53" t="s">
        <v>156</v>
      </c>
      <c r="F55" s="53" t="s">
        <v>156</v>
      </c>
      <c r="G55" s="53" t="s">
        <v>51</v>
      </c>
      <c r="H55" s="53" t="s">
        <v>51</v>
      </c>
      <c r="I55" s="54" t="s">
        <v>53</v>
      </c>
    </row>
    <row r="56" spans="1:9" ht="14">
      <c r="A56" s="169"/>
      <c r="B56" s="169"/>
      <c r="C56" s="55" t="s">
        <v>75</v>
      </c>
      <c r="D56" s="56"/>
      <c r="E56" s="56"/>
      <c r="F56" s="56"/>
      <c r="G56" s="56"/>
      <c r="H56" s="53"/>
      <c r="I56" s="57"/>
    </row>
    <row r="57" spans="1:9" ht="14">
      <c r="A57" s="170"/>
      <c r="B57" s="170"/>
      <c r="C57" s="58" t="s">
        <v>32</v>
      </c>
      <c r="D57" s="59"/>
      <c r="E57" s="59"/>
      <c r="F57" s="59"/>
      <c r="G57" s="59"/>
      <c r="H57" s="59"/>
      <c r="I57" s="60"/>
    </row>
    <row r="58" spans="1:9" ht="14">
      <c r="A58" s="168">
        <f>A54+1</f>
        <v>46033</v>
      </c>
      <c r="B58" s="173" t="s">
        <v>153</v>
      </c>
      <c r="C58" s="49"/>
      <c r="D58" s="50" t="s">
        <v>78</v>
      </c>
      <c r="E58" s="50"/>
      <c r="F58" s="50" t="s">
        <v>78</v>
      </c>
      <c r="G58" s="50" t="s">
        <v>140</v>
      </c>
      <c r="H58" s="50" t="s">
        <v>140</v>
      </c>
      <c r="I58" s="51" t="s">
        <v>78</v>
      </c>
    </row>
    <row r="59" spans="1:9" ht="14">
      <c r="A59" s="169"/>
      <c r="B59" s="169"/>
      <c r="C59" s="52"/>
      <c r="D59" s="53" t="s">
        <v>53</v>
      </c>
      <c r="E59" s="53"/>
      <c r="F59" s="53" t="s">
        <v>53</v>
      </c>
      <c r="G59" s="53" t="s">
        <v>51</v>
      </c>
      <c r="H59" s="53" t="s">
        <v>51</v>
      </c>
      <c r="I59" s="54" t="s">
        <v>53</v>
      </c>
    </row>
    <row r="60" spans="1:9" ht="14">
      <c r="A60" s="169"/>
      <c r="B60" s="169"/>
      <c r="C60" s="55"/>
      <c r="D60" s="56"/>
      <c r="E60" s="56"/>
      <c r="F60" s="56"/>
      <c r="G60" s="56"/>
      <c r="H60" s="53"/>
      <c r="I60" s="57"/>
    </row>
    <row r="61" spans="1:9" ht="14">
      <c r="A61" s="170"/>
      <c r="B61" s="170"/>
      <c r="C61" s="58"/>
      <c r="D61" s="59"/>
      <c r="E61" s="59"/>
      <c r="F61" s="59"/>
      <c r="G61" s="59"/>
      <c r="H61" s="59"/>
      <c r="I61" s="60"/>
    </row>
    <row r="62" spans="1:9" ht="13">
      <c r="A62" s="72"/>
      <c r="B62" s="72"/>
    </row>
    <row r="63" spans="1:9" ht="14">
      <c r="A63" s="39"/>
      <c r="B63" s="39"/>
      <c r="C63" s="40"/>
      <c r="D63" s="172" t="s">
        <v>157</v>
      </c>
      <c r="E63" s="163"/>
      <c r="F63" s="163"/>
      <c r="G63" s="163"/>
      <c r="H63" s="40"/>
      <c r="I63" s="42"/>
    </row>
    <row r="64" spans="1:9" ht="14">
      <c r="A64" s="43" t="s">
        <v>158</v>
      </c>
      <c r="B64" s="44"/>
      <c r="C64" s="45" t="s">
        <v>123</v>
      </c>
      <c r="D64" s="45" t="s">
        <v>124</v>
      </c>
      <c r="E64" s="45" t="s">
        <v>125</v>
      </c>
      <c r="F64" s="45" t="s">
        <v>126</v>
      </c>
      <c r="G64" s="45" t="s">
        <v>127</v>
      </c>
      <c r="H64" s="45" t="s">
        <v>128</v>
      </c>
      <c r="I64" s="46" t="s">
        <v>129</v>
      </c>
    </row>
    <row r="65" spans="1:28" ht="14">
      <c r="A65" s="168">
        <f>A58+1</f>
        <v>46034</v>
      </c>
      <c r="B65" s="173" t="s">
        <v>131</v>
      </c>
      <c r="C65" s="49"/>
      <c r="D65" s="50" t="s">
        <v>78</v>
      </c>
      <c r="E65" s="50" t="s">
        <v>141</v>
      </c>
      <c r="F65" s="50" t="s">
        <v>134</v>
      </c>
      <c r="G65" s="50" t="s">
        <v>132</v>
      </c>
      <c r="H65" s="50" t="s">
        <v>137</v>
      </c>
      <c r="I65" s="51"/>
    </row>
    <row r="66" spans="1:28" ht="14">
      <c r="A66" s="169"/>
      <c r="B66" s="169"/>
      <c r="C66" s="52"/>
      <c r="D66" s="53" t="s">
        <v>53</v>
      </c>
      <c r="E66" s="53" t="s">
        <v>23</v>
      </c>
      <c r="F66" s="53" t="s">
        <v>24</v>
      </c>
      <c r="G66" s="53" t="s">
        <v>23</v>
      </c>
      <c r="H66" s="53" t="s">
        <v>24</v>
      </c>
      <c r="I66" s="54"/>
    </row>
    <row r="67" spans="1:28" ht="14">
      <c r="A67" s="169"/>
      <c r="B67" s="169"/>
      <c r="C67" s="55" t="s">
        <v>79</v>
      </c>
      <c r="D67" s="56" t="s">
        <v>136</v>
      </c>
      <c r="E67" s="56" t="s">
        <v>147</v>
      </c>
      <c r="F67" s="56" t="s">
        <v>75</v>
      </c>
      <c r="G67" s="56" t="s">
        <v>135</v>
      </c>
      <c r="H67" s="56"/>
      <c r="I67" s="57"/>
    </row>
    <row r="68" spans="1:28" ht="14">
      <c r="A68" s="170"/>
      <c r="B68" s="170"/>
      <c r="C68" s="58" t="s">
        <v>27</v>
      </c>
      <c r="D68" s="59" t="s">
        <v>138</v>
      </c>
      <c r="E68" s="59" t="s">
        <v>26</v>
      </c>
      <c r="F68" s="59" t="s">
        <v>32</v>
      </c>
      <c r="G68" s="59" t="s">
        <v>138</v>
      </c>
      <c r="H68" s="59"/>
      <c r="I68" s="60"/>
    </row>
    <row r="69" spans="1:28" ht="14">
      <c r="A69" s="168">
        <f>A65+1</f>
        <v>46035</v>
      </c>
      <c r="B69" s="173" t="s">
        <v>139</v>
      </c>
      <c r="C69" s="49" t="s">
        <v>137</v>
      </c>
      <c r="D69" s="50" t="s">
        <v>132</v>
      </c>
      <c r="E69" s="50" t="s">
        <v>134</v>
      </c>
      <c r="F69" s="50" t="s">
        <v>141</v>
      </c>
      <c r="G69" s="50" t="s">
        <v>140</v>
      </c>
      <c r="H69" s="50" t="s">
        <v>140</v>
      </c>
      <c r="I69" s="51"/>
    </row>
    <row r="70" spans="1:28" ht="14">
      <c r="A70" s="169"/>
      <c r="B70" s="169"/>
      <c r="C70" s="52" t="s">
        <v>24</v>
      </c>
      <c r="D70" s="53" t="s">
        <v>23</v>
      </c>
      <c r="E70" s="53" t="s">
        <v>24</v>
      </c>
      <c r="F70" s="53" t="s">
        <v>23</v>
      </c>
      <c r="G70" s="53" t="s">
        <v>40</v>
      </c>
      <c r="H70" s="53" t="s">
        <v>40</v>
      </c>
      <c r="I70" s="54"/>
    </row>
    <row r="71" spans="1:28" ht="14">
      <c r="A71" s="169"/>
      <c r="B71" s="169"/>
      <c r="C71" s="55"/>
      <c r="D71" s="56" t="s">
        <v>135</v>
      </c>
      <c r="E71" s="56" t="s">
        <v>75</v>
      </c>
      <c r="F71" s="56" t="s">
        <v>147</v>
      </c>
      <c r="G71" s="56" t="s">
        <v>142</v>
      </c>
      <c r="H71" s="56" t="s">
        <v>142</v>
      </c>
      <c r="I71" s="57" t="s">
        <v>76</v>
      </c>
    </row>
    <row r="72" spans="1:28" ht="14">
      <c r="A72" s="170"/>
      <c r="B72" s="170"/>
      <c r="C72" s="58"/>
      <c r="D72" s="59" t="s">
        <v>138</v>
      </c>
      <c r="E72" s="59" t="s">
        <v>32</v>
      </c>
      <c r="F72" s="59" t="s">
        <v>26</v>
      </c>
      <c r="G72" s="59" t="s">
        <v>30</v>
      </c>
      <c r="H72" s="59" t="s">
        <v>36</v>
      </c>
      <c r="I72" s="60" t="s">
        <v>29</v>
      </c>
    </row>
    <row r="73" spans="1:28" ht="14">
      <c r="A73" s="168">
        <f>A69+1</f>
        <v>46036</v>
      </c>
      <c r="B73" s="173" t="s">
        <v>144</v>
      </c>
      <c r="C73" s="49"/>
      <c r="D73" s="50" t="s">
        <v>132</v>
      </c>
      <c r="E73" s="50" t="s">
        <v>72</v>
      </c>
      <c r="F73" s="50" t="s">
        <v>72</v>
      </c>
      <c r="G73" s="50" t="s">
        <v>151</v>
      </c>
      <c r="H73" s="50" t="s">
        <v>151</v>
      </c>
      <c r="I73" s="51"/>
    </row>
    <row r="74" spans="1:28" ht="14">
      <c r="A74" s="169"/>
      <c r="B74" s="169"/>
      <c r="C74" s="52"/>
      <c r="D74" s="53" t="s">
        <v>23</v>
      </c>
      <c r="E74" s="53" t="s">
        <v>35</v>
      </c>
      <c r="F74" s="53" t="s">
        <v>35</v>
      </c>
      <c r="G74" s="53" t="s">
        <v>40</v>
      </c>
      <c r="H74" s="53" t="s">
        <v>40</v>
      </c>
      <c r="I74" s="54"/>
    </row>
    <row r="75" spans="1:28" ht="14">
      <c r="A75" s="169"/>
      <c r="B75" s="169"/>
      <c r="C75" s="55" t="s">
        <v>79</v>
      </c>
      <c r="D75" s="56" t="s">
        <v>135</v>
      </c>
      <c r="E75" s="56" t="s">
        <v>146</v>
      </c>
      <c r="F75" s="56" t="s">
        <v>146</v>
      </c>
      <c r="G75" s="56" t="s">
        <v>145</v>
      </c>
      <c r="H75" s="56" t="s">
        <v>145</v>
      </c>
      <c r="I75" s="57" t="s">
        <v>76</v>
      </c>
    </row>
    <row r="76" spans="1:28" ht="14">
      <c r="A76" s="170"/>
      <c r="B76" s="170"/>
      <c r="C76" s="58" t="s">
        <v>27</v>
      </c>
      <c r="D76" s="59" t="s">
        <v>138</v>
      </c>
      <c r="E76" s="59" t="s">
        <v>26</v>
      </c>
      <c r="F76" s="59" t="s">
        <v>26</v>
      </c>
      <c r="G76" s="59" t="s">
        <v>30</v>
      </c>
      <c r="H76" s="59" t="s">
        <v>36</v>
      </c>
      <c r="I76" s="60" t="s">
        <v>29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</row>
    <row r="77" spans="1:28" ht="14">
      <c r="A77" s="168">
        <f>A73+1</f>
        <v>46037</v>
      </c>
      <c r="B77" s="173" t="s">
        <v>148</v>
      </c>
      <c r="C77" s="49" t="s">
        <v>72</v>
      </c>
      <c r="D77" s="50" t="s">
        <v>67</v>
      </c>
      <c r="E77" s="50" t="s">
        <v>141</v>
      </c>
      <c r="F77" s="50" t="s">
        <v>67</v>
      </c>
      <c r="G77" s="50" t="s">
        <v>140</v>
      </c>
      <c r="H77" s="50" t="s">
        <v>140</v>
      </c>
      <c r="I77" s="51"/>
    </row>
    <row r="78" spans="1:28" ht="14">
      <c r="A78" s="169"/>
      <c r="B78" s="169"/>
      <c r="C78" s="52" t="s">
        <v>35</v>
      </c>
      <c r="D78" s="53" t="s">
        <v>159</v>
      </c>
      <c r="E78" s="53" t="s">
        <v>23</v>
      </c>
      <c r="F78" s="53" t="s">
        <v>159</v>
      </c>
      <c r="G78" s="53" t="s">
        <v>28</v>
      </c>
      <c r="H78" s="53" t="s">
        <v>28</v>
      </c>
      <c r="I78" s="54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</row>
    <row r="79" spans="1:28" ht="14">
      <c r="A79" s="169"/>
      <c r="B79" s="169"/>
      <c r="C79" s="55" t="s">
        <v>146</v>
      </c>
      <c r="D79" s="56" t="s">
        <v>130</v>
      </c>
      <c r="E79" s="56" t="s">
        <v>147</v>
      </c>
      <c r="F79" s="56" t="s">
        <v>130</v>
      </c>
      <c r="G79" s="56" t="s">
        <v>142</v>
      </c>
      <c r="H79" s="56" t="s">
        <v>142</v>
      </c>
      <c r="I79" s="57"/>
    </row>
    <row r="80" spans="1:28" ht="14">
      <c r="A80" s="170"/>
      <c r="B80" s="170"/>
      <c r="C80" s="58" t="s">
        <v>38</v>
      </c>
      <c r="D80" s="59" t="s">
        <v>41</v>
      </c>
      <c r="E80" s="59" t="s">
        <v>38</v>
      </c>
      <c r="F80" s="59" t="s">
        <v>41</v>
      </c>
      <c r="G80" s="59" t="s">
        <v>36</v>
      </c>
      <c r="H80" s="59" t="s">
        <v>36</v>
      </c>
      <c r="I80" s="60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</row>
    <row r="81" spans="1:28" ht="14">
      <c r="A81" s="168">
        <f>A77+1</f>
        <v>46038</v>
      </c>
      <c r="B81" s="173" t="s">
        <v>150</v>
      </c>
      <c r="C81" s="49"/>
      <c r="D81" s="50" t="s">
        <v>67</v>
      </c>
      <c r="E81" s="50" t="s">
        <v>78</v>
      </c>
      <c r="F81" s="50" t="s">
        <v>67</v>
      </c>
      <c r="G81" s="50" t="s">
        <v>151</v>
      </c>
      <c r="H81" s="50" t="s">
        <v>151</v>
      </c>
      <c r="I81" s="51"/>
    </row>
    <row r="82" spans="1:28" ht="14">
      <c r="A82" s="169"/>
      <c r="B82" s="169"/>
      <c r="C82" s="52"/>
      <c r="D82" s="53" t="s">
        <v>159</v>
      </c>
      <c r="E82" s="53" t="s">
        <v>36</v>
      </c>
      <c r="F82" s="53" t="s">
        <v>159</v>
      </c>
      <c r="G82" s="53" t="s">
        <v>28</v>
      </c>
      <c r="H82" s="53" t="s">
        <v>28</v>
      </c>
      <c r="I82" s="54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</row>
    <row r="83" spans="1:28" ht="14">
      <c r="A83" s="169"/>
      <c r="B83" s="169"/>
      <c r="C83" s="55" t="s">
        <v>79</v>
      </c>
      <c r="D83" s="56" t="s">
        <v>130</v>
      </c>
      <c r="E83" s="56" t="s">
        <v>136</v>
      </c>
      <c r="F83" s="56"/>
      <c r="G83" s="56" t="s">
        <v>145</v>
      </c>
      <c r="H83" s="56" t="s">
        <v>145</v>
      </c>
      <c r="I83" s="57"/>
    </row>
    <row r="84" spans="1:28" ht="14">
      <c r="A84" s="170"/>
      <c r="B84" s="170"/>
      <c r="C84" s="58" t="s">
        <v>27</v>
      </c>
      <c r="D84" s="59" t="s">
        <v>41</v>
      </c>
      <c r="E84" s="59" t="s">
        <v>138</v>
      </c>
      <c r="F84" s="59"/>
      <c r="G84" s="59" t="s">
        <v>36</v>
      </c>
      <c r="H84" s="59" t="s">
        <v>36</v>
      </c>
      <c r="I84" s="60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</row>
    <row r="85" spans="1:28" ht="14">
      <c r="A85" s="168">
        <f>A81+1</f>
        <v>46039</v>
      </c>
      <c r="B85" s="173" t="s">
        <v>152</v>
      </c>
      <c r="C85" s="49" t="s">
        <v>134</v>
      </c>
      <c r="D85" s="50" t="s">
        <v>70</v>
      </c>
      <c r="E85" s="50" t="s">
        <v>134</v>
      </c>
      <c r="F85" s="50" t="s">
        <v>137</v>
      </c>
      <c r="G85" s="50" t="s">
        <v>70</v>
      </c>
      <c r="H85" s="50" t="s">
        <v>137</v>
      </c>
      <c r="I85" s="51" t="s">
        <v>70</v>
      </c>
    </row>
    <row r="86" spans="1:28" ht="14">
      <c r="A86" s="169"/>
      <c r="B86" s="169"/>
      <c r="C86" s="52" t="s">
        <v>160</v>
      </c>
      <c r="D86" s="53" t="s">
        <v>31</v>
      </c>
      <c r="E86" s="53" t="s">
        <v>160</v>
      </c>
      <c r="F86" s="53" t="s">
        <v>160</v>
      </c>
      <c r="G86" s="53" t="s">
        <v>31</v>
      </c>
      <c r="H86" s="53" t="s">
        <v>160</v>
      </c>
      <c r="I86" s="54" t="s">
        <v>31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</row>
    <row r="87" spans="1:28" ht="14">
      <c r="A87" s="169"/>
      <c r="B87" s="169"/>
      <c r="C87" s="55" t="s">
        <v>75</v>
      </c>
      <c r="D87" s="56"/>
      <c r="E87" s="56"/>
      <c r="F87" s="56"/>
      <c r="G87" s="56"/>
      <c r="H87" s="56"/>
      <c r="I87" s="57"/>
    </row>
    <row r="88" spans="1:28" ht="14">
      <c r="A88" s="170"/>
      <c r="B88" s="170"/>
      <c r="C88" s="58" t="s">
        <v>32</v>
      </c>
      <c r="D88" s="59"/>
      <c r="E88" s="59"/>
      <c r="F88" s="59"/>
      <c r="G88" s="59"/>
      <c r="H88" s="59"/>
      <c r="I88" s="60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</row>
    <row r="89" spans="1:28" ht="14">
      <c r="A89" s="168">
        <f>A85+1</f>
        <v>46040</v>
      </c>
      <c r="B89" s="173" t="s">
        <v>153</v>
      </c>
      <c r="C89" s="49" t="s">
        <v>134</v>
      </c>
      <c r="D89" s="50" t="s">
        <v>70</v>
      </c>
      <c r="E89" s="50" t="s">
        <v>134</v>
      </c>
      <c r="F89" s="50" t="s">
        <v>137</v>
      </c>
      <c r="G89" s="50"/>
      <c r="H89" s="50"/>
      <c r="I89" s="51"/>
    </row>
    <row r="90" spans="1:28" ht="14">
      <c r="A90" s="169"/>
      <c r="B90" s="169"/>
      <c r="C90" s="52" t="s">
        <v>160</v>
      </c>
      <c r="D90" s="53" t="s">
        <v>31</v>
      </c>
      <c r="E90" s="53" t="s">
        <v>160</v>
      </c>
      <c r="F90" s="53" t="s">
        <v>160</v>
      </c>
      <c r="G90" s="53"/>
      <c r="H90" s="53"/>
      <c r="I90" s="54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</row>
    <row r="91" spans="1:28" ht="14">
      <c r="A91" s="169"/>
      <c r="B91" s="169"/>
      <c r="C91" s="55"/>
      <c r="D91" s="56"/>
      <c r="E91" s="56"/>
      <c r="F91" s="56"/>
      <c r="G91" s="56"/>
      <c r="H91" s="56"/>
      <c r="I91" s="57"/>
    </row>
    <row r="92" spans="1:28" ht="14">
      <c r="A92" s="170"/>
      <c r="B92" s="170"/>
      <c r="C92" s="58"/>
      <c r="D92" s="59"/>
      <c r="E92" s="59"/>
      <c r="F92" s="59"/>
      <c r="G92" s="59"/>
      <c r="H92" s="59"/>
      <c r="I92" s="60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</row>
    <row r="93" spans="1:28" ht="13">
      <c r="A93" s="72"/>
      <c r="B93" s="72"/>
    </row>
    <row r="94" spans="1:28" ht="14">
      <c r="A94" s="39"/>
      <c r="B94" s="39"/>
      <c r="C94" s="40"/>
      <c r="D94" s="172" t="s">
        <v>161</v>
      </c>
      <c r="E94" s="163"/>
      <c r="F94" s="163"/>
      <c r="G94" s="163"/>
      <c r="H94" s="40"/>
      <c r="I94" s="4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</row>
    <row r="95" spans="1:28" ht="14">
      <c r="A95" s="43" t="s">
        <v>162</v>
      </c>
      <c r="B95" s="44"/>
      <c r="C95" s="45" t="s">
        <v>123</v>
      </c>
      <c r="D95" s="45" t="s">
        <v>124</v>
      </c>
      <c r="E95" s="45" t="s">
        <v>125</v>
      </c>
      <c r="F95" s="45" t="s">
        <v>126</v>
      </c>
      <c r="G95" s="45" t="s">
        <v>127</v>
      </c>
      <c r="H95" s="45" t="s">
        <v>128</v>
      </c>
      <c r="I95" s="46" t="s">
        <v>129</v>
      </c>
    </row>
    <row r="96" spans="1:28" ht="14">
      <c r="A96" s="168">
        <f>A89+1</f>
        <v>46041</v>
      </c>
      <c r="B96" s="173" t="s">
        <v>131</v>
      </c>
      <c r="C96" s="49" t="s">
        <v>137</v>
      </c>
      <c r="D96" s="50" t="s">
        <v>132</v>
      </c>
      <c r="E96" s="50" t="s">
        <v>134</v>
      </c>
      <c r="F96" s="50" t="s">
        <v>141</v>
      </c>
      <c r="G96" s="50" t="s">
        <v>78</v>
      </c>
      <c r="H96" s="50" t="s">
        <v>141</v>
      </c>
      <c r="I96" s="51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</row>
    <row r="97" spans="1:28" ht="14">
      <c r="A97" s="169"/>
      <c r="B97" s="169"/>
      <c r="C97" s="52" t="s">
        <v>24</v>
      </c>
      <c r="D97" s="53" t="s">
        <v>50</v>
      </c>
      <c r="E97" s="53" t="s">
        <v>38</v>
      </c>
      <c r="F97" s="53" t="s">
        <v>50</v>
      </c>
      <c r="G97" s="53" t="s">
        <v>42</v>
      </c>
      <c r="H97" s="53" t="s">
        <v>50</v>
      </c>
      <c r="I97" s="54"/>
    </row>
    <row r="98" spans="1:28" ht="14">
      <c r="A98" s="169"/>
      <c r="B98" s="169"/>
      <c r="C98" s="55" t="s">
        <v>70</v>
      </c>
      <c r="D98" s="56" t="s">
        <v>135</v>
      </c>
      <c r="E98" s="56" t="s">
        <v>75</v>
      </c>
      <c r="F98" s="56" t="s">
        <v>147</v>
      </c>
      <c r="G98" s="56" t="s">
        <v>136</v>
      </c>
      <c r="H98" s="56" t="s">
        <v>147</v>
      </c>
      <c r="I98" s="57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</row>
    <row r="99" spans="1:28" ht="14">
      <c r="A99" s="170"/>
      <c r="B99" s="170"/>
      <c r="C99" s="58" t="s">
        <v>46</v>
      </c>
      <c r="D99" s="59" t="s">
        <v>138</v>
      </c>
      <c r="E99" s="59" t="s">
        <v>32</v>
      </c>
      <c r="F99" s="59" t="s">
        <v>26</v>
      </c>
      <c r="G99" s="59" t="s">
        <v>138</v>
      </c>
      <c r="H99" s="59" t="s">
        <v>26</v>
      </c>
      <c r="I99" s="60"/>
    </row>
    <row r="100" spans="1:28" ht="14">
      <c r="A100" s="168">
        <f>A96+1</f>
        <v>46042</v>
      </c>
      <c r="B100" s="173" t="s">
        <v>139</v>
      </c>
      <c r="C100" s="49"/>
      <c r="D100" s="50" t="s">
        <v>132</v>
      </c>
      <c r="E100" s="50" t="s">
        <v>134</v>
      </c>
      <c r="F100" s="50" t="s">
        <v>141</v>
      </c>
      <c r="G100" s="50" t="s">
        <v>140</v>
      </c>
      <c r="H100" s="50" t="s">
        <v>140</v>
      </c>
      <c r="I100" s="51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</row>
    <row r="101" spans="1:28" ht="14">
      <c r="A101" s="169"/>
      <c r="B101" s="169"/>
      <c r="C101" s="52"/>
      <c r="D101" s="53" t="s">
        <v>50</v>
      </c>
      <c r="E101" s="53" t="s">
        <v>38</v>
      </c>
      <c r="F101" s="53" t="s">
        <v>50</v>
      </c>
      <c r="G101" s="53" t="s">
        <v>28</v>
      </c>
      <c r="H101" s="53" t="s">
        <v>28</v>
      </c>
      <c r="I101" s="54"/>
    </row>
    <row r="102" spans="1:28" ht="14">
      <c r="A102" s="169"/>
      <c r="B102" s="169"/>
      <c r="C102" s="55" t="s">
        <v>79</v>
      </c>
      <c r="D102" s="56" t="s">
        <v>135</v>
      </c>
      <c r="E102" s="56" t="s">
        <v>75</v>
      </c>
      <c r="F102" s="56" t="s">
        <v>147</v>
      </c>
      <c r="G102" s="56" t="s">
        <v>142</v>
      </c>
      <c r="H102" s="56" t="s">
        <v>142</v>
      </c>
      <c r="I102" s="57" t="s">
        <v>76</v>
      </c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</row>
    <row r="103" spans="1:28" ht="14">
      <c r="A103" s="170"/>
      <c r="B103" s="170"/>
      <c r="C103" s="58" t="s">
        <v>27</v>
      </c>
      <c r="D103" s="59" t="s">
        <v>138</v>
      </c>
      <c r="E103" s="59" t="s">
        <v>32</v>
      </c>
      <c r="F103" s="59" t="s">
        <v>38</v>
      </c>
      <c r="G103" s="59" t="s">
        <v>36</v>
      </c>
      <c r="H103" s="59" t="s">
        <v>30</v>
      </c>
      <c r="I103" s="60" t="s">
        <v>29</v>
      </c>
    </row>
    <row r="104" spans="1:28" ht="14">
      <c r="A104" s="168">
        <f>A100+1</f>
        <v>46043</v>
      </c>
      <c r="B104" s="173" t="s">
        <v>144</v>
      </c>
      <c r="C104" s="49" t="s">
        <v>137</v>
      </c>
      <c r="D104" s="50" t="s">
        <v>72</v>
      </c>
      <c r="E104" s="50" t="s">
        <v>78</v>
      </c>
      <c r="F104" s="50" t="s">
        <v>72</v>
      </c>
      <c r="G104" s="50" t="s">
        <v>151</v>
      </c>
      <c r="H104" s="50" t="s">
        <v>151</v>
      </c>
      <c r="I104" s="51"/>
    </row>
    <row r="105" spans="1:28" ht="14">
      <c r="A105" s="169"/>
      <c r="B105" s="169"/>
      <c r="C105" s="52" t="s">
        <v>38</v>
      </c>
      <c r="D105" s="53" t="s">
        <v>35</v>
      </c>
      <c r="E105" s="53" t="s">
        <v>42</v>
      </c>
      <c r="F105" s="53" t="s">
        <v>35</v>
      </c>
      <c r="G105" s="53" t="s">
        <v>28</v>
      </c>
      <c r="H105" s="53" t="s">
        <v>28</v>
      </c>
      <c r="I105" s="54"/>
    </row>
    <row r="106" spans="1:28" ht="14">
      <c r="A106" s="169"/>
      <c r="B106" s="169"/>
      <c r="C106" s="55" t="s">
        <v>70</v>
      </c>
      <c r="D106" s="56" t="s">
        <v>146</v>
      </c>
      <c r="E106" s="56" t="s">
        <v>136</v>
      </c>
      <c r="F106" s="56" t="s">
        <v>146</v>
      </c>
      <c r="G106" s="56" t="s">
        <v>145</v>
      </c>
      <c r="H106" s="56" t="s">
        <v>145</v>
      </c>
      <c r="I106" s="57" t="s">
        <v>76</v>
      </c>
    </row>
    <row r="107" spans="1:28" ht="14">
      <c r="A107" s="170"/>
      <c r="B107" s="170"/>
      <c r="C107" s="58" t="s">
        <v>46</v>
      </c>
      <c r="D107" s="59" t="s">
        <v>26</v>
      </c>
      <c r="E107" s="59" t="s">
        <v>138</v>
      </c>
      <c r="F107" s="59" t="s">
        <v>38</v>
      </c>
      <c r="G107" s="59" t="s">
        <v>36</v>
      </c>
      <c r="H107" s="59" t="s">
        <v>30</v>
      </c>
      <c r="I107" s="60" t="s">
        <v>29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</row>
    <row r="108" spans="1:28" ht="14">
      <c r="A108" s="171">
        <f>A104+1</f>
        <v>46044</v>
      </c>
      <c r="B108" s="173" t="s">
        <v>148</v>
      </c>
      <c r="C108" s="49" t="s">
        <v>72</v>
      </c>
      <c r="D108" s="50" t="s">
        <v>137</v>
      </c>
      <c r="E108" s="50" t="s">
        <v>143</v>
      </c>
      <c r="F108" s="50" t="s">
        <v>143</v>
      </c>
      <c r="G108" s="50" t="s">
        <v>140</v>
      </c>
      <c r="H108" s="50" t="s">
        <v>140</v>
      </c>
      <c r="I108" s="51" t="s">
        <v>132</v>
      </c>
    </row>
    <row r="109" spans="1:28" ht="14">
      <c r="A109" s="169"/>
      <c r="B109" s="169"/>
      <c r="C109" s="52" t="s">
        <v>35</v>
      </c>
      <c r="D109" s="53" t="s">
        <v>38</v>
      </c>
      <c r="E109" s="53" t="s">
        <v>156</v>
      </c>
      <c r="F109" s="53" t="s">
        <v>156</v>
      </c>
      <c r="G109" s="53" t="s">
        <v>59</v>
      </c>
      <c r="H109" s="53" t="s">
        <v>59</v>
      </c>
      <c r="I109" s="54" t="s">
        <v>50</v>
      </c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</row>
    <row r="110" spans="1:28" ht="14">
      <c r="A110" s="169"/>
      <c r="B110" s="169"/>
      <c r="C110" s="55" t="s">
        <v>146</v>
      </c>
      <c r="D110" s="56" t="s">
        <v>70</v>
      </c>
      <c r="E110" s="56" t="s">
        <v>136</v>
      </c>
      <c r="F110" s="56"/>
      <c r="G110" s="56" t="s">
        <v>142</v>
      </c>
      <c r="H110" s="56" t="s">
        <v>142</v>
      </c>
      <c r="I110" s="57"/>
    </row>
    <row r="111" spans="1:28" ht="14">
      <c r="A111" s="170"/>
      <c r="B111" s="170"/>
      <c r="C111" s="58" t="s">
        <v>26</v>
      </c>
      <c r="D111" s="59" t="s">
        <v>46</v>
      </c>
      <c r="E111" s="59" t="s">
        <v>138</v>
      </c>
      <c r="F111" s="59"/>
      <c r="G111" s="59" t="s">
        <v>30</v>
      </c>
      <c r="H111" s="59" t="s">
        <v>30</v>
      </c>
      <c r="I111" s="60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</row>
    <row r="112" spans="1:28" ht="14">
      <c r="A112" s="171">
        <f>A108+1</f>
        <v>46045</v>
      </c>
      <c r="B112" s="173" t="s">
        <v>150</v>
      </c>
      <c r="C112" s="49" t="s">
        <v>67</v>
      </c>
      <c r="D112" s="50" t="s">
        <v>143</v>
      </c>
      <c r="E112" s="50" t="s">
        <v>149</v>
      </c>
      <c r="F112" s="50" t="s">
        <v>149</v>
      </c>
      <c r="G112" s="50" t="s">
        <v>151</v>
      </c>
      <c r="H112" s="50" t="s">
        <v>151</v>
      </c>
      <c r="I112" s="51" t="s">
        <v>67</v>
      </c>
    </row>
    <row r="113" spans="1:28" ht="14">
      <c r="A113" s="169"/>
      <c r="B113" s="169"/>
      <c r="C113" s="52" t="s">
        <v>163</v>
      </c>
      <c r="D113" s="53" t="s">
        <v>156</v>
      </c>
      <c r="E113" s="53" t="s">
        <v>156</v>
      </c>
      <c r="F113" s="53" t="s">
        <v>156</v>
      </c>
      <c r="G113" s="53" t="s">
        <v>57</v>
      </c>
      <c r="H113" s="53" t="s">
        <v>57</v>
      </c>
      <c r="I113" s="54" t="s">
        <v>163</v>
      </c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</row>
    <row r="114" spans="1:28" ht="14">
      <c r="A114" s="169"/>
      <c r="B114" s="169"/>
      <c r="C114" s="55" t="s">
        <v>130</v>
      </c>
      <c r="D114" s="56"/>
      <c r="E114" s="56" t="s">
        <v>133</v>
      </c>
      <c r="F114" s="56" t="s">
        <v>133</v>
      </c>
      <c r="G114" s="56" t="s">
        <v>145</v>
      </c>
      <c r="H114" s="56" t="s">
        <v>145</v>
      </c>
      <c r="I114" s="57"/>
    </row>
    <row r="115" spans="1:28" ht="14">
      <c r="A115" s="170"/>
      <c r="B115" s="170"/>
      <c r="C115" s="58" t="s">
        <v>41</v>
      </c>
      <c r="D115" s="59"/>
      <c r="E115" s="59" t="s">
        <v>41</v>
      </c>
      <c r="F115" s="59" t="s">
        <v>41</v>
      </c>
      <c r="G115" s="59" t="s">
        <v>30</v>
      </c>
      <c r="H115" s="59" t="s">
        <v>30</v>
      </c>
      <c r="I115" s="60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</row>
    <row r="116" spans="1:28" ht="14">
      <c r="A116" s="171">
        <f>A112+1</f>
        <v>46046</v>
      </c>
      <c r="B116" s="173" t="s">
        <v>152</v>
      </c>
      <c r="C116" s="49" t="s">
        <v>67</v>
      </c>
      <c r="D116" s="50" t="s">
        <v>149</v>
      </c>
      <c r="E116" s="50" t="s">
        <v>143</v>
      </c>
      <c r="F116" s="50" t="s">
        <v>143</v>
      </c>
      <c r="G116" s="50" t="s">
        <v>149</v>
      </c>
      <c r="H116" s="50" t="s">
        <v>149</v>
      </c>
      <c r="I116" s="51"/>
    </row>
    <row r="117" spans="1:28" ht="14">
      <c r="A117" s="169"/>
      <c r="B117" s="169"/>
      <c r="C117" s="52" t="s">
        <v>163</v>
      </c>
      <c r="D117" s="53" t="s">
        <v>156</v>
      </c>
      <c r="E117" s="53" t="s">
        <v>156</v>
      </c>
      <c r="F117" s="53" t="s">
        <v>156</v>
      </c>
      <c r="G117" s="53" t="s">
        <v>156</v>
      </c>
      <c r="H117" s="53" t="s">
        <v>156</v>
      </c>
      <c r="I117" s="54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</row>
    <row r="118" spans="1:28" ht="14">
      <c r="A118" s="169"/>
      <c r="B118" s="169"/>
      <c r="C118" s="55" t="s">
        <v>130</v>
      </c>
      <c r="D118" s="56"/>
      <c r="E118" s="56"/>
      <c r="F118" s="56"/>
      <c r="G118" s="56"/>
      <c r="H118" s="56"/>
      <c r="I118" s="57"/>
    </row>
    <row r="119" spans="1:28" ht="14">
      <c r="A119" s="170"/>
      <c r="B119" s="170"/>
      <c r="C119" s="58" t="s">
        <v>41</v>
      </c>
      <c r="D119" s="59"/>
      <c r="E119" s="59"/>
      <c r="F119" s="59"/>
      <c r="G119" s="59"/>
      <c r="H119" s="59"/>
      <c r="I119" s="60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</row>
    <row r="120" spans="1:28" ht="14">
      <c r="A120" s="168">
        <f>A116+1</f>
        <v>46047</v>
      </c>
      <c r="B120" s="173" t="s">
        <v>153</v>
      </c>
      <c r="C120" s="49"/>
      <c r="D120" s="50" t="s">
        <v>67</v>
      </c>
      <c r="E120" s="50"/>
      <c r="F120" s="50" t="s">
        <v>67</v>
      </c>
      <c r="G120" s="50"/>
      <c r="H120" s="50" t="s">
        <v>67</v>
      </c>
      <c r="I120" s="51"/>
    </row>
    <row r="121" spans="1:28" ht="14">
      <c r="A121" s="169"/>
      <c r="B121" s="169"/>
      <c r="C121" s="52"/>
      <c r="D121" s="53" t="s">
        <v>163</v>
      </c>
      <c r="E121" s="53"/>
      <c r="F121" s="53" t="s">
        <v>163</v>
      </c>
      <c r="G121" s="53"/>
      <c r="H121" s="53" t="s">
        <v>163</v>
      </c>
      <c r="I121" s="54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14">
      <c r="A122" s="169"/>
      <c r="B122" s="169"/>
      <c r="C122" s="55"/>
      <c r="D122" s="56"/>
      <c r="E122" s="56"/>
      <c r="F122" s="56"/>
      <c r="G122" s="56"/>
      <c r="H122" s="56"/>
      <c r="I122" s="57"/>
    </row>
    <row r="123" spans="1:28" ht="14">
      <c r="A123" s="170"/>
      <c r="B123" s="170"/>
      <c r="C123" s="58"/>
      <c r="D123" s="59"/>
      <c r="E123" s="59"/>
      <c r="F123" s="59"/>
      <c r="G123" s="59"/>
      <c r="H123" s="59"/>
      <c r="I123" s="60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</row>
    <row r="124" spans="1:28" ht="13">
      <c r="A124" s="72"/>
      <c r="B124" s="72"/>
    </row>
    <row r="125" spans="1:28" ht="14">
      <c r="A125" s="39"/>
      <c r="B125" s="39"/>
      <c r="C125" s="40"/>
      <c r="D125" s="172" t="s">
        <v>164</v>
      </c>
      <c r="E125" s="163"/>
      <c r="F125" s="163"/>
      <c r="G125" s="163"/>
      <c r="H125" s="40"/>
      <c r="I125" s="4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</row>
    <row r="126" spans="1:28" ht="14">
      <c r="A126" s="43" t="s">
        <v>165</v>
      </c>
      <c r="B126" s="44"/>
      <c r="C126" s="45" t="s">
        <v>123</v>
      </c>
      <c r="D126" s="45" t="s">
        <v>124</v>
      </c>
      <c r="E126" s="45" t="s">
        <v>125</v>
      </c>
      <c r="F126" s="45" t="s">
        <v>126</v>
      </c>
      <c r="G126" s="45" t="s">
        <v>127</v>
      </c>
      <c r="H126" s="45" t="s">
        <v>128</v>
      </c>
      <c r="I126" s="46" t="s">
        <v>129</v>
      </c>
    </row>
    <row r="127" spans="1:28" ht="14">
      <c r="A127" s="168">
        <f>A120+1</f>
        <v>46048</v>
      </c>
      <c r="B127" s="173" t="s">
        <v>131</v>
      </c>
      <c r="C127" s="80"/>
      <c r="D127" s="81"/>
      <c r="E127" s="81"/>
      <c r="F127" s="81"/>
      <c r="G127" s="81"/>
      <c r="H127" s="81"/>
      <c r="I127" s="8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</row>
    <row r="128" spans="1:28" ht="14">
      <c r="A128" s="169"/>
      <c r="B128" s="169"/>
      <c r="C128" s="83"/>
      <c r="D128" s="84"/>
      <c r="E128" s="84"/>
      <c r="F128" s="84"/>
      <c r="G128" s="84"/>
      <c r="H128" s="84"/>
      <c r="I128" s="85"/>
    </row>
    <row r="129" spans="1:28" ht="14">
      <c r="A129" s="169"/>
      <c r="B129" s="169"/>
      <c r="C129" s="83"/>
      <c r="D129" s="84"/>
      <c r="E129" s="84"/>
      <c r="F129" s="84"/>
      <c r="G129" s="84"/>
      <c r="H129" s="84"/>
      <c r="I129" s="85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</row>
    <row r="130" spans="1:28" ht="14">
      <c r="A130" s="170"/>
      <c r="B130" s="170"/>
      <c r="C130" s="86"/>
      <c r="D130" s="87"/>
      <c r="E130" s="87"/>
      <c r="F130" s="87"/>
      <c r="G130" s="87"/>
      <c r="H130" s="87"/>
      <c r="I130" s="88"/>
    </row>
    <row r="131" spans="1:28" ht="14">
      <c r="A131" s="168">
        <f>A127+1</f>
        <v>46049</v>
      </c>
      <c r="B131" s="173" t="s">
        <v>139</v>
      </c>
      <c r="C131" s="49" t="s">
        <v>137</v>
      </c>
      <c r="D131" s="50" t="s">
        <v>132</v>
      </c>
      <c r="E131" s="50" t="s">
        <v>134</v>
      </c>
      <c r="F131" s="50" t="s">
        <v>141</v>
      </c>
      <c r="G131" s="50" t="s">
        <v>140</v>
      </c>
      <c r="H131" s="50" t="s">
        <v>140</v>
      </c>
      <c r="I131" s="51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</row>
    <row r="132" spans="1:28" ht="14">
      <c r="A132" s="169"/>
      <c r="B132" s="169"/>
      <c r="C132" s="52" t="s">
        <v>24</v>
      </c>
      <c r="D132" s="53" t="s">
        <v>50</v>
      </c>
      <c r="E132" s="53" t="s">
        <v>24</v>
      </c>
      <c r="F132" s="53" t="s">
        <v>50</v>
      </c>
      <c r="G132" s="53" t="s">
        <v>60</v>
      </c>
      <c r="H132" s="53" t="s">
        <v>60</v>
      </c>
      <c r="I132" s="54"/>
    </row>
    <row r="133" spans="1:28" ht="14">
      <c r="A133" s="169"/>
      <c r="B133" s="169"/>
      <c r="C133" s="55" t="s">
        <v>70</v>
      </c>
      <c r="D133" s="56" t="s">
        <v>135</v>
      </c>
      <c r="E133" s="56" t="s">
        <v>75</v>
      </c>
      <c r="F133" s="56" t="s">
        <v>147</v>
      </c>
      <c r="G133" s="56" t="s">
        <v>142</v>
      </c>
      <c r="H133" s="56" t="s">
        <v>142</v>
      </c>
      <c r="I133" s="57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</row>
    <row r="134" spans="1:28" ht="14">
      <c r="A134" s="170"/>
      <c r="B134" s="170"/>
      <c r="C134" s="58" t="s">
        <v>46</v>
      </c>
      <c r="D134" s="59" t="s">
        <v>138</v>
      </c>
      <c r="E134" s="59" t="s">
        <v>41</v>
      </c>
      <c r="F134" s="59" t="s">
        <v>26</v>
      </c>
      <c r="G134" s="59" t="s">
        <v>30</v>
      </c>
      <c r="H134" s="59" t="s">
        <v>30</v>
      </c>
      <c r="I134" s="60"/>
    </row>
    <row r="135" spans="1:28" ht="14">
      <c r="A135" s="168">
        <f>A131+1</f>
        <v>46050</v>
      </c>
      <c r="B135" s="173" t="s">
        <v>144</v>
      </c>
      <c r="C135" s="49"/>
      <c r="D135" s="50" t="s">
        <v>72</v>
      </c>
      <c r="E135" s="50" t="s">
        <v>78</v>
      </c>
      <c r="F135" s="50" t="s">
        <v>72</v>
      </c>
      <c r="G135" s="50" t="s">
        <v>151</v>
      </c>
      <c r="H135" s="50" t="s">
        <v>151</v>
      </c>
      <c r="I135" s="51"/>
    </row>
    <row r="136" spans="1:28" ht="14">
      <c r="A136" s="169"/>
      <c r="B136" s="169"/>
      <c r="C136" s="52"/>
      <c r="D136" s="53" t="s">
        <v>35</v>
      </c>
      <c r="E136" s="53" t="s">
        <v>42</v>
      </c>
      <c r="F136" s="53" t="s">
        <v>35</v>
      </c>
      <c r="G136" s="53" t="s">
        <v>60</v>
      </c>
      <c r="H136" s="53" t="s">
        <v>60</v>
      </c>
      <c r="I136" s="54"/>
    </row>
    <row r="137" spans="1:28" ht="14">
      <c r="A137" s="169"/>
      <c r="B137" s="169"/>
      <c r="C137" s="55" t="s">
        <v>75</v>
      </c>
      <c r="D137" s="56" t="s">
        <v>146</v>
      </c>
      <c r="E137" s="56" t="s">
        <v>136</v>
      </c>
      <c r="F137" s="56" t="s">
        <v>146</v>
      </c>
      <c r="G137" s="56" t="s">
        <v>145</v>
      </c>
      <c r="H137" s="56" t="s">
        <v>145</v>
      </c>
      <c r="I137" s="57" t="s">
        <v>79</v>
      </c>
    </row>
    <row r="138" spans="1:28" ht="14">
      <c r="A138" s="170"/>
      <c r="B138" s="170"/>
      <c r="C138" s="58" t="s">
        <v>41</v>
      </c>
      <c r="D138" s="59" t="s">
        <v>26</v>
      </c>
      <c r="E138" s="59" t="s">
        <v>138</v>
      </c>
      <c r="F138" s="59" t="s">
        <v>26</v>
      </c>
      <c r="G138" s="59" t="s">
        <v>30</v>
      </c>
      <c r="H138" s="59" t="s">
        <v>30</v>
      </c>
      <c r="I138" s="60" t="s">
        <v>48</v>
      </c>
    </row>
    <row r="139" spans="1:28" ht="14">
      <c r="A139" s="168">
        <f>A135+1</f>
        <v>46051</v>
      </c>
      <c r="B139" s="173" t="s">
        <v>148</v>
      </c>
      <c r="C139" s="49" t="s">
        <v>72</v>
      </c>
      <c r="D139" s="50" t="s">
        <v>141</v>
      </c>
      <c r="E139" s="50" t="s">
        <v>132</v>
      </c>
      <c r="F139" s="50" t="s">
        <v>141</v>
      </c>
      <c r="G139" s="50"/>
      <c r="H139" s="50"/>
      <c r="I139" s="51"/>
    </row>
    <row r="140" spans="1:28" ht="14">
      <c r="A140" s="169"/>
      <c r="B140" s="169"/>
      <c r="C140" s="52" t="s">
        <v>35</v>
      </c>
      <c r="D140" s="53" t="s">
        <v>50</v>
      </c>
      <c r="E140" s="53" t="s">
        <v>50</v>
      </c>
      <c r="F140" s="53" t="s">
        <v>50</v>
      </c>
      <c r="G140" s="53"/>
      <c r="H140" s="53"/>
      <c r="I140" s="54"/>
    </row>
    <row r="141" spans="1:28" ht="14">
      <c r="A141" s="169"/>
      <c r="B141" s="169"/>
      <c r="C141" s="55" t="s">
        <v>146</v>
      </c>
      <c r="D141" s="56" t="s">
        <v>147</v>
      </c>
      <c r="E141" s="56" t="s">
        <v>135</v>
      </c>
      <c r="F141" s="56" t="s">
        <v>147</v>
      </c>
      <c r="G141" s="56" t="s">
        <v>143</v>
      </c>
      <c r="H141" s="56" t="s">
        <v>142</v>
      </c>
      <c r="I141" s="57" t="s">
        <v>79</v>
      </c>
    </row>
    <row r="142" spans="1:28" ht="14">
      <c r="A142" s="170"/>
      <c r="B142" s="170"/>
      <c r="C142" s="58" t="s">
        <v>26</v>
      </c>
      <c r="D142" s="59" t="s">
        <v>26</v>
      </c>
      <c r="E142" s="59" t="s">
        <v>138</v>
      </c>
      <c r="F142" s="59" t="s">
        <v>26</v>
      </c>
      <c r="G142" s="59" t="s">
        <v>57</v>
      </c>
      <c r="H142" s="59" t="s">
        <v>30</v>
      </c>
      <c r="I142" s="60" t="s">
        <v>48</v>
      </c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</row>
    <row r="143" spans="1:28" ht="14">
      <c r="A143" s="168">
        <f>A139+1</f>
        <v>46052</v>
      </c>
      <c r="B143" s="173" t="s">
        <v>150</v>
      </c>
      <c r="C143" s="49" t="s">
        <v>133</v>
      </c>
      <c r="D143" s="50" t="s">
        <v>130</v>
      </c>
      <c r="E143" s="50" t="s">
        <v>78</v>
      </c>
      <c r="F143" s="50" t="s">
        <v>133</v>
      </c>
      <c r="G143" s="50"/>
      <c r="H143" s="50"/>
      <c r="I143" s="51" t="s">
        <v>130</v>
      </c>
    </row>
    <row r="144" spans="1:28" ht="14">
      <c r="A144" s="169"/>
      <c r="B144" s="169"/>
      <c r="C144" s="52" t="s">
        <v>166</v>
      </c>
      <c r="D144" s="53" t="s">
        <v>166</v>
      </c>
      <c r="E144" s="53" t="s">
        <v>42</v>
      </c>
      <c r="F144" s="53" t="s">
        <v>166</v>
      </c>
      <c r="G144" s="53"/>
      <c r="H144" s="53"/>
      <c r="I144" s="54" t="s">
        <v>166</v>
      </c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</row>
    <row r="145" spans="1:28" ht="14">
      <c r="A145" s="169"/>
      <c r="B145" s="169"/>
      <c r="C145" s="55" t="s">
        <v>76</v>
      </c>
      <c r="D145" s="56" t="s">
        <v>67</v>
      </c>
      <c r="E145" s="56" t="s">
        <v>136</v>
      </c>
      <c r="F145" s="56" t="s">
        <v>149</v>
      </c>
      <c r="G145" s="56" t="s">
        <v>145</v>
      </c>
      <c r="H145" s="56" t="s">
        <v>145</v>
      </c>
      <c r="I145" s="57"/>
    </row>
    <row r="146" spans="1:28" ht="14">
      <c r="A146" s="170"/>
      <c r="B146" s="170"/>
      <c r="C146" s="58" t="s">
        <v>29</v>
      </c>
      <c r="D146" s="59" t="s">
        <v>37</v>
      </c>
      <c r="E146" s="59" t="s">
        <v>138</v>
      </c>
      <c r="F146" s="59" t="s">
        <v>57</v>
      </c>
      <c r="G146" s="59" t="s">
        <v>30</v>
      </c>
      <c r="H146" s="59" t="s">
        <v>30</v>
      </c>
      <c r="I146" s="60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</row>
    <row r="147" spans="1:28" ht="14">
      <c r="A147" s="168">
        <f>A143+1</f>
        <v>46053</v>
      </c>
      <c r="B147" s="173" t="s">
        <v>152</v>
      </c>
      <c r="C147" s="49" t="s">
        <v>137</v>
      </c>
      <c r="D147" s="50" t="s">
        <v>133</v>
      </c>
      <c r="E147" s="50" t="s">
        <v>137</v>
      </c>
      <c r="F147" s="50" t="s">
        <v>134</v>
      </c>
      <c r="G147" s="50" t="s">
        <v>130</v>
      </c>
      <c r="H147" s="50" t="s">
        <v>133</v>
      </c>
      <c r="I147" s="51" t="s">
        <v>134</v>
      </c>
    </row>
    <row r="148" spans="1:28" ht="14">
      <c r="A148" s="169"/>
      <c r="B148" s="169"/>
      <c r="C148" s="52" t="s">
        <v>160</v>
      </c>
      <c r="D148" s="53" t="s">
        <v>166</v>
      </c>
      <c r="E148" s="53" t="s">
        <v>160</v>
      </c>
      <c r="F148" s="53" t="s">
        <v>160</v>
      </c>
      <c r="G148" s="53" t="s">
        <v>166</v>
      </c>
      <c r="H148" s="53" t="s">
        <v>166</v>
      </c>
      <c r="I148" s="54" t="s">
        <v>160</v>
      </c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</row>
    <row r="149" spans="1:28" ht="14">
      <c r="A149" s="169"/>
      <c r="B149" s="169"/>
      <c r="C149" s="55" t="s">
        <v>70</v>
      </c>
      <c r="D149" s="56" t="s">
        <v>76</v>
      </c>
      <c r="E149" s="56" t="s">
        <v>70</v>
      </c>
      <c r="F149" s="56"/>
      <c r="G149" s="56" t="s">
        <v>67</v>
      </c>
      <c r="H149" s="56" t="s">
        <v>76</v>
      </c>
      <c r="I149" s="57"/>
    </row>
    <row r="150" spans="1:28" ht="14">
      <c r="A150" s="170"/>
      <c r="B150" s="170"/>
      <c r="C150" s="58" t="s">
        <v>46</v>
      </c>
      <c r="D150" s="59" t="s">
        <v>49</v>
      </c>
      <c r="E150" s="59" t="s">
        <v>46</v>
      </c>
      <c r="F150" s="59"/>
      <c r="G150" s="59" t="s">
        <v>37</v>
      </c>
      <c r="H150" s="59" t="s">
        <v>49</v>
      </c>
      <c r="I150" s="60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</row>
    <row r="151" spans="1:28" ht="14">
      <c r="A151" s="168">
        <f>A147+1</f>
        <v>46054</v>
      </c>
      <c r="B151" s="173" t="s">
        <v>153</v>
      </c>
      <c r="C151" s="49" t="s">
        <v>130</v>
      </c>
      <c r="D151" s="50" t="s">
        <v>137</v>
      </c>
      <c r="E151" s="50" t="s">
        <v>133</v>
      </c>
      <c r="F151" s="50" t="s">
        <v>137</v>
      </c>
      <c r="G151" s="50" t="s">
        <v>130</v>
      </c>
      <c r="H151" s="50" t="s">
        <v>134</v>
      </c>
      <c r="I151" s="51"/>
    </row>
    <row r="152" spans="1:28" ht="14">
      <c r="A152" s="169"/>
      <c r="B152" s="169"/>
      <c r="C152" s="52" t="s">
        <v>166</v>
      </c>
      <c r="D152" s="53" t="s">
        <v>160</v>
      </c>
      <c r="E152" s="53" t="s">
        <v>166</v>
      </c>
      <c r="F152" s="53" t="s">
        <v>160</v>
      </c>
      <c r="G152" s="53" t="s">
        <v>166</v>
      </c>
      <c r="H152" s="53" t="s">
        <v>160</v>
      </c>
      <c r="I152" s="54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</row>
    <row r="153" spans="1:28" ht="14">
      <c r="A153" s="169"/>
      <c r="B153" s="169"/>
      <c r="C153" s="55"/>
      <c r="D153" s="56"/>
      <c r="E153" s="56" t="s">
        <v>76</v>
      </c>
      <c r="F153" s="56"/>
      <c r="G153" s="56"/>
      <c r="H153" s="56"/>
      <c r="I153" s="57" t="s">
        <v>76</v>
      </c>
    </row>
    <row r="154" spans="1:28" ht="14">
      <c r="A154" s="170"/>
      <c r="B154" s="170"/>
      <c r="C154" s="58"/>
      <c r="D154" s="59"/>
      <c r="E154" s="59" t="s">
        <v>49</v>
      </c>
      <c r="F154" s="59"/>
      <c r="G154" s="59"/>
      <c r="H154" s="59"/>
      <c r="I154" s="60" t="s">
        <v>49</v>
      </c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</row>
    <row r="155" spans="1:28" ht="13">
      <c r="A155" s="72"/>
      <c r="B155" s="72"/>
    </row>
    <row r="156" spans="1:28" ht="14">
      <c r="A156" s="39"/>
      <c r="B156" s="39"/>
      <c r="C156" s="40"/>
      <c r="D156" s="172" t="s">
        <v>167</v>
      </c>
      <c r="E156" s="163"/>
      <c r="F156" s="163"/>
      <c r="G156" s="163"/>
      <c r="H156" s="40"/>
      <c r="I156" s="4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</row>
    <row r="157" spans="1:28" ht="14">
      <c r="A157" s="43" t="s">
        <v>168</v>
      </c>
      <c r="B157" s="44"/>
      <c r="C157" s="45" t="s">
        <v>123</v>
      </c>
      <c r="D157" s="45" t="s">
        <v>124</v>
      </c>
      <c r="E157" s="45" t="s">
        <v>125</v>
      </c>
      <c r="F157" s="45" t="s">
        <v>126</v>
      </c>
      <c r="G157" s="45" t="s">
        <v>127</v>
      </c>
      <c r="H157" s="45" t="s">
        <v>128</v>
      </c>
      <c r="I157" s="46" t="s">
        <v>129</v>
      </c>
    </row>
    <row r="158" spans="1:28" ht="14">
      <c r="A158" s="171">
        <f>A151+1</f>
        <v>46055</v>
      </c>
      <c r="B158" s="173" t="s">
        <v>131</v>
      </c>
      <c r="C158" s="49" t="s">
        <v>137</v>
      </c>
      <c r="D158" s="50" t="s">
        <v>149</v>
      </c>
      <c r="E158" s="50" t="s">
        <v>149</v>
      </c>
      <c r="F158" s="50" t="s">
        <v>72</v>
      </c>
      <c r="G158" s="50" t="s">
        <v>78</v>
      </c>
      <c r="H158" s="50" t="s">
        <v>143</v>
      </c>
      <c r="I158" s="51" t="s">
        <v>143</v>
      </c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</row>
    <row r="159" spans="1:28" ht="14">
      <c r="A159" s="169"/>
      <c r="B159" s="169"/>
      <c r="C159" s="52" t="s">
        <v>38</v>
      </c>
      <c r="D159" s="53" t="s">
        <v>156</v>
      </c>
      <c r="E159" s="53" t="s">
        <v>156</v>
      </c>
      <c r="F159" s="53" t="s">
        <v>58</v>
      </c>
      <c r="G159" s="53" t="s">
        <v>42</v>
      </c>
      <c r="H159" s="53" t="s">
        <v>156</v>
      </c>
      <c r="I159" s="54" t="s">
        <v>156</v>
      </c>
    </row>
    <row r="160" spans="1:28" ht="14">
      <c r="A160" s="169"/>
      <c r="B160" s="169"/>
      <c r="C160" s="55" t="s">
        <v>70</v>
      </c>
      <c r="D160" s="56"/>
      <c r="E160" s="56" t="s">
        <v>133</v>
      </c>
      <c r="F160" s="56"/>
      <c r="G160" s="56" t="s">
        <v>136</v>
      </c>
      <c r="H160" s="56" t="s">
        <v>76</v>
      </c>
      <c r="I160" s="57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</row>
    <row r="161" spans="1:28" ht="14">
      <c r="A161" s="170"/>
      <c r="B161" s="170"/>
      <c r="C161" s="58" t="s">
        <v>46</v>
      </c>
      <c r="D161" s="59"/>
      <c r="E161" s="59" t="s">
        <v>41</v>
      </c>
      <c r="F161" s="59"/>
      <c r="G161" s="59" t="s">
        <v>138</v>
      </c>
      <c r="H161" s="59" t="s">
        <v>49</v>
      </c>
      <c r="I161" s="60"/>
    </row>
    <row r="162" spans="1:28" ht="14">
      <c r="A162" s="171">
        <f>A158+1</f>
        <v>46056</v>
      </c>
      <c r="B162" s="173" t="s">
        <v>139</v>
      </c>
      <c r="C162" s="49" t="s">
        <v>146</v>
      </c>
      <c r="D162" s="50" t="s">
        <v>149</v>
      </c>
      <c r="E162" s="50" t="s">
        <v>149</v>
      </c>
      <c r="F162" s="50" t="s">
        <v>134</v>
      </c>
      <c r="G162" s="50" t="s">
        <v>72</v>
      </c>
      <c r="H162" s="50" t="s">
        <v>143</v>
      </c>
      <c r="I162" s="51" t="s">
        <v>143</v>
      </c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</row>
    <row r="163" spans="1:28" ht="14">
      <c r="A163" s="169"/>
      <c r="B163" s="169"/>
      <c r="C163" s="52" t="s">
        <v>38</v>
      </c>
      <c r="D163" s="53" t="s">
        <v>156</v>
      </c>
      <c r="E163" s="53" t="s">
        <v>156</v>
      </c>
      <c r="F163" s="53" t="s">
        <v>38</v>
      </c>
      <c r="G163" s="53" t="s">
        <v>58</v>
      </c>
      <c r="H163" s="53" t="s">
        <v>156</v>
      </c>
      <c r="I163" s="54" t="s">
        <v>156</v>
      </c>
    </row>
    <row r="164" spans="1:28" ht="14">
      <c r="A164" s="169"/>
      <c r="B164" s="169"/>
      <c r="C164" s="55"/>
      <c r="D164" s="56"/>
      <c r="E164" s="56" t="s">
        <v>133</v>
      </c>
      <c r="F164" s="56" t="s">
        <v>75</v>
      </c>
      <c r="G164" s="56"/>
      <c r="H164" s="56" t="s">
        <v>76</v>
      </c>
      <c r="I164" s="57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</row>
    <row r="165" spans="1:28" ht="14">
      <c r="A165" s="170"/>
      <c r="B165" s="170"/>
      <c r="C165" s="58"/>
      <c r="D165" s="59"/>
      <c r="E165" s="59" t="s">
        <v>41</v>
      </c>
      <c r="F165" s="59" t="s">
        <v>41</v>
      </c>
      <c r="G165" s="59"/>
      <c r="H165" s="59" t="s">
        <v>29</v>
      </c>
      <c r="I165" s="60"/>
    </row>
    <row r="166" spans="1:28" ht="14">
      <c r="A166" s="168">
        <f>A162+1</f>
        <v>46057</v>
      </c>
      <c r="B166" s="173" t="s">
        <v>144</v>
      </c>
      <c r="C166" s="49"/>
      <c r="D166" s="50" t="s">
        <v>132</v>
      </c>
      <c r="E166" s="50" t="s">
        <v>146</v>
      </c>
      <c r="F166" s="50" t="s">
        <v>141</v>
      </c>
      <c r="G166" s="50" t="s">
        <v>78</v>
      </c>
      <c r="H166" s="50" t="s">
        <v>137</v>
      </c>
      <c r="I166" s="51"/>
    </row>
    <row r="167" spans="1:28" ht="14">
      <c r="A167" s="169"/>
      <c r="B167" s="169"/>
      <c r="C167" s="52"/>
      <c r="D167" s="53" t="s">
        <v>50</v>
      </c>
      <c r="E167" s="53" t="s">
        <v>26</v>
      </c>
      <c r="F167" s="53" t="s">
        <v>50</v>
      </c>
      <c r="G167" s="53" t="s">
        <v>42</v>
      </c>
      <c r="H167" s="53" t="s">
        <v>24</v>
      </c>
      <c r="I167" s="54"/>
    </row>
    <row r="168" spans="1:28" ht="14">
      <c r="A168" s="169"/>
      <c r="B168" s="169"/>
      <c r="C168" s="55" t="s">
        <v>75</v>
      </c>
      <c r="D168" s="56" t="s">
        <v>135</v>
      </c>
      <c r="E168" s="56"/>
      <c r="F168" s="56" t="s">
        <v>147</v>
      </c>
      <c r="G168" s="56" t="s">
        <v>136</v>
      </c>
      <c r="H168" s="56" t="s">
        <v>70</v>
      </c>
      <c r="I168" s="57" t="s">
        <v>79</v>
      </c>
    </row>
    <row r="169" spans="1:28" ht="14">
      <c r="A169" s="170"/>
      <c r="B169" s="170"/>
      <c r="C169" s="58" t="s">
        <v>41</v>
      </c>
      <c r="D169" s="59" t="s">
        <v>138</v>
      </c>
      <c r="E169" s="59"/>
      <c r="F169" s="59" t="s">
        <v>38</v>
      </c>
      <c r="G169" s="59" t="s">
        <v>138</v>
      </c>
      <c r="H169" s="59" t="s">
        <v>46</v>
      </c>
      <c r="I169" s="60" t="s">
        <v>48</v>
      </c>
    </row>
    <row r="170" spans="1:28" ht="14">
      <c r="A170" s="168">
        <f>A166+1</f>
        <v>46058</v>
      </c>
      <c r="B170" s="173" t="s">
        <v>148</v>
      </c>
      <c r="C170" s="49"/>
      <c r="D170" s="50" t="s">
        <v>132</v>
      </c>
      <c r="E170" s="50" t="s">
        <v>134</v>
      </c>
      <c r="F170" s="50"/>
      <c r="G170" s="50" t="s">
        <v>78</v>
      </c>
      <c r="H170" s="50" t="s">
        <v>141</v>
      </c>
      <c r="I170" s="51"/>
    </row>
    <row r="171" spans="1:28" ht="14">
      <c r="A171" s="169"/>
      <c r="B171" s="169"/>
      <c r="C171" s="52"/>
      <c r="D171" s="53" t="s">
        <v>50</v>
      </c>
      <c r="E171" s="53" t="s">
        <v>24</v>
      </c>
      <c r="F171" s="53"/>
      <c r="G171" s="53" t="s">
        <v>42</v>
      </c>
      <c r="H171" s="53" t="s">
        <v>50</v>
      </c>
      <c r="I171" s="54"/>
    </row>
    <row r="172" spans="1:28" ht="14">
      <c r="A172" s="169"/>
      <c r="B172" s="169"/>
      <c r="C172" s="55" t="s">
        <v>75</v>
      </c>
      <c r="D172" s="56" t="s">
        <v>135</v>
      </c>
      <c r="E172" s="56" t="s">
        <v>75</v>
      </c>
      <c r="F172" s="56" t="s">
        <v>79</v>
      </c>
      <c r="G172" s="56" t="s">
        <v>136</v>
      </c>
      <c r="H172" s="56" t="s">
        <v>147</v>
      </c>
      <c r="I172" s="57" t="s">
        <v>70</v>
      </c>
    </row>
    <row r="173" spans="1:28" ht="14">
      <c r="A173" s="170"/>
      <c r="B173" s="170"/>
      <c r="C173" s="58" t="s">
        <v>41</v>
      </c>
      <c r="D173" s="59" t="s">
        <v>138</v>
      </c>
      <c r="E173" s="59" t="s">
        <v>41</v>
      </c>
      <c r="F173" s="59" t="s">
        <v>48</v>
      </c>
      <c r="G173" s="59" t="s">
        <v>138</v>
      </c>
      <c r="H173" s="59" t="s">
        <v>26</v>
      </c>
      <c r="I173" s="60" t="s">
        <v>46</v>
      </c>
    </row>
    <row r="174" spans="1:28" ht="14">
      <c r="A174" s="168">
        <f>A170+1</f>
        <v>46059</v>
      </c>
      <c r="B174" s="173" t="s">
        <v>150</v>
      </c>
      <c r="C174" s="80"/>
      <c r="D174" s="81"/>
      <c r="E174" s="81"/>
      <c r="F174" s="81"/>
      <c r="G174" s="81"/>
      <c r="H174" s="81"/>
      <c r="I174" s="82"/>
    </row>
    <row r="175" spans="1:28" ht="14">
      <c r="A175" s="169"/>
      <c r="B175" s="169"/>
      <c r="C175" s="83"/>
      <c r="D175" s="84"/>
      <c r="E175" s="84"/>
      <c r="F175" s="84"/>
      <c r="G175" s="84"/>
      <c r="H175" s="84"/>
      <c r="I175" s="85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</row>
    <row r="176" spans="1:28" ht="14">
      <c r="A176" s="169"/>
      <c r="B176" s="169"/>
      <c r="C176" s="83"/>
      <c r="D176" s="84"/>
      <c r="E176" s="84"/>
      <c r="F176" s="84"/>
      <c r="G176" s="84"/>
      <c r="H176" s="84"/>
      <c r="I176" s="85"/>
    </row>
    <row r="177" spans="1:28" ht="14">
      <c r="A177" s="170"/>
      <c r="B177" s="170"/>
      <c r="C177" s="86"/>
      <c r="D177" s="87"/>
      <c r="E177" s="87"/>
      <c r="F177" s="87"/>
      <c r="G177" s="87"/>
      <c r="H177" s="87"/>
      <c r="I177" s="88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</row>
    <row r="178" spans="1:28" ht="14">
      <c r="A178" s="168">
        <f>A174+1</f>
        <v>46060</v>
      </c>
      <c r="B178" s="173" t="s">
        <v>152</v>
      </c>
      <c r="C178" s="80"/>
      <c r="D178" s="81"/>
      <c r="E178" s="81"/>
      <c r="F178" s="81"/>
      <c r="G178" s="81"/>
      <c r="H178" s="81"/>
      <c r="I178" s="82"/>
    </row>
    <row r="179" spans="1:28" ht="14">
      <c r="A179" s="169"/>
      <c r="B179" s="169"/>
      <c r="C179" s="83"/>
      <c r="D179" s="84"/>
      <c r="E179" s="84"/>
      <c r="F179" s="84"/>
      <c r="G179" s="84"/>
      <c r="H179" s="84"/>
      <c r="I179" s="85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</row>
    <row r="180" spans="1:28" ht="14">
      <c r="A180" s="169"/>
      <c r="B180" s="169"/>
      <c r="C180" s="83"/>
      <c r="D180" s="84"/>
      <c r="E180" s="84"/>
      <c r="F180" s="84"/>
      <c r="G180" s="84"/>
      <c r="H180" s="84"/>
      <c r="I180" s="85"/>
    </row>
    <row r="181" spans="1:28" ht="14">
      <c r="A181" s="170"/>
      <c r="B181" s="170"/>
      <c r="C181" s="86"/>
      <c r="D181" s="87"/>
      <c r="E181" s="87"/>
      <c r="F181" s="87"/>
      <c r="G181" s="87"/>
      <c r="H181" s="87"/>
      <c r="I181" s="88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</row>
    <row r="182" spans="1:28" ht="14">
      <c r="A182" s="168">
        <f>A178+1</f>
        <v>46061</v>
      </c>
      <c r="B182" s="173" t="s">
        <v>153</v>
      </c>
      <c r="C182" s="80"/>
      <c r="D182" s="81"/>
      <c r="E182" s="81"/>
      <c r="F182" s="81"/>
      <c r="G182" s="81"/>
      <c r="H182" s="81"/>
      <c r="I182" s="82"/>
    </row>
    <row r="183" spans="1:28" ht="14">
      <c r="A183" s="169"/>
      <c r="B183" s="169"/>
      <c r="C183" s="83"/>
      <c r="D183" s="84"/>
      <c r="E183" s="84"/>
      <c r="F183" s="84"/>
      <c r="G183" s="84"/>
      <c r="H183" s="84"/>
      <c r="I183" s="85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</row>
    <row r="184" spans="1:28" ht="14">
      <c r="A184" s="169"/>
      <c r="B184" s="169"/>
      <c r="C184" s="83"/>
      <c r="D184" s="84"/>
      <c r="E184" s="84"/>
      <c r="F184" s="84"/>
      <c r="G184" s="84"/>
      <c r="H184" s="84"/>
      <c r="I184" s="85"/>
    </row>
    <row r="185" spans="1:28" ht="14">
      <c r="A185" s="170"/>
      <c r="B185" s="170"/>
      <c r="C185" s="86"/>
      <c r="D185" s="87"/>
      <c r="E185" s="87"/>
      <c r="F185" s="87"/>
      <c r="G185" s="87"/>
      <c r="H185" s="87"/>
      <c r="I185" s="88"/>
    </row>
    <row r="186" spans="1:28" ht="13">
      <c r="A186" s="72"/>
      <c r="B186" s="72"/>
    </row>
    <row r="187" spans="1:28" ht="14">
      <c r="A187" s="39"/>
      <c r="B187" s="39"/>
      <c r="C187" s="40"/>
      <c r="D187" s="172" t="s">
        <v>169</v>
      </c>
      <c r="E187" s="163"/>
      <c r="F187" s="163"/>
      <c r="G187" s="163"/>
      <c r="H187" s="40"/>
      <c r="I187" s="42"/>
    </row>
    <row r="188" spans="1:28" ht="14">
      <c r="A188" s="43" t="s">
        <v>170</v>
      </c>
      <c r="B188" s="44"/>
      <c r="C188" s="45" t="s">
        <v>123</v>
      </c>
      <c r="D188" s="45" t="s">
        <v>124</v>
      </c>
      <c r="E188" s="45" t="s">
        <v>125</v>
      </c>
      <c r="F188" s="45" t="s">
        <v>126</v>
      </c>
      <c r="G188" s="45" t="s">
        <v>127</v>
      </c>
      <c r="H188" s="45" t="s">
        <v>128</v>
      </c>
      <c r="I188" s="46" t="s">
        <v>129</v>
      </c>
    </row>
    <row r="189" spans="1:28" ht="14">
      <c r="A189" s="171">
        <f>A182+1</f>
        <v>46062</v>
      </c>
      <c r="B189" s="173" t="s">
        <v>131</v>
      </c>
      <c r="C189" s="49" t="s">
        <v>146</v>
      </c>
      <c r="D189" s="50" t="s">
        <v>143</v>
      </c>
      <c r="E189" s="50" t="s">
        <v>149</v>
      </c>
      <c r="F189" s="50" t="s">
        <v>141</v>
      </c>
      <c r="G189" s="50" t="s">
        <v>78</v>
      </c>
      <c r="H189" s="50" t="s">
        <v>72</v>
      </c>
      <c r="I189" s="51"/>
    </row>
    <row r="190" spans="1:28" ht="14">
      <c r="A190" s="169"/>
      <c r="B190" s="169"/>
      <c r="C190" s="52" t="s">
        <v>26</v>
      </c>
      <c r="D190" s="53" t="s">
        <v>156</v>
      </c>
      <c r="E190" s="53" t="s">
        <v>156</v>
      </c>
      <c r="F190" s="53" t="s">
        <v>50</v>
      </c>
      <c r="G190" s="53" t="s">
        <v>42</v>
      </c>
      <c r="H190" s="53" t="s">
        <v>58</v>
      </c>
      <c r="I190" s="54"/>
    </row>
    <row r="191" spans="1:28" ht="14">
      <c r="A191" s="169"/>
      <c r="B191" s="169"/>
      <c r="C191" s="55"/>
      <c r="D191" s="56"/>
      <c r="E191" s="56"/>
      <c r="F191" s="56" t="s">
        <v>147</v>
      </c>
      <c r="G191" s="56" t="s">
        <v>136</v>
      </c>
      <c r="H191" s="56"/>
      <c r="I191" s="57" t="s">
        <v>142</v>
      </c>
    </row>
    <row r="192" spans="1:28" ht="14">
      <c r="A192" s="170"/>
      <c r="B192" s="170"/>
      <c r="C192" s="58"/>
      <c r="D192" s="59"/>
      <c r="E192" s="59"/>
      <c r="F192" s="59" t="s">
        <v>26</v>
      </c>
      <c r="G192" s="59" t="s">
        <v>138</v>
      </c>
      <c r="H192" s="59"/>
      <c r="I192" s="60" t="s">
        <v>30</v>
      </c>
    </row>
    <row r="193" spans="1:28" ht="14">
      <c r="A193" s="168">
        <f>A189+1</f>
        <v>46063</v>
      </c>
      <c r="B193" s="173" t="s">
        <v>139</v>
      </c>
      <c r="C193" s="49" t="s">
        <v>134</v>
      </c>
      <c r="D193" s="50" t="s">
        <v>132</v>
      </c>
      <c r="E193" s="50" t="s">
        <v>143</v>
      </c>
      <c r="F193" s="50" t="s">
        <v>137</v>
      </c>
      <c r="G193" s="50" t="s">
        <v>143</v>
      </c>
      <c r="H193" s="50" t="s">
        <v>72</v>
      </c>
      <c r="I193" s="51"/>
    </row>
    <row r="194" spans="1:28" ht="14">
      <c r="A194" s="169"/>
      <c r="B194" s="169"/>
      <c r="C194" s="52" t="s">
        <v>38</v>
      </c>
      <c r="D194" s="53" t="s">
        <v>50</v>
      </c>
      <c r="E194" s="53" t="s">
        <v>57</v>
      </c>
      <c r="F194" s="53" t="s">
        <v>38</v>
      </c>
      <c r="G194" s="53" t="s">
        <v>57</v>
      </c>
      <c r="H194" s="53" t="s">
        <v>58</v>
      </c>
      <c r="I194" s="54"/>
    </row>
    <row r="195" spans="1:28" ht="14">
      <c r="A195" s="169"/>
      <c r="B195" s="169"/>
      <c r="C195" s="55" t="s">
        <v>75</v>
      </c>
      <c r="D195" s="56" t="s">
        <v>135</v>
      </c>
      <c r="E195" s="56" t="s">
        <v>76</v>
      </c>
      <c r="F195" s="56" t="s">
        <v>70</v>
      </c>
      <c r="G195" s="56" t="s">
        <v>76</v>
      </c>
      <c r="H195" s="56"/>
      <c r="I195" s="57" t="s">
        <v>79</v>
      </c>
    </row>
    <row r="196" spans="1:28" ht="14">
      <c r="A196" s="170"/>
      <c r="B196" s="170"/>
      <c r="C196" s="58" t="s">
        <v>41</v>
      </c>
      <c r="D196" s="59" t="s">
        <v>138</v>
      </c>
      <c r="E196" s="59" t="s">
        <v>29</v>
      </c>
      <c r="F196" s="59" t="s">
        <v>46</v>
      </c>
      <c r="G196" s="59" t="s">
        <v>29</v>
      </c>
      <c r="H196" s="59"/>
      <c r="I196" s="60" t="s">
        <v>48</v>
      </c>
    </row>
    <row r="197" spans="1:28" ht="14">
      <c r="A197" s="168">
        <f>A193+1</f>
        <v>46064</v>
      </c>
      <c r="B197" s="173" t="s">
        <v>144</v>
      </c>
      <c r="C197" s="49"/>
      <c r="D197" s="50" t="s">
        <v>132</v>
      </c>
      <c r="E197" s="50" t="s">
        <v>134</v>
      </c>
      <c r="F197" s="50" t="s">
        <v>137</v>
      </c>
      <c r="G197" s="50" t="s">
        <v>78</v>
      </c>
      <c r="H197" s="50" t="s">
        <v>149</v>
      </c>
      <c r="I197" s="51"/>
    </row>
    <row r="198" spans="1:28" ht="14">
      <c r="A198" s="169"/>
      <c r="B198" s="169"/>
      <c r="C198" s="52"/>
      <c r="D198" s="53" t="s">
        <v>50</v>
      </c>
      <c r="E198" s="53" t="s">
        <v>38</v>
      </c>
      <c r="F198" s="53" t="s">
        <v>38</v>
      </c>
      <c r="G198" s="53" t="s">
        <v>42</v>
      </c>
      <c r="H198" s="53" t="s">
        <v>57</v>
      </c>
      <c r="I198" s="54"/>
    </row>
    <row r="199" spans="1:28" ht="14">
      <c r="A199" s="169"/>
      <c r="B199" s="169"/>
      <c r="C199" s="55" t="s">
        <v>79</v>
      </c>
      <c r="D199" s="56" t="s">
        <v>135</v>
      </c>
      <c r="E199" s="56" t="s">
        <v>75</v>
      </c>
      <c r="F199" s="56" t="s">
        <v>70</v>
      </c>
      <c r="G199" s="56" t="s">
        <v>136</v>
      </c>
      <c r="H199" s="56"/>
      <c r="I199" s="57"/>
    </row>
    <row r="200" spans="1:28" ht="14">
      <c r="A200" s="170"/>
      <c r="B200" s="170"/>
      <c r="C200" s="58" t="s">
        <v>27</v>
      </c>
      <c r="D200" s="59" t="s">
        <v>138</v>
      </c>
      <c r="E200" s="59" t="s">
        <v>41</v>
      </c>
      <c r="F200" s="59" t="s">
        <v>46</v>
      </c>
      <c r="G200" s="59" t="s">
        <v>138</v>
      </c>
      <c r="H200" s="59"/>
      <c r="I200" s="60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</row>
    <row r="201" spans="1:28" ht="14">
      <c r="A201" s="168">
        <f>A197+1</f>
        <v>46065</v>
      </c>
      <c r="B201" s="173" t="s">
        <v>148</v>
      </c>
      <c r="C201" s="49"/>
      <c r="D201" s="50" t="s">
        <v>143</v>
      </c>
      <c r="E201" s="50" t="s">
        <v>134</v>
      </c>
      <c r="F201" s="50" t="s">
        <v>137</v>
      </c>
      <c r="G201" s="50" t="s">
        <v>132</v>
      </c>
      <c r="H201" s="50" t="s">
        <v>149</v>
      </c>
      <c r="I201" s="51" t="s">
        <v>78</v>
      </c>
    </row>
    <row r="202" spans="1:28" ht="14">
      <c r="A202" s="169"/>
      <c r="B202" s="169"/>
      <c r="C202" s="52"/>
      <c r="D202" s="53" t="s">
        <v>57</v>
      </c>
      <c r="E202" s="53" t="s">
        <v>24</v>
      </c>
      <c r="F202" s="53" t="s">
        <v>24</v>
      </c>
      <c r="G202" s="53" t="s">
        <v>50</v>
      </c>
      <c r="H202" s="53" t="s">
        <v>57</v>
      </c>
      <c r="I202" s="54" t="s">
        <v>42</v>
      </c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</row>
    <row r="203" spans="1:28" ht="14">
      <c r="A203" s="169"/>
      <c r="B203" s="169"/>
      <c r="C203" s="55" t="s">
        <v>79</v>
      </c>
      <c r="D203" s="56"/>
      <c r="E203" s="56" t="s">
        <v>75</v>
      </c>
      <c r="F203" s="56" t="s">
        <v>70</v>
      </c>
      <c r="G203" s="56" t="s">
        <v>135</v>
      </c>
      <c r="H203" s="56"/>
      <c r="I203" s="57"/>
    </row>
    <row r="204" spans="1:28" ht="14">
      <c r="A204" s="170"/>
      <c r="B204" s="170"/>
      <c r="C204" s="58" t="s">
        <v>27</v>
      </c>
      <c r="D204" s="59"/>
      <c r="E204" s="59" t="s">
        <v>41</v>
      </c>
      <c r="F204" s="59" t="s">
        <v>46</v>
      </c>
      <c r="G204" s="59" t="s">
        <v>138</v>
      </c>
      <c r="H204" s="59"/>
      <c r="I204" s="60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</row>
    <row r="205" spans="1:28" ht="14">
      <c r="A205" s="168">
        <f>A201+1</f>
        <v>46066</v>
      </c>
      <c r="B205" s="173" t="s">
        <v>150</v>
      </c>
      <c r="C205" s="49" t="s">
        <v>130</v>
      </c>
      <c r="D205" s="50" t="s">
        <v>133</v>
      </c>
      <c r="E205" s="50"/>
      <c r="F205" s="50" t="s">
        <v>130</v>
      </c>
      <c r="G205" s="50" t="s">
        <v>133</v>
      </c>
      <c r="H205" s="50" t="s">
        <v>141</v>
      </c>
      <c r="I205" s="51"/>
    </row>
    <row r="206" spans="1:28" ht="14">
      <c r="A206" s="169"/>
      <c r="B206" s="169"/>
      <c r="C206" s="52" t="s">
        <v>56</v>
      </c>
      <c r="D206" s="53" t="s">
        <v>56</v>
      </c>
      <c r="E206" s="53"/>
      <c r="F206" s="53" t="s">
        <v>56</v>
      </c>
      <c r="G206" s="53" t="s">
        <v>56</v>
      </c>
      <c r="H206" s="53" t="s">
        <v>50</v>
      </c>
      <c r="I206" s="54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</row>
    <row r="207" spans="1:28" ht="14">
      <c r="A207" s="169"/>
      <c r="B207" s="169"/>
      <c r="C207" s="55"/>
      <c r="D207" s="56" t="s">
        <v>76</v>
      </c>
      <c r="E207" s="56" t="s">
        <v>75</v>
      </c>
      <c r="F207" s="56"/>
      <c r="G207" s="56" t="s">
        <v>149</v>
      </c>
      <c r="H207" s="56"/>
      <c r="I207" s="57"/>
    </row>
    <row r="208" spans="1:28" ht="14">
      <c r="A208" s="170"/>
      <c r="B208" s="170"/>
      <c r="C208" s="58"/>
      <c r="D208" s="59" t="s">
        <v>29</v>
      </c>
      <c r="E208" s="59" t="s">
        <v>41</v>
      </c>
      <c r="F208" s="59"/>
      <c r="G208" s="59" t="s">
        <v>57</v>
      </c>
      <c r="H208" s="59"/>
      <c r="I208" s="60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</row>
    <row r="209" spans="1:28" ht="14">
      <c r="A209" s="168">
        <f>A205+1</f>
        <v>46067</v>
      </c>
      <c r="B209" s="173" t="s">
        <v>152</v>
      </c>
      <c r="C209" s="49" t="s">
        <v>130</v>
      </c>
      <c r="D209" s="50" t="s">
        <v>133</v>
      </c>
      <c r="E209" s="50" t="s">
        <v>79</v>
      </c>
      <c r="F209" s="50" t="s">
        <v>130</v>
      </c>
      <c r="G209" s="50" t="s">
        <v>79</v>
      </c>
      <c r="H209" s="50" t="s">
        <v>133</v>
      </c>
      <c r="I209" s="51" t="s">
        <v>79</v>
      </c>
    </row>
    <row r="210" spans="1:28" ht="14">
      <c r="A210" s="169"/>
      <c r="B210" s="169"/>
      <c r="C210" s="52" t="s">
        <v>56</v>
      </c>
      <c r="D210" s="53" t="s">
        <v>56</v>
      </c>
      <c r="E210" s="53" t="s">
        <v>54</v>
      </c>
      <c r="F210" s="53" t="s">
        <v>56</v>
      </c>
      <c r="G210" s="53" t="s">
        <v>54</v>
      </c>
      <c r="H210" s="53" t="s">
        <v>56</v>
      </c>
      <c r="I210" s="54" t="s">
        <v>54</v>
      </c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</row>
    <row r="211" spans="1:28" ht="14">
      <c r="A211" s="169"/>
      <c r="B211" s="169"/>
      <c r="C211" s="55"/>
      <c r="D211" s="56"/>
      <c r="E211" s="56"/>
      <c r="F211" s="56"/>
      <c r="G211" s="56"/>
      <c r="H211" s="56"/>
      <c r="I211" s="57"/>
    </row>
    <row r="212" spans="1:28" ht="14">
      <c r="A212" s="170"/>
      <c r="B212" s="170"/>
      <c r="C212" s="58"/>
      <c r="D212" s="59"/>
      <c r="E212" s="59"/>
      <c r="F212" s="59"/>
      <c r="G212" s="59"/>
      <c r="H212" s="59"/>
      <c r="I212" s="60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</row>
    <row r="213" spans="1:28" ht="14">
      <c r="A213" s="168">
        <f>A209+1</f>
        <v>46068</v>
      </c>
      <c r="B213" s="173" t="s">
        <v>153</v>
      </c>
      <c r="C213" s="49" t="s">
        <v>79</v>
      </c>
      <c r="D213" s="50" t="s">
        <v>130</v>
      </c>
      <c r="E213" s="50" t="s">
        <v>79</v>
      </c>
      <c r="F213" s="50" t="s">
        <v>133</v>
      </c>
      <c r="G213" s="50"/>
      <c r="H213" s="50"/>
      <c r="I213" s="51"/>
    </row>
    <row r="214" spans="1:28" ht="14">
      <c r="A214" s="169"/>
      <c r="B214" s="169"/>
      <c r="C214" s="52" t="s">
        <v>54</v>
      </c>
      <c r="D214" s="53" t="s">
        <v>56</v>
      </c>
      <c r="E214" s="53" t="s">
        <v>54</v>
      </c>
      <c r="F214" s="53" t="s">
        <v>56</v>
      </c>
      <c r="G214" s="53"/>
      <c r="H214" s="53"/>
      <c r="I214" s="54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</row>
    <row r="215" spans="1:28" ht="14">
      <c r="A215" s="169"/>
      <c r="B215" s="169"/>
      <c r="C215" s="55"/>
      <c r="D215" s="56"/>
      <c r="E215" s="56"/>
      <c r="F215" s="56"/>
      <c r="G215" s="56"/>
      <c r="H215" s="56"/>
      <c r="I215" s="57"/>
    </row>
    <row r="216" spans="1:28" ht="14">
      <c r="A216" s="170"/>
      <c r="B216" s="170"/>
      <c r="C216" s="58"/>
      <c r="D216" s="59"/>
      <c r="E216" s="59"/>
      <c r="F216" s="59"/>
      <c r="G216" s="59"/>
      <c r="H216" s="59"/>
      <c r="I216" s="60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</row>
    <row r="217" spans="1:28" ht="13">
      <c r="A217" s="72"/>
      <c r="B217" s="72"/>
    </row>
    <row r="218" spans="1:28" ht="14">
      <c r="A218" s="39"/>
      <c r="B218" s="39"/>
      <c r="C218" s="40"/>
      <c r="D218" s="172" t="s">
        <v>171</v>
      </c>
      <c r="E218" s="163"/>
      <c r="F218" s="163"/>
      <c r="G218" s="163"/>
      <c r="H218" s="40"/>
      <c r="I218" s="4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</row>
    <row r="219" spans="1:28" ht="14">
      <c r="A219" s="43" t="s">
        <v>172</v>
      </c>
      <c r="B219" s="44"/>
      <c r="C219" s="45" t="s">
        <v>123</v>
      </c>
      <c r="D219" s="45" t="s">
        <v>124</v>
      </c>
      <c r="E219" s="45" t="s">
        <v>125</v>
      </c>
      <c r="F219" s="45" t="s">
        <v>126</v>
      </c>
      <c r="G219" s="45" t="s">
        <v>127</v>
      </c>
      <c r="H219" s="45" t="s">
        <v>128</v>
      </c>
      <c r="I219" s="46" t="s">
        <v>129</v>
      </c>
    </row>
    <row r="220" spans="1:28" ht="14">
      <c r="A220" s="168">
        <f>A213+1</f>
        <v>46069</v>
      </c>
      <c r="B220" s="173" t="s">
        <v>131</v>
      </c>
      <c r="C220" s="49"/>
      <c r="D220" s="50" t="s">
        <v>143</v>
      </c>
      <c r="E220" s="50" t="s">
        <v>149</v>
      </c>
      <c r="F220" s="50"/>
      <c r="G220" s="50" t="s">
        <v>72</v>
      </c>
      <c r="H220" s="50"/>
      <c r="I220" s="51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</row>
    <row r="221" spans="1:28" ht="14">
      <c r="A221" s="169"/>
      <c r="B221" s="169"/>
      <c r="C221" s="52"/>
      <c r="D221" s="53" t="s">
        <v>57</v>
      </c>
      <c r="E221" s="53" t="s">
        <v>57</v>
      </c>
      <c r="F221" s="53"/>
      <c r="G221" s="53" t="s">
        <v>58</v>
      </c>
      <c r="H221" s="53"/>
      <c r="I221" s="54"/>
    </row>
    <row r="222" spans="1:28" ht="14">
      <c r="A222" s="169"/>
      <c r="B222" s="169"/>
      <c r="C222" s="55"/>
      <c r="D222" s="56"/>
      <c r="E222" s="56"/>
      <c r="F222" s="56"/>
      <c r="G222" s="56"/>
      <c r="H222" s="56"/>
      <c r="I222" s="57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</row>
    <row r="223" spans="1:28" ht="14">
      <c r="A223" s="170"/>
      <c r="B223" s="170"/>
      <c r="C223" s="58"/>
      <c r="D223" s="59"/>
      <c r="E223" s="59"/>
      <c r="F223" s="59"/>
      <c r="G223" s="59"/>
      <c r="H223" s="59"/>
      <c r="I223" s="60"/>
    </row>
    <row r="224" spans="1:28" ht="14">
      <c r="A224" s="168">
        <f>A220+1</f>
        <v>46070</v>
      </c>
      <c r="B224" s="173" t="s">
        <v>139</v>
      </c>
      <c r="C224" s="49"/>
      <c r="D224" s="50"/>
      <c r="E224" s="50"/>
      <c r="F224" s="50"/>
      <c r="G224" s="50"/>
      <c r="H224" s="50"/>
      <c r="I224" s="51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</row>
    <row r="225" spans="1:28" ht="14">
      <c r="A225" s="169"/>
      <c r="B225" s="169"/>
      <c r="C225" s="52"/>
      <c r="D225" s="53"/>
      <c r="E225" s="53"/>
      <c r="F225" s="53"/>
      <c r="G225" s="53"/>
      <c r="H225" s="53"/>
      <c r="I225" s="54"/>
    </row>
    <row r="226" spans="1:28" ht="14">
      <c r="A226" s="169"/>
      <c r="B226" s="169"/>
      <c r="C226" s="55"/>
      <c r="D226" s="56"/>
      <c r="E226" s="56"/>
      <c r="F226" s="56"/>
      <c r="G226" s="56"/>
      <c r="H226" s="56"/>
      <c r="I226" s="57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</row>
    <row r="227" spans="1:28" ht="14">
      <c r="A227" s="170"/>
      <c r="B227" s="170"/>
      <c r="C227" s="58"/>
      <c r="D227" s="59"/>
      <c r="E227" s="59"/>
      <c r="F227" s="59"/>
      <c r="G227" s="59"/>
      <c r="H227" s="59"/>
      <c r="I227" s="60"/>
    </row>
    <row r="228" spans="1:28" ht="14">
      <c r="A228" s="168">
        <f>A224+1</f>
        <v>46071</v>
      </c>
      <c r="B228" s="173" t="s">
        <v>144</v>
      </c>
      <c r="C228" s="49"/>
      <c r="D228" s="50"/>
      <c r="E228" s="50"/>
      <c r="F228" s="50"/>
      <c r="G228" s="50"/>
      <c r="H228" s="50"/>
      <c r="I228" s="51"/>
    </row>
    <row r="229" spans="1:28" ht="14">
      <c r="A229" s="169"/>
      <c r="B229" s="169"/>
      <c r="C229" s="52"/>
      <c r="D229" s="53"/>
      <c r="E229" s="53"/>
      <c r="F229" s="53"/>
      <c r="G229" s="53"/>
      <c r="H229" s="53"/>
      <c r="I229" s="54"/>
    </row>
    <row r="230" spans="1:28" ht="14">
      <c r="A230" s="169"/>
      <c r="B230" s="169"/>
      <c r="C230" s="55"/>
      <c r="D230" s="56"/>
      <c r="E230" s="56"/>
      <c r="F230" s="56"/>
      <c r="G230" s="56"/>
      <c r="H230" s="56"/>
      <c r="I230" s="57"/>
    </row>
    <row r="231" spans="1:28" ht="14">
      <c r="A231" s="170"/>
      <c r="B231" s="170"/>
      <c r="C231" s="58"/>
      <c r="D231" s="59"/>
      <c r="E231" s="59"/>
      <c r="F231" s="59"/>
      <c r="G231" s="59"/>
      <c r="H231" s="59"/>
      <c r="I231" s="60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</row>
    <row r="232" spans="1:28" ht="14">
      <c r="A232" s="168">
        <f>A228+1</f>
        <v>46072</v>
      </c>
      <c r="B232" s="173" t="s">
        <v>148</v>
      </c>
      <c r="C232" s="49"/>
      <c r="D232" s="50"/>
      <c r="E232" s="50"/>
      <c r="F232" s="50"/>
      <c r="G232" s="50"/>
      <c r="H232" s="50"/>
      <c r="I232" s="51"/>
    </row>
    <row r="233" spans="1:28" ht="14">
      <c r="A233" s="169"/>
      <c r="B233" s="169"/>
      <c r="C233" s="52"/>
      <c r="D233" s="53"/>
      <c r="E233" s="53"/>
      <c r="F233" s="53"/>
      <c r="G233" s="53"/>
      <c r="H233" s="53"/>
      <c r="I233" s="54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</row>
    <row r="234" spans="1:28" ht="14">
      <c r="A234" s="169"/>
      <c r="B234" s="169"/>
      <c r="C234" s="55"/>
      <c r="D234" s="56"/>
      <c r="E234" s="56"/>
      <c r="F234" s="56"/>
      <c r="G234" s="56"/>
      <c r="H234" s="56"/>
      <c r="I234" s="57"/>
    </row>
    <row r="235" spans="1:28" ht="14">
      <c r="A235" s="170"/>
      <c r="B235" s="170"/>
      <c r="C235" s="58"/>
      <c r="D235" s="59"/>
      <c r="E235" s="59"/>
      <c r="F235" s="59"/>
      <c r="G235" s="59"/>
      <c r="H235" s="59"/>
      <c r="I235" s="60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</row>
    <row r="236" spans="1:28" ht="14">
      <c r="A236" s="168">
        <f>A232+1</f>
        <v>46073</v>
      </c>
      <c r="B236" s="173" t="s">
        <v>150</v>
      </c>
      <c r="C236" s="49"/>
      <c r="D236" s="50"/>
      <c r="E236" s="50"/>
      <c r="F236" s="50"/>
      <c r="G236" s="50"/>
      <c r="H236" s="50"/>
      <c r="I236" s="51"/>
    </row>
    <row r="237" spans="1:28" ht="14">
      <c r="A237" s="169"/>
      <c r="B237" s="169"/>
      <c r="C237" s="52"/>
      <c r="D237" s="53"/>
      <c r="E237" s="53"/>
      <c r="F237" s="53"/>
      <c r="G237" s="53"/>
      <c r="H237" s="53"/>
      <c r="I237" s="54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</row>
    <row r="238" spans="1:28" ht="14">
      <c r="A238" s="169"/>
      <c r="B238" s="169"/>
      <c r="C238" s="55"/>
      <c r="D238" s="56"/>
      <c r="E238" s="56"/>
      <c r="F238" s="56"/>
      <c r="G238" s="56"/>
      <c r="H238" s="56"/>
      <c r="I238" s="57"/>
    </row>
    <row r="239" spans="1:28" ht="14">
      <c r="A239" s="170"/>
      <c r="B239" s="170"/>
      <c r="C239" s="58"/>
      <c r="D239" s="59"/>
      <c r="E239" s="59"/>
      <c r="F239" s="59"/>
      <c r="G239" s="59"/>
      <c r="H239" s="59"/>
      <c r="I239" s="60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</row>
    <row r="240" spans="1:28" ht="14">
      <c r="A240" s="168">
        <f>A236+1</f>
        <v>46074</v>
      </c>
      <c r="B240" s="173" t="s">
        <v>152</v>
      </c>
      <c r="C240" s="49"/>
      <c r="D240" s="50"/>
      <c r="E240" s="50"/>
      <c r="F240" s="50"/>
      <c r="G240" s="50"/>
      <c r="H240" s="50"/>
      <c r="I240" s="51"/>
    </row>
    <row r="241" spans="1:28" ht="14">
      <c r="A241" s="169"/>
      <c r="B241" s="169"/>
      <c r="C241" s="52"/>
      <c r="D241" s="53"/>
      <c r="E241" s="53"/>
      <c r="F241" s="53"/>
      <c r="G241" s="53"/>
      <c r="H241" s="53"/>
      <c r="I241" s="54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</row>
    <row r="242" spans="1:28" ht="14">
      <c r="A242" s="169"/>
      <c r="B242" s="169"/>
      <c r="C242" s="55"/>
      <c r="D242" s="56"/>
      <c r="E242" s="56"/>
      <c r="F242" s="56"/>
      <c r="G242" s="56"/>
      <c r="H242" s="56"/>
      <c r="I242" s="57"/>
    </row>
    <row r="243" spans="1:28" ht="14">
      <c r="A243" s="170"/>
      <c r="B243" s="170"/>
      <c r="C243" s="58"/>
      <c r="D243" s="59"/>
      <c r="E243" s="59"/>
      <c r="F243" s="59"/>
      <c r="G243" s="59"/>
      <c r="H243" s="59"/>
      <c r="I243" s="60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</row>
    <row r="244" spans="1:28" ht="14">
      <c r="A244" s="168">
        <f>A240+1</f>
        <v>46075</v>
      </c>
      <c r="B244" s="173" t="s">
        <v>153</v>
      </c>
      <c r="C244" s="49"/>
      <c r="D244" s="50"/>
      <c r="E244" s="50"/>
      <c r="F244" s="50"/>
      <c r="G244" s="50"/>
      <c r="H244" s="50"/>
      <c r="I244" s="51"/>
    </row>
    <row r="245" spans="1:28" ht="14">
      <c r="A245" s="169"/>
      <c r="B245" s="169"/>
      <c r="C245" s="52"/>
      <c r="D245" s="53"/>
      <c r="E245" s="53"/>
      <c r="F245" s="53"/>
      <c r="G245" s="53"/>
      <c r="H245" s="53"/>
      <c r="I245" s="54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</row>
    <row r="246" spans="1:28" ht="14">
      <c r="A246" s="169"/>
      <c r="B246" s="169"/>
      <c r="C246" s="55"/>
      <c r="D246" s="56"/>
      <c r="E246" s="56"/>
      <c r="F246" s="56"/>
      <c r="G246" s="56"/>
      <c r="H246" s="56"/>
      <c r="I246" s="57"/>
    </row>
    <row r="247" spans="1:28" ht="14">
      <c r="A247" s="170"/>
      <c r="B247" s="170"/>
      <c r="C247" s="58"/>
      <c r="D247" s="59"/>
      <c r="E247" s="59"/>
      <c r="F247" s="59"/>
      <c r="G247" s="59"/>
      <c r="H247" s="59"/>
      <c r="I247" s="60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</row>
    <row r="248" spans="1:28" ht="13">
      <c r="A248" s="72"/>
      <c r="B248" s="72"/>
    </row>
    <row r="249" spans="1:28" ht="14">
      <c r="A249" s="39"/>
      <c r="B249" s="39"/>
      <c r="C249" s="40"/>
      <c r="D249" s="172" t="s">
        <v>173</v>
      </c>
      <c r="E249" s="163"/>
      <c r="F249" s="163"/>
      <c r="G249" s="163"/>
      <c r="H249" s="40"/>
      <c r="I249" s="4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</row>
    <row r="250" spans="1:28" ht="14">
      <c r="A250" s="43" t="s">
        <v>174</v>
      </c>
      <c r="B250" s="44"/>
      <c r="C250" s="45" t="s">
        <v>123</v>
      </c>
      <c r="D250" s="45" t="s">
        <v>124</v>
      </c>
      <c r="E250" s="45" t="s">
        <v>125</v>
      </c>
      <c r="F250" s="45" t="s">
        <v>126</v>
      </c>
      <c r="G250" s="45" t="s">
        <v>127</v>
      </c>
      <c r="H250" s="45" t="s">
        <v>128</v>
      </c>
      <c r="I250" s="46" t="s">
        <v>129</v>
      </c>
    </row>
    <row r="251" spans="1:28" ht="14">
      <c r="A251" s="168">
        <f>A244+1</f>
        <v>46076</v>
      </c>
      <c r="B251" s="173" t="s">
        <v>131</v>
      </c>
      <c r="C251" s="89"/>
      <c r="D251" s="90"/>
      <c r="E251" s="90"/>
      <c r="F251" s="90"/>
      <c r="G251" s="90"/>
      <c r="H251" s="90"/>
      <c r="I251" s="91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</row>
    <row r="252" spans="1:28" ht="14">
      <c r="A252" s="169"/>
      <c r="B252" s="169"/>
      <c r="C252" s="70"/>
      <c r="D252" s="63"/>
      <c r="E252" s="63"/>
      <c r="F252" s="63"/>
      <c r="G252" s="63"/>
      <c r="H252" s="63"/>
      <c r="I252" s="64"/>
    </row>
    <row r="253" spans="1:28" ht="14">
      <c r="A253" s="169"/>
      <c r="B253" s="169"/>
      <c r="C253" s="70"/>
      <c r="D253" s="63"/>
      <c r="E253" s="63"/>
      <c r="F253" s="63"/>
      <c r="G253" s="63"/>
      <c r="H253" s="63"/>
      <c r="I253" s="64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</row>
    <row r="254" spans="1:28" ht="14">
      <c r="A254" s="170"/>
      <c r="B254" s="170"/>
      <c r="C254" s="73"/>
      <c r="D254" s="67"/>
      <c r="E254" s="67"/>
      <c r="F254" s="67"/>
      <c r="G254" s="67"/>
      <c r="H254" s="67"/>
      <c r="I254" s="68"/>
    </row>
    <row r="255" spans="1:28" ht="14">
      <c r="A255" s="168">
        <f>A251+1</f>
        <v>46077</v>
      </c>
      <c r="B255" s="173" t="s">
        <v>139</v>
      </c>
      <c r="C255" s="89"/>
      <c r="D255" s="90"/>
      <c r="E255" s="90"/>
      <c r="F255" s="90"/>
      <c r="G255" s="90"/>
      <c r="H255" s="90"/>
      <c r="I255" s="91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</row>
    <row r="256" spans="1:28" ht="14">
      <c r="A256" s="169"/>
      <c r="B256" s="169"/>
      <c r="C256" s="70"/>
      <c r="D256" s="63"/>
      <c r="E256" s="63"/>
      <c r="F256" s="63"/>
      <c r="G256" s="63"/>
      <c r="H256" s="63"/>
      <c r="I256" s="64"/>
    </row>
    <row r="257" spans="1:28" ht="14">
      <c r="A257" s="169"/>
      <c r="B257" s="169"/>
      <c r="C257" s="70"/>
      <c r="D257" s="63"/>
      <c r="E257" s="63"/>
      <c r="F257" s="63"/>
      <c r="G257" s="63"/>
      <c r="H257" s="63"/>
      <c r="I257" s="64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</row>
    <row r="258" spans="1:28" ht="14">
      <c r="A258" s="170"/>
      <c r="B258" s="170"/>
      <c r="C258" s="73"/>
      <c r="D258" s="67"/>
      <c r="E258" s="67"/>
      <c r="F258" s="67"/>
      <c r="G258" s="67"/>
      <c r="H258" s="67"/>
      <c r="I258" s="68"/>
    </row>
    <row r="259" spans="1:28" ht="14">
      <c r="A259" s="168">
        <f>A255+1</f>
        <v>46078</v>
      </c>
      <c r="B259" s="173" t="s">
        <v>144</v>
      </c>
      <c r="C259" s="89"/>
      <c r="D259" s="90"/>
      <c r="E259" s="90"/>
      <c r="F259" s="90"/>
      <c r="G259" s="90"/>
      <c r="H259" s="90"/>
      <c r="I259" s="91"/>
    </row>
    <row r="260" spans="1:28" ht="14">
      <c r="A260" s="169"/>
      <c r="B260" s="169"/>
      <c r="C260" s="70"/>
      <c r="D260" s="63"/>
      <c r="E260" s="63"/>
      <c r="F260" s="63"/>
      <c r="G260" s="63"/>
      <c r="H260" s="63"/>
      <c r="I260" s="64"/>
    </row>
    <row r="261" spans="1:28" ht="14">
      <c r="A261" s="169"/>
      <c r="B261" s="169"/>
      <c r="C261" s="70"/>
      <c r="D261" s="63"/>
      <c r="E261" s="63"/>
      <c r="F261" s="63"/>
      <c r="G261" s="63"/>
      <c r="H261" s="63"/>
      <c r="I261" s="64"/>
    </row>
    <row r="262" spans="1:28" ht="14">
      <c r="A262" s="170"/>
      <c r="B262" s="170"/>
      <c r="C262" s="73"/>
      <c r="D262" s="67"/>
      <c r="E262" s="67"/>
      <c r="F262" s="67"/>
      <c r="G262" s="67"/>
      <c r="H262" s="67"/>
      <c r="I262" s="68"/>
    </row>
    <row r="263" spans="1:28" ht="14">
      <c r="A263" s="168">
        <f>A259+1</f>
        <v>46079</v>
      </c>
      <c r="B263" s="173" t="s">
        <v>148</v>
      </c>
      <c r="C263" s="89"/>
      <c r="D263" s="90"/>
      <c r="E263" s="90"/>
      <c r="F263" s="90"/>
      <c r="G263" s="90"/>
      <c r="H263" s="90"/>
      <c r="I263" s="91"/>
    </row>
    <row r="264" spans="1:28" ht="14">
      <c r="A264" s="169"/>
      <c r="B264" s="169"/>
      <c r="C264" s="70"/>
      <c r="D264" s="63"/>
      <c r="E264" s="63"/>
      <c r="F264" s="63"/>
      <c r="G264" s="63"/>
      <c r="H264" s="63"/>
      <c r="I264" s="64"/>
    </row>
    <row r="265" spans="1:28" ht="14">
      <c r="A265" s="169"/>
      <c r="B265" s="169"/>
      <c r="C265" s="70"/>
      <c r="D265" s="63"/>
      <c r="E265" s="63"/>
      <c r="F265" s="63"/>
      <c r="G265" s="63"/>
      <c r="H265" s="63"/>
      <c r="I265" s="64"/>
    </row>
    <row r="266" spans="1:28" ht="14">
      <c r="A266" s="170"/>
      <c r="B266" s="170"/>
      <c r="C266" s="73"/>
      <c r="D266" s="67"/>
      <c r="E266" s="67"/>
      <c r="F266" s="67"/>
      <c r="G266" s="67"/>
      <c r="H266" s="67"/>
      <c r="I266" s="68"/>
    </row>
    <row r="267" spans="1:28" ht="14">
      <c r="A267" s="168">
        <f>A263+1</f>
        <v>46080</v>
      </c>
      <c r="B267" s="173" t="s">
        <v>150</v>
      </c>
      <c r="C267" s="89"/>
      <c r="D267" s="90"/>
      <c r="E267" s="90"/>
      <c r="F267" s="90"/>
      <c r="G267" s="90"/>
      <c r="H267" s="90"/>
      <c r="I267" s="91"/>
    </row>
    <row r="268" spans="1:28" ht="14">
      <c r="A268" s="169"/>
      <c r="B268" s="169"/>
      <c r="C268" s="70"/>
      <c r="D268" s="63"/>
      <c r="E268" s="63"/>
      <c r="F268" s="63"/>
      <c r="G268" s="63"/>
      <c r="H268" s="63"/>
      <c r="I268" s="64"/>
    </row>
    <row r="269" spans="1:28" ht="14">
      <c r="A269" s="169"/>
      <c r="B269" s="169"/>
      <c r="C269" s="70"/>
      <c r="D269" s="63"/>
      <c r="E269" s="63"/>
      <c r="F269" s="63"/>
      <c r="G269" s="63"/>
      <c r="H269" s="63"/>
      <c r="I269" s="64"/>
    </row>
    <row r="270" spans="1:28" ht="14">
      <c r="A270" s="170"/>
      <c r="B270" s="170"/>
      <c r="C270" s="73"/>
      <c r="D270" s="67"/>
      <c r="E270" s="67"/>
      <c r="F270" s="67"/>
      <c r="G270" s="67"/>
      <c r="H270" s="67"/>
      <c r="I270" s="68"/>
    </row>
    <row r="271" spans="1:28" ht="14">
      <c r="A271" s="168">
        <f>A267+1</f>
        <v>46081</v>
      </c>
      <c r="B271" s="173" t="s">
        <v>152</v>
      </c>
      <c r="C271" s="89"/>
      <c r="D271" s="90"/>
      <c r="E271" s="90"/>
      <c r="F271" s="90"/>
      <c r="G271" s="90"/>
      <c r="H271" s="90"/>
      <c r="I271" s="91"/>
    </row>
    <row r="272" spans="1:28" ht="14">
      <c r="A272" s="169"/>
      <c r="B272" s="169"/>
      <c r="C272" s="70"/>
      <c r="D272" s="63"/>
      <c r="E272" s="63"/>
      <c r="F272" s="63"/>
      <c r="G272" s="63"/>
      <c r="H272" s="63"/>
      <c r="I272" s="64"/>
    </row>
    <row r="273" spans="1:9" ht="14">
      <c r="A273" s="169"/>
      <c r="B273" s="169"/>
      <c r="C273" s="70"/>
      <c r="D273" s="63"/>
      <c r="E273" s="63"/>
      <c r="F273" s="63"/>
      <c r="G273" s="63"/>
      <c r="H273" s="63"/>
      <c r="I273" s="64"/>
    </row>
    <row r="274" spans="1:9" ht="14">
      <c r="A274" s="170"/>
      <c r="B274" s="170"/>
      <c r="C274" s="73"/>
      <c r="D274" s="67"/>
      <c r="E274" s="67"/>
      <c r="F274" s="67"/>
      <c r="G274" s="67"/>
      <c r="H274" s="67"/>
      <c r="I274" s="68"/>
    </row>
    <row r="275" spans="1:9" ht="14">
      <c r="A275" s="168">
        <f>A271+1</f>
        <v>46082</v>
      </c>
      <c r="B275" s="173" t="s">
        <v>153</v>
      </c>
      <c r="C275" s="89"/>
      <c r="D275" s="90"/>
      <c r="E275" s="90"/>
      <c r="F275" s="90"/>
      <c r="G275" s="90"/>
      <c r="H275" s="90"/>
      <c r="I275" s="91"/>
    </row>
    <row r="276" spans="1:9" ht="14">
      <c r="A276" s="169"/>
      <c r="B276" s="169"/>
      <c r="C276" s="70"/>
      <c r="D276" s="63"/>
      <c r="E276" s="63"/>
      <c r="F276" s="63"/>
      <c r="G276" s="63"/>
      <c r="H276" s="63"/>
      <c r="I276" s="64"/>
    </row>
    <row r="277" spans="1:9" ht="14">
      <c r="A277" s="169"/>
      <c r="B277" s="169"/>
      <c r="C277" s="70"/>
      <c r="D277" s="63"/>
      <c r="E277" s="63"/>
      <c r="F277" s="63"/>
      <c r="G277" s="63"/>
      <c r="H277" s="63"/>
      <c r="I277" s="64"/>
    </row>
    <row r="278" spans="1:9" ht="14">
      <c r="A278" s="170"/>
      <c r="B278" s="170"/>
      <c r="C278" s="73"/>
      <c r="D278" s="67"/>
      <c r="E278" s="67"/>
      <c r="F278" s="67"/>
      <c r="G278" s="67"/>
      <c r="H278" s="67"/>
      <c r="I278" s="68"/>
    </row>
    <row r="279" spans="1:9" ht="13">
      <c r="A279" s="72"/>
      <c r="B279" s="72"/>
    </row>
    <row r="280" spans="1:9" ht="13">
      <c r="A280" s="72"/>
      <c r="B280" s="72"/>
    </row>
    <row r="281" spans="1:9" ht="13">
      <c r="A281" s="72"/>
      <c r="B281" s="72"/>
    </row>
    <row r="282" spans="1:9" ht="13">
      <c r="A282" s="72"/>
      <c r="B282" s="72"/>
    </row>
    <row r="283" spans="1:9" ht="13">
      <c r="A283" s="72"/>
      <c r="B283" s="72"/>
    </row>
    <row r="284" spans="1:9" ht="13">
      <c r="A284" s="72"/>
      <c r="B284" s="72"/>
    </row>
    <row r="285" spans="1:9" ht="13">
      <c r="A285" s="72"/>
      <c r="B285" s="72"/>
    </row>
    <row r="286" spans="1:9" ht="13">
      <c r="A286" s="72"/>
      <c r="B286" s="72"/>
    </row>
    <row r="287" spans="1:9" ht="13">
      <c r="A287" s="72"/>
      <c r="B287" s="72"/>
    </row>
    <row r="288" spans="1:9" ht="13">
      <c r="A288" s="72"/>
      <c r="B288" s="72"/>
    </row>
    <row r="289" spans="1:2" ht="13">
      <c r="A289" s="72"/>
      <c r="B289" s="72"/>
    </row>
    <row r="290" spans="1:2" ht="13">
      <c r="A290" s="72"/>
      <c r="B290" s="72"/>
    </row>
    <row r="291" spans="1:2" ht="13">
      <c r="A291" s="72"/>
      <c r="B291" s="72"/>
    </row>
    <row r="292" spans="1:2" ht="13">
      <c r="A292" s="72"/>
      <c r="B292" s="72"/>
    </row>
    <row r="293" spans="1:2" ht="13">
      <c r="A293" s="72"/>
      <c r="B293" s="72"/>
    </row>
    <row r="294" spans="1:2" ht="13">
      <c r="A294" s="72"/>
      <c r="B294" s="72"/>
    </row>
    <row r="295" spans="1:2" ht="13">
      <c r="A295" s="72"/>
      <c r="B295" s="72"/>
    </row>
    <row r="296" spans="1:2" ht="13">
      <c r="A296" s="72"/>
      <c r="B296" s="72"/>
    </row>
    <row r="297" spans="1:2" ht="13">
      <c r="A297" s="72"/>
      <c r="B297" s="72"/>
    </row>
    <row r="298" spans="1:2" ht="13">
      <c r="A298" s="72"/>
      <c r="B298" s="72"/>
    </row>
    <row r="299" spans="1:2" ht="13">
      <c r="A299" s="72"/>
      <c r="B299" s="72"/>
    </row>
    <row r="300" spans="1:2" ht="13">
      <c r="A300" s="72"/>
      <c r="B300" s="72"/>
    </row>
    <row r="301" spans="1:2" ht="13">
      <c r="A301" s="72"/>
      <c r="B301" s="72"/>
    </row>
    <row r="302" spans="1:2" ht="13">
      <c r="A302" s="72"/>
      <c r="B302" s="72"/>
    </row>
    <row r="303" spans="1:2" ht="13">
      <c r="A303" s="72"/>
      <c r="B303" s="72"/>
    </row>
    <row r="304" spans="1:2" ht="13">
      <c r="A304" s="72"/>
      <c r="B304" s="72"/>
    </row>
    <row r="305" spans="1:2" ht="13">
      <c r="A305" s="72"/>
      <c r="B305" s="72"/>
    </row>
    <row r="306" spans="1:2" ht="13">
      <c r="A306" s="72"/>
      <c r="B306" s="72"/>
    </row>
    <row r="307" spans="1:2" ht="13">
      <c r="A307" s="72"/>
      <c r="B307" s="72"/>
    </row>
    <row r="308" spans="1:2" ht="13">
      <c r="A308" s="72"/>
      <c r="B308" s="72"/>
    </row>
    <row r="309" spans="1:2" ht="13">
      <c r="A309" s="72"/>
      <c r="B309" s="72"/>
    </row>
    <row r="310" spans="1:2" ht="13">
      <c r="A310" s="72"/>
      <c r="B310" s="72"/>
    </row>
    <row r="311" spans="1:2" ht="13">
      <c r="A311" s="72"/>
      <c r="B311" s="72"/>
    </row>
    <row r="312" spans="1:2" ht="13">
      <c r="A312" s="72"/>
      <c r="B312" s="72"/>
    </row>
    <row r="313" spans="1:2" ht="13">
      <c r="A313" s="72"/>
      <c r="B313" s="72"/>
    </row>
    <row r="314" spans="1:2" ht="13">
      <c r="A314" s="72"/>
      <c r="B314" s="72"/>
    </row>
    <row r="315" spans="1:2" ht="13">
      <c r="A315" s="72"/>
      <c r="B315" s="72"/>
    </row>
    <row r="316" spans="1:2" ht="13">
      <c r="A316" s="72"/>
      <c r="B316" s="72"/>
    </row>
    <row r="317" spans="1:2" ht="13">
      <c r="A317" s="72"/>
      <c r="B317" s="72"/>
    </row>
    <row r="318" spans="1:2" ht="13">
      <c r="A318" s="72"/>
      <c r="B318" s="72"/>
    </row>
    <row r="319" spans="1:2" ht="13">
      <c r="A319" s="72"/>
      <c r="B319" s="72"/>
    </row>
    <row r="320" spans="1:2" ht="13">
      <c r="A320" s="72"/>
      <c r="B320" s="72"/>
    </row>
    <row r="321" spans="1:2" ht="13">
      <c r="A321" s="72"/>
      <c r="B321" s="72"/>
    </row>
    <row r="322" spans="1:2" ht="13">
      <c r="A322" s="72"/>
      <c r="B322" s="72"/>
    </row>
    <row r="323" spans="1:2" ht="13">
      <c r="A323" s="72"/>
      <c r="B323" s="72"/>
    </row>
    <row r="324" spans="1:2" ht="13">
      <c r="A324" s="72"/>
      <c r="B324" s="72"/>
    </row>
    <row r="325" spans="1:2" ht="13">
      <c r="A325" s="72"/>
      <c r="B325" s="72"/>
    </row>
    <row r="326" spans="1:2" ht="13">
      <c r="A326" s="72"/>
      <c r="B326" s="72"/>
    </row>
    <row r="327" spans="1:2" ht="13">
      <c r="A327" s="72"/>
      <c r="B327" s="72"/>
    </row>
    <row r="328" spans="1:2" ht="13">
      <c r="A328" s="72"/>
      <c r="B328" s="72"/>
    </row>
    <row r="329" spans="1:2" ht="13">
      <c r="A329" s="72"/>
      <c r="B329" s="72"/>
    </row>
    <row r="330" spans="1:2" ht="13">
      <c r="A330" s="72"/>
      <c r="B330" s="72"/>
    </row>
    <row r="331" spans="1:2" ht="13">
      <c r="A331" s="72"/>
      <c r="B331" s="72"/>
    </row>
    <row r="332" spans="1:2" ht="13">
      <c r="A332" s="72"/>
      <c r="B332" s="72"/>
    </row>
    <row r="333" spans="1:2" ht="13">
      <c r="A333" s="72"/>
      <c r="B333" s="72"/>
    </row>
    <row r="334" spans="1:2" ht="13">
      <c r="A334" s="72"/>
      <c r="B334" s="72"/>
    </row>
    <row r="335" spans="1:2" ht="13">
      <c r="A335" s="72"/>
      <c r="B335" s="72"/>
    </row>
    <row r="336" spans="1:2" ht="13">
      <c r="A336" s="72"/>
      <c r="B336" s="72"/>
    </row>
    <row r="337" spans="1:2" ht="13">
      <c r="A337" s="72"/>
      <c r="B337" s="72"/>
    </row>
    <row r="338" spans="1:2" ht="13">
      <c r="A338" s="72"/>
      <c r="B338" s="72"/>
    </row>
    <row r="339" spans="1:2" ht="13">
      <c r="A339" s="72"/>
      <c r="B339" s="72"/>
    </row>
    <row r="340" spans="1:2" ht="13">
      <c r="A340" s="72"/>
      <c r="B340" s="72"/>
    </row>
    <row r="341" spans="1:2" ht="13">
      <c r="A341" s="72"/>
      <c r="B341" s="72"/>
    </row>
    <row r="342" spans="1:2" ht="13">
      <c r="A342" s="72"/>
      <c r="B342" s="72"/>
    </row>
    <row r="343" spans="1:2" ht="13">
      <c r="A343" s="72"/>
      <c r="B343" s="72"/>
    </row>
    <row r="344" spans="1:2" ht="13">
      <c r="A344" s="72"/>
      <c r="B344" s="72"/>
    </row>
    <row r="345" spans="1:2" ht="13">
      <c r="A345" s="72"/>
      <c r="B345" s="72"/>
    </row>
    <row r="346" spans="1:2" ht="13">
      <c r="A346" s="72"/>
      <c r="B346" s="72"/>
    </row>
    <row r="347" spans="1:2" ht="13">
      <c r="A347" s="72"/>
      <c r="B347" s="72"/>
    </row>
    <row r="348" spans="1:2" ht="13">
      <c r="A348" s="72"/>
      <c r="B348" s="72"/>
    </row>
    <row r="349" spans="1:2" ht="13">
      <c r="A349" s="72"/>
      <c r="B349" s="72"/>
    </row>
    <row r="350" spans="1:2" ht="13">
      <c r="A350" s="72"/>
      <c r="B350" s="72"/>
    </row>
    <row r="351" spans="1:2" ht="13">
      <c r="A351" s="72"/>
      <c r="B351" s="72"/>
    </row>
    <row r="352" spans="1:2" ht="13">
      <c r="A352" s="72"/>
      <c r="B352" s="72"/>
    </row>
    <row r="353" spans="1:2" ht="13">
      <c r="A353" s="72"/>
      <c r="B353" s="72"/>
    </row>
    <row r="354" spans="1:2" ht="13">
      <c r="A354" s="72"/>
      <c r="B354" s="72"/>
    </row>
    <row r="355" spans="1:2" ht="13">
      <c r="A355" s="72"/>
      <c r="B355" s="72"/>
    </row>
    <row r="356" spans="1:2" ht="13">
      <c r="A356" s="72"/>
      <c r="B356" s="72"/>
    </row>
    <row r="357" spans="1:2" ht="13">
      <c r="A357" s="72"/>
      <c r="B357" s="72"/>
    </row>
    <row r="358" spans="1:2" ht="13">
      <c r="A358" s="72"/>
      <c r="B358" s="72"/>
    </row>
    <row r="359" spans="1:2" ht="13">
      <c r="A359" s="72"/>
      <c r="B359" s="72"/>
    </row>
    <row r="360" spans="1:2" ht="13">
      <c r="A360" s="72"/>
      <c r="B360" s="72"/>
    </row>
    <row r="361" spans="1:2" ht="13">
      <c r="A361" s="72"/>
      <c r="B361" s="72"/>
    </row>
    <row r="362" spans="1:2" ht="13">
      <c r="A362" s="72"/>
      <c r="B362" s="72"/>
    </row>
    <row r="363" spans="1:2" ht="13">
      <c r="A363" s="72"/>
      <c r="B363" s="72"/>
    </row>
    <row r="364" spans="1:2" ht="13">
      <c r="A364" s="72"/>
      <c r="B364" s="72"/>
    </row>
    <row r="365" spans="1:2" ht="13">
      <c r="A365" s="72"/>
      <c r="B365" s="72"/>
    </row>
    <row r="366" spans="1:2" ht="13">
      <c r="A366" s="72"/>
      <c r="B366" s="72"/>
    </row>
    <row r="367" spans="1:2" ht="13">
      <c r="A367" s="72"/>
      <c r="B367" s="72"/>
    </row>
    <row r="368" spans="1:2" ht="13">
      <c r="A368" s="72"/>
      <c r="B368" s="72"/>
    </row>
    <row r="369" spans="1:2" ht="13">
      <c r="A369" s="72"/>
      <c r="B369" s="72"/>
    </row>
    <row r="370" spans="1:2" ht="13">
      <c r="A370" s="72"/>
      <c r="B370" s="72"/>
    </row>
    <row r="371" spans="1:2" ht="13">
      <c r="A371" s="72"/>
      <c r="B371" s="72"/>
    </row>
    <row r="372" spans="1:2" ht="13">
      <c r="A372" s="72"/>
      <c r="B372" s="72"/>
    </row>
    <row r="373" spans="1:2" ht="13">
      <c r="A373" s="72"/>
      <c r="B373" s="72"/>
    </row>
    <row r="374" spans="1:2" ht="13">
      <c r="A374" s="72"/>
      <c r="B374" s="72"/>
    </row>
    <row r="375" spans="1:2" ht="13">
      <c r="A375" s="72"/>
      <c r="B375" s="72"/>
    </row>
    <row r="376" spans="1:2" ht="13">
      <c r="A376" s="72"/>
      <c r="B376" s="72"/>
    </row>
    <row r="377" spans="1:2" ht="13">
      <c r="A377" s="72"/>
      <c r="B377" s="72"/>
    </row>
    <row r="378" spans="1:2" ht="13">
      <c r="A378" s="72"/>
      <c r="B378" s="72"/>
    </row>
    <row r="379" spans="1:2" ht="13">
      <c r="A379" s="72"/>
      <c r="B379" s="72"/>
    </row>
    <row r="380" spans="1:2" ht="13">
      <c r="A380" s="72"/>
      <c r="B380" s="72"/>
    </row>
    <row r="381" spans="1:2" ht="13">
      <c r="A381" s="72"/>
      <c r="B381" s="72"/>
    </row>
    <row r="382" spans="1:2" ht="13">
      <c r="A382" s="72"/>
      <c r="B382" s="72"/>
    </row>
    <row r="383" spans="1:2" ht="13">
      <c r="A383" s="72"/>
      <c r="B383" s="72"/>
    </row>
    <row r="384" spans="1:2" ht="13">
      <c r="A384" s="72"/>
      <c r="B384" s="72"/>
    </row>
    <row r="385" spans="1:2" ht="13">
      <c r="A385" s="72"/>
      <c r="B385" s="72"/>
    </row>
    <row r="386" spans="1:2" ht="13">
      <c r="A386" s="72"/>
      <c r="B386" s="72"/>
    </row>
    <row r="387" spans="1:2" ht="13">
      <c r="A387" s="72"/>
      <c r="B387" s="72"/>
    </row>
    <row r="388" spans="1:2" ht="13">
      <c r="A388" s="72"/>
      <c r="B388" s="72"/>
    </row>
    <row r="389" spans="1:2" ht="13">
      <c r="A389" s="72"/>
      <c r="B389" s="72"/>
    </row>
    <row r="390" spans="1:2" ht="13">
      <c r="A390" s="72"/>
      <c r="B390" s="72"/>
    </row>
    <row r="391" spans="1:2" ht="13">
      <c r="A391" s="72"/>
      <c r="B391" s="72"/>
    </row>
    <row r="392" spans="1:2" ht="13">
      <c r="A392" s="72"/>
      <c r="B392" s="72"/>
    </row>
    <row r="393" spans="1:2" ht="13">
      <c r="A393" s="72"/>
      <c r="B393" s="72"/>
    </row>
    <row r="394" spans="1:2" ht="13">
      <c r="A394" s="72"/>
      <c r="B394" s="72"/>
    </row>
    <row r="395" spans="1:2" ht="13">
      <c r="A395" s="72"/>
      <c r="B395" s="72"/>
    </row>
    <row r="396" spans="1:2" ht="13">
      <c r="A396" s="72"/>
      <c r="B396" s="72"/>
    </row>
    <row r="397" spans="1:2" ht="13">
      <c r="A397" s="72"/>
      <c r="B397" s="72"/>
    </row>
    <row r="398" spans="1:2" ht="13">
      <c r="A398" s="72"/>
      <c r="B398" s="72"/>
    </row>
    <row r="399" spans="1:2" ht="13">
      <c r="A399" s="72"/>
      <c r="B399" s="72"/>
    </row>
    <row r="400" spans="1:2" ht="13">
      <c r="A400" s="72"/>
      <c r="B400" s="72"/>
    </row>
    <row r="401" spans="1:2" ht="13">
      <c r="A401" s="72"/>
      <c r="B401" s="72"/>
    </row>
    <row r="402" spans="1:2" ht="13">
      <c r="A402" s="72"/>
      <c r="B402" s="72"/>
    </row>
    <row r="403" spans="1:2" ht="13">
      <c r="A403" s="72"/>
      <c r="B403" s="72"/>
    </row>
    <row r="404" spans="1:2" ht="13">
      <c r="A404" s="72"/>
      <c r="B404" s="72"/>
    </row>
    <row r="405" spans="1:2" ht="13">
      <c r="A405" s="72"/>
      <c r="B405" s="72"/>
    </row>
    <row r="406" spans="1:2" ht="13">
      <c r="A406" s="72"/>
      <c r="B406" s="72"/>
    </row>
    <row r="407" spans="1:2" ht="13">
      <c r="A407" s="72"/>
      <c r="B407" s="72"/>
    </row>
    <row r="408" spans="1:2" ht="13">
      <c r="A408" s="72"/>
      <c r="B408" s="72"/>
    </row>
    <row r="409" spans="1:2" ht="13">
      <c r="A409" s="72"/>
      <c r="B409" s="72"/>
    </row>
    <row r="410" spans="1:2" ht="13">
      <c r="A410" s="72"/>
      <c r="B410" s="72"/>
    </row>
    <row r="411" spans="1:2" ht="13">
      <c r="A411" s="72"/>
      <c r="B411" s="72"/>
    </row>
    <row r="412" spans="1:2" ht="13">
      <c r="A412" s="72"/>
      <c r="B412" s="72"/>
    </row>
    <row r="413" spans="1:2" ht="13">
      <c r="A413" s="72"/>
      <c r="B413" s="72"/>
    </row>
    <row r="414" spans="1:2" ht="13">
      <c r="A414" s="72"/>
      <c r="B414" s="72"/>
    </row>
    <row r="415" spans="1:2" ht="13">
      <c r="A415" s="72"/>
      <c r="B415" s="72"/>
    </row>
    <row r="416" spans="1:2" ht="13">
      <c r="A416" s="72"/>
      <c r="B416" s="72"/>
    </row>
    <row r="417" spans="1:2" ht="13">
      <c r="A417" s="72"/>
      <c r="B417" s="72"/>
    </row>
    <row r="418" spans="1:2" ht="13">
      <c r="A418" s="72"/>
      <c r="B418" s="72"/>
    </row>
    <row r="419" spans="1:2" ht="13">
      <c r="A419" s="72"/>
      <c r="B419" s="72"/>
    </row>
    <row r="420" spans="1:2" ht="13">
      <c r="A420" s="72"/>
      <c r="B420" s="72"/>
    </row>
    <row r="421" spans="1:2" ht="13">
      <c r="A421" s="72"/>
      <c r="B421" s="72"/>
    </row>
    <row r="422" spans="1:2" ht="13">
      <c r="A422" s="72"/>
      <c r="B422" s="72"/>
    </row>
    <row r="423" spans="1:2" ht="13">
      <c r="A423" s="72"/>
      <c r="B423" s="72"/>
    </row>
    <row r="424" spans="1:2" ht="13">
      <c r="A424" s="72"/>
      <c r="B424" s="72"/>
    </row>
    <row r="425" spans="1:2" ht="13">
      <c r="A425" s="72"/>
      <c r="B425" s="72"/>
    </row>
    <row r="426" spans="1:2" ht="13">
      <c r="A426" s="72"/>
      <c r="B426" s="72"/>
    </row>
    <row r="427" spans="1:2" ht="13">
      <c r="A427" s="72"/>
      <c r="B427" s="72"/>
    </row>
    <row r="428" spans="1:2" ht="13">
      <c r="A428" s="72"/>
      <c r="B428" s="72"/>
    </row>
    <row r="429" spans="1:2" ht="13">
      <c r="A429" s="72"/>
      <c r="B429" s="72"/>
    </row>
    <row r="430" spans="1:2" ht="13">
      <c r="A430" s="72"/>
      <c r="B430" s="72"/>
    </row>
    <row r="431" spans="1:2" ht="13">
      <c r="A431" s="72"/>
      <c r="B431" s="72"/>
    </row>
    <row r="432" spans="1:2" ht="13">
      <c r="A432" s="72"/>
      <c r="B432" s="72"/>
    </row>
    <row r="433" spans="1:2" ht="13">
      <c r="A433" s="72"/>
      <c r="B433" s="72"/>
    </row>
    <row r="434" spans="1:2" ht="13">
      <c r="A434" s="72"/>
      <c r="B434" s="72"/>
    </row>
    <row r="435" spans="1:2" ht="13">
      <c r="A435" s="72"/>
      <c r="B435" s="72"/>
    </row>
    <row r="436" spans="1:2" ht="13">
      <c r="A436" s="72"/>
      <c r="B436" s="72"/>
    </row>
    <row r="437" spans="1:2" ht="13">
      <c r="A437" s="72"/>
      <c r="B437" s="72"/>
    </row>
    <row r="438" spans="1:2" ht="13">
      <c r="A438" s="72"/>
      <c r="B438" s="72"/>
    </row>
    <row r="439" spans="1:2" ht="13">
      <c r="A439" s="72"/>
      <c r="B439" s="72"/>
    </row>
    <row r="440" spans="1:2" ht="13">
      <c r="A440" s="72"/>
      <c r="B440" s="72"/>
    </row>
    <row r="441" spans="1:2" ht="13">
      <c r="A441" s="72"/>
      <c r="B441" s="72"/>
    </row>
    <row r="442" spans="1:2" ht="13">
      <c r="A442" s="72"/>
      <c r="B442" s="72"/>
    </row>
    <row r="443" spans="1:2" ht="13">
      <c r="A443" s="72"/>
      <c r="B443" s="72"/>
    </row>
    <row r="444" spans="1:2" ht="13">
      <c r="A444" s="72"/>
      <c r="B444" s="72"/>
    </row>
    <row r="445" spans="1:2" ht="13">
      <c r="A445" s="72"/>
      <c r="B445" s="72"/>
    </row>
    <row r="446" spans="1:2" ht="13">
      <c r="A446" s="72"/>
      <c r="B446" s="72"/>
    </row>
    <row r="447" spans="1:2" ht="13">
      <c r="A447" s="72"/>
      <c r="B447" s="72"/>
    </row>
    <row r="448" spans="1:2" ht="13">
      <c r="A448" s="72"/>
      <c r="B448" s="72"/>
    </row>
    <row r="449" spans="1:2" ht="13">
      <c r="A449" s="72"/>
      <c r="B449" s="72"/>
    </row>
    <row r="450" spans="1:2" ht="13">
      <c r="A450" s="72"/>
      <c r="B450" s="72"/>
    </row>
    <row r="451" spans="1:2" ht="13">
      <c r="A451" s="72"/>
      <c r="B451" s="72"/>
    </row>
    <row r="452" spans="1:2" ht="13">
      <c r="A452" s="72"/>
      <c r="B452" s="72"/>
    </row>
    <row r="453" spans="1:2" ht="13">
      <c r="A453" s="72"/>
      <c r="B453" s="72"/>
    </row>
    <row r="454" spans="1:2" ht="13">
      <c r="A454" s="72"/>
      <c r="B454" s="72"/>
    </row>
    <row r="455" spans="1:2" ht="13">
      <c r="A455" s="72"/>
      <c r="B455" s="72"/>
    </row>
    <row r="456" spans="1:2" ht="13">
      <c r="A456" s="72"/>
      <c r="B456" s="72"/>
    </row>
    <row r="457" spans="1:2" ht="13">
      <c r="A457" s="72"/>
      <c r="B457" s="72"/>
    </row>
    <row r="458" spans="1:2" ht="13">
      <c r="A458" s="72"/>
      <c r="B458" s="72"/>
    </row>
    <row r="459" spans="1:2" ht="13">
      <c r="A459" s="72"/>
      <c r="B459" s="72"/>
    </row>
    <row r="460" spans="1:2" ht="13">
      <c r="A460" s="72"/>
      <c r="B460" s="72"/>
    </row>
    <row r="461" spans="1:2" ht="13">
      <c r="A461" s="72"/>
      <c r="B461" s="72"/>
    </row>
    <row r="462" spans="1:2" ht="13">
      <c r="A462" s="72"/>
      <c r="B462" s="72"/>
    </row>
    <row r="463" spans="1:2" ht="13">
      <c r="A463" s="72"/>
      <c r="B463" s="72"/>
    </row>
    <row r="464" spans="1:2" ht="13">
      <c r="A464" s="72"/>
      <c r="B464" s="72"/>
    </row>
    <row r="465" spans="1:2" ht="13">
      <c r="A465" s="72"/>
      <c r="B465" s="72"/>
    </row>
    <row r="466" spans="1:2" ht="13">
      <c r="A466" s="72"/>
      <c r="B466" s="72"/>
    </row>
    <row r="467" spans="1:2" ht="13">
      <c r="A467" s="72"/>
      <c r="B467" s="72"/>
    </row>
    <row r="468" spans="1:2" ht="13">
      <c r="A468" s="72"/>
      <c r="B468" s="72"/>
    </row>
    <row r="469" spans="1:2" ht="13">
      <c r="A469" s="72"/>
      <c r="B469" s="72"/>
    </row>
    <row r="470" spans="1:2" ht="13">
      <c r="A470" s="72"/>
      <c r="B470" s="72"/>
    </row>
    <row r="471" spans="1:2" ht="13">
      <c r="A471" s="72"/>
      <c r="B471" s="72"/>
    </row>
    <row r="472" spans="1:2" ht="13">
      <c r="A472" s="72"/>
      <c r="B472" s="72"/>
    </row>
    <row r="473" spans="1:2" ht="13">
      <c r="A473" s="72"/>
      <c r="B473" s="72"/>
    </row>
    <row r="474" spans="1:2" ht="13">
      <c r="A474" s="72"/>
      <c r="B474" s="72"/>
    </row>
    <row r="475" spans="1:2" ht="13">
      <c r="A475" s="72"/>
      <c r="B475" s="72"/>
    </row>
    <row r="476" spans="1:2" ht="13">
      <c r="A476" s="72"/>
      <c r="B476" s="72"/>
    </row>
    <row r="477" spans="1:2" ht="13">
      <c r="A477" s="72"/>
      <c r="B477" s="72"/>
    </row>
    <row r="478" spans="1:2" ht="13">
      <c r="A478" s="72"/>
      <c r="B478" s="72"/>
    </row>
    <row r="479" spans="1:2" ht="13">
      <c r="A479" s="72"/>
      <c r="B479" s="72"/>
    </row>
    <row r="480" spans="1:2" ht="13">
      <c r="A480" s="72"/>
      <c r="B480" s="72"/>
    </row>
    <row r="481" spans="1:2" ht="13">
      <c r="A481" s="72"/>
      <c r="B481" s="72"/>
    </row>
    <row r="482" spans="1:2" ht="13">
      <c r="A482" s="72"/>
      <c r="B482" s="72"/>
    </row>
    <row r="483" spans="1:2" ht="13">
      <c r="A483" s="72"/>
      <c r="B483" s="72"/>
    </row>
    <row r="484" spans="1:2" ht="13">
      <c r="A484" s="72"/>
      <c r="B484" s="72"/>
    </row>
    <row r="485" spans="1:2" ht="13">
      <c r="A485" s="72"/>
      <c r="B485" s="72"/>
    </row>
    <row r="486" spans="1:2" ht="13">
      <c r="A486" s="72"/>
      <c r="B486" s="72"/>
    </row>
    <row r="487" spans="1:2" ht="13">
      <c r="A487" s="72"/>
      <c r="B487" s="72"/>
    </row>
    <row r="488" spans="1:2" ht="13">
      <c r="A488" s="72"/>
      <c r="B488" s="72"/>
    </row>
    <row r="489" spans="1:2" ht="13">
      <c r="A489" s="72"/>
      <c r="B489" s="72"/>
    </row>
    <row r="490" spans="1:2" ht="13">
      <c r="A490" s="72"/>
      <c r="B490" s="72"/>
    </row>
    <row r="491" spans="1:2" ht="13">
      <c r="A491" s="72"/>
      <c r="B491" s="72"/>
    </row>
    <row r="492" spans="1:2" ht="13">
      <c r="A492" s="72"/>
      <c r="B492" s="72"/>
    </row>
    <row r="493" spans="1:2" ht="13">
      <c r="A493" s="72"/>
      <c r="B493" s="72"/>
    </row>
    <row r="494" spans="1:2" ht="13">
      <c r="A494" s="72"/>
      <c r="B494" s="72"/>
    </row>
    <row r="495" spans="1:2" ht="13">
      <c r="A495" s="72"/>
      <c r="B495" s="72"/>
    </row>
    <row r="496" spans="1:2" ht="13">
      <c r="A496" s="72"/>
      <c r="B496" s="72"/>
    </row>
    <row r="497" spans="1:2" ht="13">
      <c r="A497" s="72"/>
      <c r="B497" s="72"/>
    </row>
    <row r="498" spans="1:2" ht="13">
      <c r="A498" s="72"/>
      <c r="B498" s="72"/>
    </row>
    <row r="499" spans="1:2" ht="13">
      <c r="A499" s="72"/>
      <c r="B499" s="72"/>
    </row>
    <row r="500" spans="1:2" ht="13">
      <c r="A500" s="72"/>
      <c r="B500" s="72"/>
    </row>
    <row r="501" spans="1:2" ht="13">
      <c r="A501" s="72"/>
      <c r="B501" s="72"/>
    </row>
    <row r="502" spans="1:2" ht="13">
      <c r="A502" s="72"/>
      <c r="B502" s="72"/>
    </row>
    <row r="503" spans="1:2" ht="13">
      <c r="A503" s="72"/>
      <c r="B503" s="72"/>
    </row>
    <row r="504" spans="1:2" ht="13">
      <c r="A504" s="72"/>
      <c r="B504" s="72"/>
    </row>
    <row r="505" spans="1:2" ht="13">
      <c r="A505" s="72"/>
      <c r="B505" s="72"/>
    </row>
    <row r="506" spans="1:2" ht="13">
      <c r="A506" s="72"/>
      <c r="B506" s="72"/>
    </row>
    <row r="507" spans="1:2" ht="13">
      <c r="A507" s="72"/>
      <c r="B507" s="72"/>
    </row>
    <row r="508" spans="1:2" ht="13">
      <c r="A508" s="72"/>
      <c r="B508" s="72"/>
    </row>
    <row r="509" spans="1:2" ht="13">
      <c r="A509" s="72"/>
      <c r="B509" s="72"/>
    </row>
    <row r="510" spans="1:2" ht="13">
      <c r="A510" s="72"/>
      <c r="B510" s="72"/>
    </row>
    <row r="511" spans="1:2" ht="13">
      <c r="A511" s="72"/>
      <c r="B511" s="72"/>
    </row>
    <row r="512" spans="1:2" ht="13">
      <c r="A512" s="72"/>
      <c r="B512" s="72"/>
    </row>
    <row r="513" spans="1:2" ht="13">
      <c r="A513" s="72"/>
      <c r="B513" s="72"/>
    </row>
    <row r="514" spans="1:2" ht="13">
      <c r="A514" s="72"/>
      <c r="B514" s="72"/>
    </row>
    <row r="515" spans="1:2" ht="13">
      <c r="A515" s="72"/>
      <c r="B515" s="72"/>
    </row>
    <row r="516" spans="1:2" ht="13">
      <c r="A516" s="72"/>
      <c r="B516" s="72"/>
    </row>
    <row r="517" spans="1:2" ht="13">
      <c r="A517" s="72"/>
      <c r="B517" s="72"/>
    </row>
    <row r="518" spans="1:2" ht="13">
      <c r="A518" s="72"/>
      <c r="B518" s="72"/>
    </row>
    <row r="519" spans="1:2" ht="13">
      <c r="A519" s="72"/>
      <c r="B519" s="72"/>
    </row>
    <row r="520" spans="1:2" ht="13">
      <c r="A520" s="72"/>
      <c r="B520" s="72"/>
    </row>
    <row r="521" spans="1:2" ht="13">
      <c r="A521" s="72"/>
      <c r="B521" s="72"/>
    </row>
    <row r="522" spans="1:2" ht="13">
      <c r="A522" s="72"/>
      <c r="B522" s="72"/>
    </row>
    <row r="523" spans="1:2" ht="13">
      <c r="A523" s="72"/>
      <c r="B523" s="72"/>
    </row>
    <row r="524" spans="1:2" ht="13">
      <c r="A524" s="72"/>
      <c r="B524" s="72"/>
    </row>
    <row r="525" spans="1:2" ht="13">
      <c r="A525" s="72"/>
      <c r="B525" s="72"/>
    </row>
    <row r="526" spans="1:2" ht="13">
      <c r="A526" s="72"/>
      <c r="B526" s="72"/>
    </row>
    <row r="527" spans="1:2" ht="13">
      <c r="A527" s="72"/>
      <c r="B527" s="72"/>
    </row>
    <row r="528" spans="1:2" ht="13">
      <c r="A528" s="72"/>
      <c r="B528" s="72"/>
    </row>
    <row r="529" spans="1:2" ht="13">
      <c r="A529" s="72"/>
      <c r="B529" s="72"/>
    </row>
    <row r="530" spans="1:2" ht="13">
      <c r="A530" s="72"/>
      <c r="B530" s="72"/>
    </row>
    <row r="531" spans="1:2" ht="13">
      <c r="A531" s="72"/>
      <c r="B531" s="72"/>
    </row>
    <row r="532" spans="1:2" ht="13">
      <c r="A532" s="72"/>
      <c r="B532" s="72"/>
    </row>
    <row r="533" spans="1:2" ht="13">
      <c r="A533" s="72"/>
      <c r="B533" s="72"/>
    </row>
    <row r="534" spans="1:2" ht="13">
      <c r="A534" s="72"/>
      <c r="B534" s="72"/>
    </row>
    <row r="535" spans="1:2" ht="13">
      <c r="A535" s="72"/>
      <c r="B535" s="72"/>
    </row>
    <row r="536" spans="1:2" ht="13">
      <c r="A536" s="72"/>
      <c r="B536" s="72"/>
    </row>
    <row r="537" spans="1:2" ht="13">
      <c r="A537" s="72"/>
      <c r="B537" s="72"/>
    </row>
    <row r="538" spans="1:2" ht="13">
      <c r="A538" s="72"/>
      <c r="B538" s="72"/>
    </row>
    <row r="539" spans="1:2" ht="13">
      <c r="A539" s="72"/>
      <c r="B539" s="72"/>
    </row>
    <row r="540" spans="1:2" ht="13">
      <c r="A540" s="72"/>
      <c r="B540" s="72"/>
    </row>
    <row r="541" spans="1:2" ht="13">
      <c r="A541" s="72"/>
      <c r="B541" s="72"/>
    </row>
    <row r="542" spans="1:2" ht="13">
      <c r="A542" s="72"/>
      <c r="B542" s="72"/>
    </row>
    <row r="543" spans="1:2" ht="13">
      <c r="A543" s="72"/>
      <c r="B543" s="72"/>
    </row>
    <row r="544" spans="1:2" ht="13">
      <c r="A544" s="72"/>
      <c r="B544" s="72"/>
    </row>
    <row r="545" spans="1:2" ht="13">
      <c r="A545" s="72"/>
      <c r="B545" s="72"/>
    </row>
    <row r="546" spans="1:2" ht="13">
      <c r="A546" s="72"/>
      <c r="B546" s="72"/>
    </row>
    <row r="547" spans="1:2" ht="13">
      <c r="A547" s="72"/>
      <c r="B547" s="72"/>
    </row>
    <row r="548" spans="1:2" ht="13">
      <c r="A548" s="72"/>
      <c r="B548" s="72"/>
    </row>
    <row r="549" spans="1:2" ht="13">
      <c r="A549" s="72"/>
      <c r="B549" s="72"/>
    </row>
    <row r="550" spans="1:2" ht="13">
      <c r="A550" s="72"/>
      <c r="B550" s="72"/>
    </row>
    <row r="551" spans="1:2" ht="13">
      <c r="A551" s="72"/>
      <c r="B551" s="72"/>
    </row>
    <row r="552" spans="1:2" ht="13">
      <c r="A552" s="72"/>
      <c r="B552" s="72"/>
    </row>
    <row r="553" spans="1:2" ht="13">
      <c r="A553" s="72"/>
      <c r="B553" s="72"/>
    </row>
    <row r="554" spans="1:2" ht="13">
      <c r="A554" s="72"/>
      <c r="B554" s="72"/>
    </row>
    <row r="555" spans="1:2" ht="13">
      <c r="A555" s="72"/>
      <c r="B555" s="72"/>
    </row>
    <row r="556" spans="1:2" ht="13">
      <c r="A556" s="72"/>
      <c r="B556" s="72"/>
    </row>
    <row r="557" spans="1:2" ht="13">
      <c r="A557" s="72"/>
      <c r="B557" s="72"/>
    </row>
    <row r="558" spans="1:2" ht="13">
      <c r="A558" s="72"/>
      <c r="B558" s="72"/>
    </row>
    <row r="559" spans="1:2" ht="13">
      <c r="A559" s="72"/>
      <c r="B559" s="72"/>
    </row>
    <row r="560" spans="1:2" ht="13">
      <c r="A560" s="72"/>
      <c r="B560" s="72"/>
    </row>
    <row r="561" spans="1:2" ht="13">
      <c r="A561" s="72"/>
      <c r="B561" s="72"/>
    </row>
    <row r="562" spans="1:2" ht="13">
      <c r="A562" s="72"/>
      <c r="B562" s="72"/>
    </row>
    <row r="563" spans="1:2" ht="13">
      <c r="A563" s="72"/>
      <c r="B563" s="72"/>
    </row>
    <row r="564" spans="1:2" ht="13">
      <c r="A564" s="72"/>
      <c r="B564" s="72"/>
    </row>
    <row r="565" spans="1:2" ht="13">
      <c r="A565" s="72"/>
      <c r="B565" s="72"/>
    </row>
    <row r="566" spans="1:2" ht="13">
      <c r="A566" s="72"/>
      <c r="B566" s="72"/>
    </row>
    <row r="567" spans="1:2" ht="13">
      <c r="A567" s="72"/>
      <c r="B567" s="72"/>
    </row>
    <row r="568" spans="1:2" ht="13">
      <c r="A568" s="72"/>
      <c r="B568" s="72"/>
    </row>
    <row r="569" spans="1:2" ht="13">
      <c r="A569" s="72"/>
      <c r="B569" s="72"/>
    </row>
    <row r="570" spans="1:2" ht="13">
      <c r="A570" s="72"/>
      <c r="B570" s="72"/>
    </row>
    <row r="571" spans="1:2" ht="13">
      <c r="A571" s="72"/>
      <c r="B571" s="72"/>
    </row>
    <row r="572" spans="1:2" ht="13">
      <c r="A572" s="72"/>
      <c r="B572" s="72"/>
    </row>
    <row r="573" spans="1:2" ht="13">
      <c r="A573" s="72"/>
      <c r="B573" s="72"/>
    </row>
    <row r="574" spans="1:2" ht="13">
      <c r="A574" s="72"/>
      <c r="B574" s="72"/>
    </row>
    <row r="575" spans="1:2" ht="13">
      <c r="A575" s="72"/>
      <c r="B575" s="72"/>
    </row>
    <row r="576" spans="1:2" ht="13">
      <c r="A576" s="72"/>
      <c r="B576" s="72"/>
    </row>
    <row r="577" spans="1:2" ht="13">
      <c r="A577" s="72"/>
      <c r="B577" s="72"/>
    </row>
    <row r="578" spans="1:2" ht="13">
      <c r="A578" s="72"/>
      <c r="B578" s="72"/>
    </row>
    <row r="579" spans="1:2" ht="13">
      <c r="A579" s="72"/>
      <c r="B579" s="72"/>
    </row>
    <row r="580" spans="1:2" ht="13">
      <c r="A580" s="72"/>
      <c r="B580" s="72"/>
    </row>
    <row r="581" spans="1:2" ht="13">
      <c r="A581" s="72"/>
      <c r="B581" s="72"/>
    </row>
    <row r="582" spans="1:2" ht="13">
      <c r="A582" s="72"/>
      <c r="B582" s="72"/>
    </row>
    <row r="583" spans="1:2" ht="13">
      <c r="A583" s="72"/>
      <c r="B583" s="72"/>
    </row>
    <row r="584" spans="1:2" ht="13">
      <c r="A584" s="72"/>
      <c r="B584" s="72"/>
    </row>
    <row r="585" spans="1:2" ht="13">
      <c r="A585" s="72"/>
      <c r="B585" s="72"/>
    </row>
    <row r="586" spans="1:2" ht="13">
      <c r="A586" s="72"/>
      <c r="B586" s="72"/>
    </row>
    <row r="587" spans="1:2" ht="13">
      <c r="A587" s="72"/>
      <c r="B587" s="72"/>
    </row>
    <row r="588" spans="1:2" ht="13">
      <c r="A588" s="72"/>
      <c r="B588" s="72"/>
    </row>
    <row r="589" spans="1:2" ht="13">
      <c r="A589" s="72"/>
      <c r="B589" s="72"/>
    </row>
    <row r="590" spans="1:2" ht="13">
      <c r="A590" s="72"/>
      <c r="B590" s="72"/>
    </row>
    <row r="591" spans="1:2" ht="13">
      <c r="A591" s="72"/>
      <c r="B591" s="72"/>
    </row>
    <row r="592" spans="1:2" ht="13">
      <c r="A592" s="72"/>
      <c r="B592" s="72"/>
    </row>
    <row r="593" spans="1:2" ht="13">
      <c r="A593" s="72"/>
      <c r="B593" s="72"/>
    </row>
    <row r="594" spans="1:2" ht="13">
      <c r="A594" s="72"/>
      <c r="B594" s="72"/>
    </row>
    <row r="595" spans="1:2" ht="13">
      <c r="A595" s="72"/>
      <c r="B595" s="72"/>
    </row>
    <row r="596" spans="1:2" ht="13">
      <c r="A596" s="72"/>
      <c r="B596" s="72"/>
    </row>
    <row r="597" spans="1:2" ht="13">
      <c r="A597" s="72"/>
      <c r="B597" s="72"/>
    </row>
    <row r="598" spans="1:2" ht="13">
      <c r="A598" s="72"/>
      <c r="B598" s="72"/>
    </row>
    <row r="599" spans="1:2" ht="13">
      <c r="A599" s="72"/>
      <c r="B599" s="72"/>
    </row>
    <row r="600" spans="1:2" ht="13">
      <c r="A600" s="72"/>
      <c r="B600" s="72"/>
    </row>
    <row r="601" spans="1:2" ht="13">
      <c r="A601" s="72"/>
      <c r="B601" s="72"/>
    </row>
    <row r="602" spans="1:2" ht="13">
      <c r="A602" s="72"/>
      <c r="B602" s="72"/>
    </row>
    <row r="603" spans="1:2" ht="13">
      <c r="A603" s="72"/>
      <c r="B603" s="72"/>
    </row>
    <row r="604" spans="1:2" ht="13">
      <c r="A604" s="72"/>
      <c r="B604" s="72"/>
    </row>
    <row r="605" spans="1:2" ht="13">
      <c r="A605" s="72"/>
      <c r="B605" s="72"/>
    </row>
    <row r="606" spans="1:2" ht="13">
      <c r="A606" s="72"/>
      <c r="B606" s="72"/>
    </row>
    <row r="607" spans="1:2" ht="13">
      <c r="A607" s="72"/>
      <c r="B607" s="72"/>
    </row>
    <row r="608" spans="1:2" ht="13">
      <c r="A608" s="72"/>
      <c r="B608" s="72"/>
    </row>
    <row r="609" spans="1:2" ht="13">
      <c r="A609" s="72"/>
      <c r="B609" s="72"/>
    </row>
    <row r="610" spans="1:2" ht="13">
      <c r="A610" s="72"/>
      <c r="B610" s="72"/>
    </row>
    <row r="611" spans="1:2" ht="13">
      <c r="A611" s="72"/>
      <c r="B611" s="72"/>
    </row>
    <row r="612" spans="1:2" ht="13">
      <c r="A612" s="72"/>
      <c r="B612" s="72"/>
    </row>
    <row r="613" spans="1:2" ht="13">
      <c r="A613" s="72"/>
      <c r="B613" s="72"/>
    </row>
    <row r="614" spans="1:2" ht="13">
      <c r="A614" s="72"/>
      <c r="B614" s="72"/>
    </row>
    <row r="615" spans="1:2" ht="13">
      <c r="A615" s="72"/>
      <c r="B615" s="72"/>
    </row>
    <row r="616" spans="1:2" ht="13">
      <c r="A616" s="72"/>
      <c r="B616" s="72"/>
    </row>
    <row r="617" spans="1:2" ht="13">
      <c r="A617" s="72"/>
      <c r="B617" s="72"/>
    </row>
    <row r="618" spans="1:2" ht="13">
      <c r="A618" s="72"/>
      <c r="B618" s="72"/>
    </row>
    <row r="619" spans="1:2" ht="13">
      <c r="A619" s="72"/>
      <c r="B619" s="72"/>
    </row>
    <row r="620" spans="1:2" ht="13">
      <c r="A620" s="72"/>
      <c r="B620" s="72"/>
    </row>
    <row r="621" spans="1:2" ht="13">
      <c r="A621" s="72"/>
      <c r="B621" s="72"/>
    </row>
    <row r="622" spans="1:2" ht="13">
      <c r="A622" s="72"/>
      <c r="B622" s="72"/>
    </row>
    <row r="623" spans="1:2" ht="13">
      <c r="A623" s="72"/>
      <c r="B623" s="72"/>
    </row>
    <row r="624" spans="1:2" ht="13">
      <c r="A624" s="72"/>
      <c r="B624" s="72"/>
    </row>
    <row r="625" spans="1:2" ht="13">
      <c r="A625" s="72"/>
      <c r="B625" s="72"/>
    </row>
    <row r="626" spans="1:2" ht="13">
      <c r="A626" s="72"/>
      <c r="B626" s="72"/>
    </row>
    <row r="627" spans="1:2" ht="13">
      <c r="A627" s="72"/>
      <c r="B627" s="72"/>
    </row>
    <row r="628" spans="1:2" ht="13">
      <c r="A628" s="72"/>
      <c r="B628" s="72"/>
    </row>
    <row r="629" spans="1:2" ht="13">
      <c r="A629" s="72"/>
      <c r="B629" s="72"/>
    </row>
    <row r="630" spans="1:2" ht="13">
      <c r="A630" s="72"/>
      <c r="B630" s="72"/>
    </row>
    <row r="631" spans="1:2" ht="13">
      <c r="A631" s="72"/>
      <c r="B631" s="72"/>
    </row>
    <row r="632" spans="1:2" ht="13">
      <c r="A632" s="72"/>
      <c r="B632" s="72"/>
    </row>
    <row r="633" spans="1:2" ht="13">
      <c r="A633" s="72"/>
      <c r="B633" s="72"/>
    </row>
    <row r="634" spans="1:2" ht="13">
      <c r="A634" s="72"/>
      <c r="B634" s="72"/>
    </row>
    <row r="635" spans="1:2" ht="13">
      <c r="A635" s="72"/>
      <c r="B635" s="72"/>
    </row>
    <row r="636" spans="1:2" ht="13">
      <c r="A636" s="72"/>
      <c r="B636" s="72"/>
    </row>
    <row r="637" spans="1:2" ht="13">
      <c r="A637" s="72"/>
      <c r="B637" s="72"/>
    </row>
    <row r="638" spans="1:2" ht="13">
      <c r="A638" s="72"/>
      <c r="B638" s="72"/>
    </row>
    <row r="639" spans="1:2" ht="13">
      <c r="A639" s="72"/>
      <c r="B639" s="72"/>
    </row>
    <row r="640" spans="1:2" ht="13">
      <c r="A640" s="72"/>
      <c r="B640" s="72"/>
    </row>
    <row r="641" spans="1:2" ht="13">
      <c r="A641" s="72"/>
      <c r="B641" s="72"/>
    </row>
    <row r="642" spans="1:2" ht="13">
      <c r="A642" s="72"/>
      <c r="B642" s="72"/>
    </row>
    <row r="643" spans="1:2" ht="13">
      <c r="A643" s="72"/>
      <c r="B643" s="72"/>
    </row>
    <row r="644" spans="1:2" ht="13">
      <c r="A644" s="72"/>
      <c r="B644" s="72"/>
    </row>
    <row r="645" spans="1:2" ht="13">
      <c r="A645" s="72"/>
      <c r="B645" s="72"/>
    </row>
    <row r="646" spans="1:2" ht="13">
      <c r="A646" s="72"/>
      <c r="B646" s="72"/>
    </row>
    <row r="647" spans="1:2" ht="13">
      <c r="A647" s="72"/>
      <c r="B647" s="72"/>
    </row>
    <row r="648" spans="1:2" ht="13">
      <c r="A648" s="72"/>
      <c r="B648" s="72"/>
    </row>
    <row r="649" spans="1:2" ht="13">
      <c r="A649" s="72"/>
      <c r="B649" s="72"/>
    </row>
    <row r="650" spans="1:2" ht="13">
      <c r="A650" s="72"/>
      <c r="B650" s="72"/>
    </row>
    <row r="651" spans="1:2" ht="13">
      <c r="A651" s="72"/>
      <c r="B651" s="72"/>
    </row>
    <row r="652" spans="1:2" ht="13">
      <c r="A652" s="72"/>
      <c r="B652" s="72"/>
    </row>
    <row r="653" spans="1:2" ht="13">
      <c r="A653" s="72"/>
      <c r="B653" s="72"/>
    </row>
    <row r="654" spans="1:2" ht="13">
      <c r="A654" s="72"/>
      <c r="B654" s="72"/>
    </row>
    <row r="655" spans="1:2" ht="13">
      <c r="A655" s="72"/>
      <c r="B655" s="72"/>
    </row>
    <row r="656" spans="1:2" ht="13">
      <c r="A656" s="72"/>
      <c r="B656" s="72"/>
    </row>
    <row r="657" spans="1:2" ht="13">
      <c r="A657" s="72"/>
      <c r="B657" s="72"/>
    </row>
    <row r="658" spans="1:2" ht="13">
      <c r="A658" s="72"/>
      <c r="B658" s="72"/>
    </row>
    <row r="659" spans="1:2" ht="13">
      <c r="A659" s="72"/>
      <c r="B659" s="72"/>
    </row>
    <row r="660" spans="1:2" ht="13">
      <c r="A660" s="72"/>
      <c r="B660" s="72"/>
    </row>
    <row r="661" spans="1:2" ht="13">
      <c r="A661" s="72"/>
      <c r="B661" s="72"/>
    </row>
    <row r="662" spans="1:2" ht="13">
      <c r="A662" s="72"/>
      <c r="B662" s="72"/>
    </row>
    <row r="663" spans="1:2" ht="13">
      <c r="A663" s="72"/>
      <c r="B663" s="72"/>
    </row>
    <row r="664" spans="1:2" ht="13">
      <c r="A664" s="72"/>
      <c r="B664" s="72"/>
    </row>
    <row r="665" spans="1:2" ht="13">
      <c r="A665" s="72"/>
      <c r="B665" s="72"/>
    </row>
    <row r="666" spans="1:2" ht="13">
      <c r="A666" s="72"/>
      <c r="B666" s="72"/>
    </row>
    <row r="667" spans="1:2" ht="13">
      <c r="A667" s="72"/>
      <c r="B667" s="72"/>
    </row>
    <row r="668" spans="1:2" ht="13">
      <c r="A668" s="72"/>
      <c r="B668" s="72"/>
    </row>
    <row r="669" spans="1:2" ht="13">
      <c r="A669" s="72"/>
      <c r="B669" s="72"/>
    </row>
    <row r="670" spans="1:2" ht="13">
      <c r="A670" s="72"/>
      <c r="B670" s="72"/>
    </row>
    <row r="671" spans="1:2" ht="13">
      <c r="A671" s="72"/>
      <c r="B671" s="72"/>
    </row>
    <row r="672" spans="1:2" ht="13">
      <c r="A672" s="72"/>
      <c r="B672" s="72"/>
    </row>
    <row r="673" spans="1:2" ht="13">
      <c r="A673" s="72"/>
      <c r="B673" s="72"/>
    </row>
    <row r="674" spans="1:2" ht="13">
      <c r="A674" s="72"/>
      <c r="B674" s="72"/>
    </row>
    <row r="675" spans="1:2" ht="13">
      <c r="A675" s="72"/>
      <c r="B675" s="72"/>
    </row>
    <row r="676" spans="1:2" ht="13">
      <c r="A676" s="72"/>
      <c r="B676" s="72"/>
    </row>
    <row r="677" spans="1:2" ht="13">
      <c r="A677" s="72"/>
      <c r="B677" s="72"/>
    </row>
    <row r="678" spans="1:2" ht="13">
      <c r="A678" s="72"/>
      <c r="B678" s="72"/>
    </row>
    <row r="679" spans="1:2" ht="13">
      <c r="A679" s="72"/>
      <c r="B679" s="72"/>
    </row>
    <row r="680" spans="1:2" ht="13">
      <c r="A680" s="72"/>
      <c r="B680" s="72"/>
    </row>
    <row r="681" spans="1:2" ht="13">
      <c r="A681" s="72"/>
      <c r="B681" s="72"/>
    </row>
    <row r="682" spans="1:2" ht="13">
      <c r="A682" s="72"/>
      <c r="B682" s="72"/>
    </row>
    <row r="683" spans="1:2" ht="13">
      <c r="A683" s="72"/>
      <c r="B683" s="72"/>
    </row>
    <row r="684" spans="1:2" ht="13">
      <c r="A684" s="72"/>
      <c r="B684" s="72"/>
    </row>
    <row r="685" spans="1:2" ht="13">
      <c r="A685" s="72"/>
      <c r="B685" s="72"/>
    </row>
    <row r="686" spans="1:2" ht="13">
      <c r="A686" s="72"/>
      <c r="B686" s="72"/>
    </row>
    <row r="687" spans="1:2" ht="13">
      <c r="A687" s="72"/>
      <c r="B687" s="72"/>
    </row>
    <row r="688" spans="1:2" ht="13">
      <c r="A688" s="72"/>
      <c r="B688" s="72"/>
    </row>
    <row r="689" spans="1:2" ht="13">
      <c r="A689" s="72"/>
      <c r="B689" s="72"/>
    </row>
    <row r="690" spans="1:2" ht="13">
      <c r="A690" s="72"/>
      <c r="B690" s="72"/>
    </row>
    <row r="691" spans="1:2" ht="13">
      <c r="A691" s="72"/>
      <c r="B691" s="72"/>
    </row>
    <row r="692" spans="1:2" ht="13">
      <c r="A692" s="72"/>
      <c r="B692" s="72"/>
    </row>
    <row r="693" spans="1:2" ht="13">
      <c r="A693" s="72"/>
      <c r="B693" s="72"/>
    </row>
    <row r="694" spans="1:2" ht="13">
      <c r="A694" s="72"/>
      <c r="B694" s="72"/>
    </row>
    <row r="695" spans="1:2" ht="13">
      <c r="A695" s="72"/>
      <c r="B695" s="72"/>
    </row>
    <row r="696" spans="1:2" ht="13">
      <c r="A696" s="72"/>
      <c r="B696" s="72"/>
    </row>
    <row r="697" spans="1:2" ht="13">
      <c r="A697" s="72"/>
      <c r="B697" s="72"/>
    </row>
    <row r="698" spans="1:2" ht="13">
      <c r="A698" s="72"/>
      <c r="B698" s="72"/>
    </row>
    <row r="699" spans="1:2" ht="13">
      <c r="A699" s="72"/>
      <c r="B699" s="72"/>
    </row>
    <row r="700" spans="1:2" ht="13">
      <c r="A700" s="72"/>
      <c r="B700" s="72"/>
    </row>
    <row r="701" spans="1:2" ht="13">
      <c r="A701" s="72"/>
      <c r="B701" s="72"/>
    </row>
    <row r="702" spans="1:2" ht="13">
      <c r="A702" s="72"/>
      <c r="B702" s="72"/>
    </row>
    <row r="703" spans="1:2" ht="13">
      <c r="A703" s="72"/>
      <c r="B703" s="72"/>
    </row>
    <row r="704" spans="1:2" ht="13">
      <c r="A704" s="72"/>
      <c r="B704" s="72"/>
    </row>
    <row r="705" spans="1:2" ht="13">
      <c r="A705" s="72"/>
      <c r="B705" s="72"/>
    </row>
    <row r="706" spans="1:2" ht="13">
      <c r="A706" s="72"/>
      <c r="B706" s="72"/>
    </row>
    <row r="707" spans="1:2" ht="13">
      <c r="A707" s="72"/>
      <c r="B707" s="72"/>
    </row>
    <row r="708" spans="1:2" ht="13">
      <c r="A708" s="72"/>
      <c r="B708" s="72"/>
    </row>
    <row r="709" spans="1:2" ht="13">
      <c r="A709" s="72"/>
      <c r="B709" s="72"/>
    </row>
    <row r="710" spans="1:2" ht="13">
      <c r="A710" s="72"/>
      <c r="B710" s="72"/>
    </row>
    <row r="711" spans="1:2" ht="13">
      <c r="A711" s="72"/>
      <c r="B711" s="72"/>
    </row>
    <row r="712" spans="1:2" ht="13">
      <c r="A712" s="72"/>
      <c r="B712" s="72"/>
    </row>
    <row r="713" spans="1:2" ht="13">
      <c r="A713" s="72"/>
      <c r="B713" s="72"/>
    </row>
    <row r="714" spans="1:2" ht="13">
      <c r="A714" s="72"/>
      <c r="B714" s="72"/>
    </row>
    <row r="715" spans="1:2" ht="13">
      <c r="A715" s="72"/>
      <c r="B715" s="72"/>
    </row>
    <row r="716" spans="1:2" ht="13">
      <c r="A716" s="72"/>
      <c r="B716" s="72"/>
    </row>
    <row r="717" spans="1:2" ht="13">
      <c r="A717" s="72"/>
      <c r="B717" s="72"/>
    </row>
    <row r="718" spans="1:2" ht="13">
      <c r="A718" s="72"/>
      <c r="B718" s="72"/>
    </row>
    <row r="719" spans="1:2" ht="13">
      <c r="A719" s="72"/>
      <c r="B719" s="72"/>
    </row>
    <row r="720" spans="1:2" ht="13">
      <c r="A720" s="72"/>
      <c r="B720" s="72"/>
    </row>
    <row r="721" spans="1:2" ht="13">
      <c r="A721" s="72"/>
      <c r="B721" s="72"/>
    </row>
    <row r="722" spans="1:2" ht="13">
      <c r="A722" s="72"/>
      <c r="B722" s="72"/>
    </row>
    <row r="723" spans="1:2" ht="13">
      <c r="A723" s="72"/>
      <c r="B723" s="72"/>
    </row>
    <row r="724" spans="1:2" ht="13">
      <c r="A724" s="72"/>
      <c r="B724" s="72"/>
    </row>
    <row r="725" spans="1:2" ht="13">
      <c r="A725" s="72"/>
      <c r="B725" s="72"/>
    </row>
    <row r="726" spans="1:2" ht="13">
      <c r="A726" s="72"/>
      <c r="B726" s="72"/>
    </row>
    <row r="727" spans="1:2" ht="13">
      <c r="A727" s="72"/>
      <c r="B727" s="72"/>
    </row>
    <row r="728" spans="1:2" ht="13">
      <c r="A728" s="72"/>
      <c r="B728" s="72"/>
    </row>
    <row r="729" spans="1:2" ht="13">
      <c r="A729" s="72"/>
      <c r="B729" s="72"/>
    </row>
    <row r="730" spans="1:2" ht="13">
      <c r="A730" s="72"/>
      <c r="B730" s="72"/>
    </row>
    <row r="731" spans="1:2" ht="13">
      <c r="A731" s="72"/>
      <c r="B731" s="72"/>
    </row>
    <row r="732" spans="1:2" ht="13">
      <c r="A732" s="72"/>
      <c r="B732" s="72"/>
    </row>
    <row r="733" spans="1:2" ht="13">
      <c r="A733" s="72"/>
      <c r="B733" s="72"/>
    </row>
    <row r="734" spans="1:2" ht="13">
      <c r="A734" s="72"/>
      <c r="B734" s="72"/>
    </row>
    <row r="735" spans="1:2" ht="13">
      <c r="A735" s="72"/>
      <c r="B735" s="72"/>
    </row>
    <row r="736" spans="1:2" ht="13">
      <c r="A736" s="72"/>
      <c r="B736" s="72"/>
    </row>
    <row r="737" spans="1:2" ht="13">
      <c r="A737" s="72"/>
      <c r="B737" s="72"/>
    </row>
    <row r="738" spans="1:2" ht="13">
      <c r="A738" s="72"/>
      <c r="B738" s="72"/>
    </row>
    <row r="739" spans="1:2" ht="13">
      <c r="A739" s="72"/>
      <c r="B739" s="72"/>
    </row>
    <row r="740" spans="1:2" ht="13">
      <c r="A740" s="72"/>
      <c r="B740" s="72"/>
    </row>
    <row r="741" spans="1:2" ht="13">
      <c r="A741" s="72"/>
      <c r="B741" s="72"/>
    </row>
    <row r="742" spans="1:2" ht="13">
      <c r="A742" s="72"/>
      <c r="B742" s="72"/>
    </row>
    <row r="743" spans="1:2" ht="13">
      <c r="A743" s="72"/>
      <c r="B743" s="72"/>
    </row>
    <row r="744" spans="1:2" ht="13">
      <c r="A744" s="72"/>
      <c r="B744" s="72"/>
    </row>
    <row r="745" spans="1:2" ht="13">
      <c r="A745" s="72"/>
      <c r="B745" s="72"/>
    </row>
    <row r="746" spans="1:2" ht="13">
      <c r="A746" s="72"/>
      <c r="B746" s="72"/>
    </row>
    <row r="747" spans="1:2" ht="13">
      <c r="A747" s="72"/>
      <c r="B747" s="72"/>
    </row>
    <row r="748" spans="1:2" ht="13">
      <c r="A748" s="72"/>
      <c r="B748" s="72"/>
    </row>
    <row r="749" spans="1:2" ht="13">
      <c r="A749" s="72"/>
      <c r="B749" s="72"/>
    </row>
    <row r="750" spans="1:2" ht="13">
      <c r="A750" s="72"/>
      <c r="B750" s="72"/>
    </row>
    <row r="751" spans="1:2" ht="13">
      <c r="A751" s="72"/>
      <c r="B751" s="72"/>
    </row>
    <row r="752" spans="1:2" ht="13">
      <c r="A752" s="72"/>
      <c r="B752" s="72"/>
    </row>
    <row r="753" spans="1:2" ht="13">
      <c r="A753" s="72"/>
      <c r="B753" s="72"/>
    </row>
    <row r="754" spans="1:2" ht="13">
      <c r="A754" s="72"/>
      <c r="B754" s="72"/>
    </row>
    <row r="755" spans="1:2" ht="13">
      <c r="A755" s="72"/>
      <c r="B755" s="72"/>
    </row>
    <row r="756" spans="1:2" ht="13">
      <c r="A756" s="72"/>
      <c r="B756" s="72"/>
    </row>
    <row r="757" spans="1:2" ht="13">
      <c r="A757" s="72"/>
      <c r="B757" s="72"/>
    </row>
    <row r="758" spans="1:2" ht="13">
      <c r="A758" s="72"/>
      <c r="B758" s="72"/>
    </row>
    <row r="759" spans="1:2" ht="13">
      <c r="A759" s="72"/>
      <c r="B759" s="72"/>
    </row>
    <row r="760" spans="1:2" ht="13">
      <c r="A760" s="72"/>
      <c r="B760" s="72"/>
    </row>
    <row r="761" spans="1:2" ht="13">
      <c r="A761" s="72"/>
      <c r="B761" s="72"/>
    </row>
    <row r="762" spans="1:2" ht="13">
      <c r="A762" s="72"/>
      <c r="B762" s="72"/>
    </row>
    <row r="763" spans="1:2" ht="13">
      <c r="A763" s="72"/>
      <c r="B763" s="72"/>
    </row>
    <row r="764" spans="1:2" ht="13">
      <c r="A764" s="72"/>
      <c r="B764" s="72"/>
    </row>
    <row r="765" spans="1:2" ht="13">
      <c r="A765" s="72"/>
      <c r="B765" s="72"/>
    </row>
    <row r="766" spans="1:2" ht="13">
      <c r="A766" s="72"/>
      <c r="B766" s="72"/>
    </row>
    <row r="767" spans="1:2" ht="13">
      <c r="A767" s="72"/>
      <c r="B767" s="72"/>
    </row>
    <row r="768" spans="1:2" ht="13">
      <c r="A768" s="72"/>
      <c r="B768" s="72"/>
    </row>
    <row r="769" spans="1:2" ht="13">
      <c r="A769" s="72"/>
      <c r="B769" s="72"/>
    </row>
    <row r="770" spans="1:2" ht="13">
      <c r="A770" s="72"/>
      <c r="B770" s="72"/>
    </row>
    <row r="771" spans="1:2" ht="13">
      <c r="A771" s="72"/>
      <c r="B771" s="72"/>
    </row>
    <row r="772" spans="1:2" ht="13">
      <c r="A772" s="72"/>
      <c r="B772" s="72"/>
    </row>
    <row r="773" spans="1:2" ht="13">
      <c r="A773" s="72"/>
      <c r="B773" s="72"/>
    </row>
    <row r="774" spans="1:2" ht="13">
      <c r="A774" s="72"/>
      <c r="B774" s="72"/>
    </row>
    <row r="775" spans="1:2" ht="13">
      <c r="A775" s="72"/>
      <c r="B775" s="72"/>
    </row>
    <row r="776" spans="1:2" ht="13">
      <c r="A776" s="72"/>
      <c r="B776" s="72"/>
    </row>
    <row r="777" spans="1:2" ht="13">
      <c r="A777" s="72"/>
      <c r="B777" s="72"/>
    </row>
    <row r="778" spans="1:2" ht="13">
      <c r="A778" s="72"/>
      <c r="B778" s="72"/>
    </row>
    <row r="779" spans="1:2" ht="13">
      <c r="A779" s="72"/>
      <c r="B779" s="72"/>
    </row>
    <row r="780" spans="1:2" ht="13">
      <c r="A780" s="72"/>
      <c r="B780" s="72"/>
    </row>
    <row r="781" spans="1:2" ht="13">
      <c r="A781" s="72"/>
      <c r="B781" s="72"/>
    </row>
    <row r="782" spans="1:2" ht="13">
      <c r="A782" s="72"/>
      <c r="B782" s="72"/>
    </row>
    <row r="783" spans="1:2" ht="13">
      <c r="A783" s="72"/>
      <c r="B783" s="72"/>
    </row>
    <row r="784" spans="1:2" ht="13">
      <c r="A784" s="72"/>
      <c r="B784" s="72"/>
    </row>
    <row r="785" spans="1:2" ht="13">
      <c r="A785" s="72"/>
      <c r="B785" s="72"/>
    </row>
    <row r="786" spans="1:2" ht="13">
      <c r="A786" s="72"/>
      <c r="B786" s="72"/>
    </row>
    <row r="787" spans="1:2" ht="13">
      <c r="A787" s="72"/>
      <c r="B787" s="72"/>
    </row>
    <row r="788" spans="1:2" ht="13">
      <c r="A788" s="72"/>
      <c r="B788" s="72"/>
    </row>
    <row r="789" spans="1:2" ht="13">
      <c r="A789" s="72"/>
      <c r="B789" s="72"/>
    </row>
    <row r="790" spans="1:2" ht="13">
      <c r="A790" s="72"/>
      <c r="B790" s="72"/>
    </row>
    <row r="791" spans="1:2" ht="13">
      <c r="A791" s="72"/>
      <c r="B791" s="72"/>
    </row>
    <row r="792" spans="1:2" ht="13">
      <c r="A792" s="72"/>
      <c r="B792" s="72"/>
    </row>
    <row r="793" spans="1:2" ht="13">
      <c r="A793" s="72"/>
      <c r="B793" s="72"/>
    </row>
    <row r="794" spans="1:2" ht="13">
      <c r="A794" s="72"/>
      <c r="B794" s="72"/>
    </row>
    <row r="795" spans="1:2" ht="13">
      <c r="A795" s="72"/>
      <c r="B795" s="72"/>
    </row>
    <row r="796" spans="1:2" ht="13">
      <c r="A796" s="72"/>
      <c r="B796" s="72"/>
    </row>
    <row r="797" spans="1:2" ht="13">
      <c r="A797" s="72"/>
      <c r="B797" s="72"/>
    </row>
    <row r="798" spans="1:2" ht="13">
      <c r="A798" s="72"/>
      <c r="B798" s="72"/>
    </row>
    <row r="799" spans="1:2" ht="13">
      <c r="A799" s="72"/>
      <c r="B799" s="72"/>
    </row>
    <row r="800" spans="1:2" ht="13">
      <c r="A800" s="72"/>
      <c r="B800" s="72"/>
    </row>
    <row r="801" spans="1:2" ht="13">
      <c r="A801" s="72"/>
      <c r="B801" s="72"/>
    </row>
    <row r="802" spans="1:2" ht="13">
      <c r="A802" s="72"/>
      <c r="B802" s="72"/>
    </row>
    <row r="803" spans="1:2" ht="13">
      <c r="A803" s="72"/>
      <c r="B803" s="72"/>
    </row>
    <row r="804" spans="1:2" ht="13">
      <c r="A804" s="72"/>
      <c r="B804" s="72"/>
    </row>
    <row r="805" spans="1:2" ht="13">
      <c r="A805" s="72"/>
      <c r="B805" s="72"/>
    </row>
    <row r="806" spans="1:2" ht="13">
      <c r="A806" s="72"/>
      <c r="B806" s="72"/>
    </row>
    <row r="807" spans="1:2" ht="13">
      <c r="A807" s="72"/>
      <c r="B807" s="72"/>
    </row>
    <row r="808" spans="1:2" ht="13">
      <c r="A808" s="72"/>
      <c r="B808" s="72"/>
    </row>
    <row r="809" spans="1:2" ht="13">
      <c r="A809" s="72"/>
      <c r="B809" s="72"/>
    </row>
    <row r="810" spans="1:2" ht="13">
      <c r="A810" s="72"/>
      <c r="B810" s="72"/>
    </row>
    <row r="811" spans="1:2" ht="13">
      <c r="A811" s="72"/>
      <c r="B811" s="72"/>
    </row>
    <row r="812" spans="1:2" ht="13">
      <c r="A812" s="72"/>
      <c r="B812" s="72"/>
    </row>
    <row r="813" spans="1:2" ht="13">
      <c r="A813" s="72"/>
      <c r="B813" s="72"/>
    </row>
    <row r="814" spans="1:2" ht="13">
      <c r="A814" s="72"/>
      <c r="B814" s="72"/>
    </row>
    <row r="815" spans="1:2" ht="13">
      <c r="A815" s="72"/>
      <c r="B815" s="72"/>
    </row>
    <row r="816" spans="1:2" ht="13">
      <c r="A816" s="72"/>
      <c r="B816" s="72"/>
    </row>
    <row r="817" spans="1:2" ht="13">
      <c r="A817" s="72"/>
      <c r="B817" s="72"/>
    </row>
    <row r="818" spans="1:2" ht="13">
      <c r="A818" s="72"/>
      <c r="B818" s="72"/>
    </row>
    <row r="819" spans="1:2" ht="13">
      <c r="A819" s="72"/>
      <c r="B819" s="72"/>
    </row>
    <row r="820" spans="1:2" ht="13">
      <c r="A820" s="72"/>
      <c r="B820" s="72"/>
    </row>
    <row r="821" spans="1:2" ht="13">
      <c r="A821" s="72"/>
      <c r="B821" s="72"/>
    </row>
    <row r="822" spans="1:2" ht="13">
      <c r="A822" s="72"/>
      <c r="B822" s="72"/>
    </row>
    <row r="823" spans="1:2" ht="13">
      <c r="A823" s="72"/>
      <c r="B823" s="72"/>
    </row>
    <row r="824" spans="1:2" ht="13">
      <c r="A824" s="72"/>
      <c r="B824" s="72"/>
    </row>
    <row r="825" spans="1:2" ht="13">
      <c r="A825" s="72"/>
      <c r="B825" s="72"/>
    </row>
    <row r="826" spans="1:2" ht="13">
      <c r="A826" s="72"/>
      <c r="B826" s="72"/>
    </row>
    <row r="827" spans="1:2" ht="13">
      <c r="A827" s="72"/>
      <c r="B827" s="72"/>
    </row>
    <row r="828" spans="1:2" ht="13">
      <c r="A828" s="72"/>
      <c r="B828" s="72"/>
    </row>
    <row r="829" spans="1:2" ht="13">
      <c r="A829" s="72"/>
      <c r="B829" s="72"/>
    </row>
    <row r="830" spans="1:2" ht="13">
      <c r="A830" s="72"/>
      <c r="B830" s="72"/>
    </row>
    <row r="831" spans="1:2" ht="13">
      <c r="A831" s="72"/>
      <c r="B831" s="72"/>
    </row>
    <row r="832" spans="1:2" ht="13">
      <c r="A832" s="72"/>
      <c r="B832" s="72"/>
    </row>
    <row r="833" spans="1:2" ht="13">
      <c r="A833" s="72"/>
      <c r="B833" s="72"/>
    </row>
    <row r="834" spans="1:2" ht="13">
      <c r="A834" s="72"/>
      <c r="B834" s="72"/>
    </row>
    <row r="835" spans="1:2" ht="13">
      <c r="A835" s="72"/>
      <c r="B835" s="72"/>
    </row>
    <row r="836" spans="1:2" ht="13">
      <c r="A836" s="72"/>
      <c r="B836" s="72"/>
    </row>
    <row r="837" spans="1:2" ht="13">
      <c r="A837" s="72"/>
      <c r="B837" s="72"/>
    </row>
    <row r="838" spans="1:2" ht="13">
      <c r="A838" s="72"/>
      <c r="B838" s="72"/>
    </row>
    <row r="839" spans="1:2" ht="13">
      <c r="A839" s="72"/>
      <c r="B839" s="72"/>
    </row>
    <row r="840" spans="1:2" ht="13">
      <c r="A840" s="72"/>
      <c r="B840" s="72"/>
    </row>
    <row r="841" spans="1:2" ht="13">
      <c r="A841" s="72"/>
      <c r="B841" s="72"/>
    </row>
    <row r="842" spans="1:2" ht="13">
      <c r="A842" s="72"/>
      <c r="B842" s="72"/>
    </row>
    <row r="843" spans="1:2" ht="13">
      <c r="A843" s="72"/>
      <c r="B843" s="72"/>
    </row>
    <row r="844" spans="1:2" ht="13">
      <c r="A844" s="72"/>
      <c r="B844" s="72"/>
    </row>
    <row r="845" spans="1:2" ht="13">
      <c r="A845" s="72"/>
      <c r="B845" s="72"/>
    </row>
    <row r="846" spans="1:2" ht="13">
      <c r="A846" s="72"/>
      <c r="B846" s="72"/>
    </row>
    <row r="847" spans="1:2" ht="13">
      <c r="A847" s="72"/>
      <c r="B847" s="72"/>
    </row>
    <row r="848" spans="1:2" ht="13">
      <c r="A848" s="72"/>
      <c r="B848" s="72"/>
    </row>
    <row r="849" spans="1:2" ht="13">
      <c r="A849" s="72"/>
      <c r="B849" s="72"/>
    </row>
    <row r="850" spans="1:2" ht="13">
      <c r="A850" s="72"/>
      <c r="B850" s="72"/>
    </row>
    <row r="851" spans="1:2" ht="13">
      <c r="A851" s="72"/>
      <c r="B851" s="72"/>
    </row>
    <row r="852" spans="1:2" ht="13">
      <c r="A852" s="72"/>
      <c r="B852" s="72"/>
    </row>
    <row r="853" spans="1:2" ht="13">
      <c r="A853" s="72"/>
      <c r="B853" s="72"/>
    </row>
    <row r="854" spans="1:2" ht="13">
      <c r="A854" s="72"/>
      <c r="B854" s="72"/>
    </row>
    <row r="855" spans="1:2" ht="13">
      <c r="A855" s="72"/>
      <c r="B855" s="72"/>
    </row>
    <row r="856" spans="1:2" ht="13">
      <c r="A856" s="72"/>
      <c r="B856" s="72"/>
    </row>
    <row r="857" spans="1:2" ht="13">
      <c r="A857" s="72"/>
      <c r="B857" s="72"/>
    </row>
    <row r="858" spans="1:2" ht="13">
      <c r="A858" s="72"/>
      <c r="B858" s="72"/>
    </row>
    <row r="859" spans="1:2" ht="13">
      <c r="A859" s="72"/>
      <c r="B859" s="72"/>
    </row>
    <row r="860" spans="1:2" ht="13">
      <c r="A860" s="72"/>
      <c r="B860" s="72"/>
    </row>
    <row r="861" spans="1:2" ht="13">
      <c r="A861" s="72"/>
      <c r="B861" s="72"/>
    </row>
    <row r="862" spans="1:2" ht="13">
      <c r="A862" s="72"/>
      <c r="B862" s="72"/>
    </row>
    <row r="863" spans="1:2" ht="13">
      <c r="A863" s="72"/>
      <c r="B863" s="72"/>
    </row>
    <row r="864" spans="1:2" ht="13">
      <c r="A864" s="72"/>
      <c r="B864" s="72"/>
    </row>
    <row r="865" spans="1:2" ht="13">
      <c r="A865" s="72"/>
      <c r="B865" s="72"/>
    </row>
    <row r="866" spans="1:2" ht="13">
      <c r="A866" s="72"/>
      <c r="B866" s="72"/>
    </row>
    <row r="867" spans="1:2" ht="13">
      <c r="A867" s="72"/>
      <c r="B867" s="72"/>
    </row>
    <row r="868" spans="1:2" ht="13">
      <c r="A868" s="72"/>
      <c r="B868" s="72"/>
    </row>
    <row r="869" spans="1:2" ht="13">
      <c r="A869" s="72"/>
      <c r="B869" s="72"/>
    </row>
    <row r="870" spans="1:2" ht="13">
      <c r="A870" s="72"/>
      <c r="B870" s="72"/>
    </row>
    <row r="871" spans="1:2" ht="13">
      <c r="A871" s="72"/>
      <c r="B871" s="72"/>
    </row>
    <row r="872" spans="1:2" ht="13">
      <c r="A872" s="72"/>
      <c r="B872" s="72"/>
    </row>
    <row r="873" spans="1:2" ht="13">
      <c r="A873" s="72"/>
      <c r="B873" s="72"/>
    </row>
    <row r="874" spans="1:2" ht="13">
      <c r="A874" s="72"/>
      <c r="B874" s="72"/>
    </row>
    <row r="875" spans="1:2" ht="13">
      <c r="A875" s="72"/>
      <c r="B875" s="72"/>
    </row>
    <row r="876" spans="1:2" ht="13">
      <c r="A876" s="72"/>
      <c r="B876" s="72"/>
    </row>
    <row r="877" spans="1:2" ht="13">
      <c r="A877" s="72"/>
      <c r="B877" s="72"/>
    </row>
    <row r="878" spans="1:2" ht="13">
      <c r="A878" s="72"/>
      <c r="B878" s="72"/>
    </row>
    <row r="879" spans="1:2" ht="13">
      <c r="A879" s="72"/>
      <c r="B879" s="72"/>
    </row>
    <row r="880" spans="1:2" ht="13">
      <c r="A880" s="72"/>
      <c r="B880" s="72"/>
    </row>
    <row r="881" spans="1:2" ht="13">
      <c r="A881" s="72"/>
      <c r="B881" s="72"/>
    </row>
    <row r="882" spans="1:2" ht="13">
      <c r="A882" s="72"/>
      <c r="B882" s="72"/>
    </row>
    <row r="883" spans="1:2" ht="13">
      <c r="A883" s="72"/>
      <c r="B883" s="72"/>
    </row>
    <row r="884" spans="1:2" ht="13">
      <c r="A884" s="72"/>
      <c r="B884" s="72"/>
    </row>
    <row r="885" spans="1:2" ht="13">
      <c r="A885" s="72"/>
      <c r="B885" s="72"/>
    </row>
    <row r="886" spans="1:2" ht="13">
      <c r="A886" s="72"/>
      <c r="B886" s="72"/>
    </row>
    <row r="887" spans="1:2" ht="13">
      <c r="A887" s="72"/>
      <c r="B887" s="72"/>
    </row>
    <row r="888" spans="1:2" ht="13">
      <c r="A888" s="72"/>
      <c r="B888" s="72"/>
    </row>
    <row r="889" spans="1:2" ht="13">
      <c r="A889" s="72"/>
      <c r="B889" s="72"/>
    </row>
    <row r="890" spans="1:2" ht="13">
      <c r="A890" s="72"/>
      <c r="B890" s="72"/>
    </row>
    <row r="891" spans="1:2" ht="13">
      <c r="A891" s="72"/>
      <c r="B891" s="72"/>
    </row>
    <row r="892" spans="1:2" ht="13">
      <c r="A892" s="72"/>
      <c r="B892" s="72"/>
    </row>
    <row r="893" spans="1:2" ht="13">
      <c r="A893" s="72"/>
      <c r="B893" s="72"/>
    </row>
    <row r="894" spans="1:2" ht="13">
      <c r="A894" s="72"/>
      <c r="B894" s="72"/>
    </row>
    <row r="895" spans="1:2" ht="13">
      <c r="A895" s="72"/>
      <c r="B895" s="72"/>
    </row>
    <row r="896" spans="1:2" ht="13">
      <c r="A896" s="72"/>
      <c r="B896" s="72"/>
    </row>
    <row r="897" spans="1:2" ht="13">
      <c r="A897" s="72"/>
      <c r="B897" s="72"/>
    </row>
    <row r="898" spans="1:2" ht="13">
      <c r="A898" s="72"/>
      <c r="B898" s="72"/>
    </row>
    <row r="899" spans="1:2" ht="13">
      <c r="A899" s="72"/>
      <c r="B899" s="72"/>
    </row>
    <row r="900" spans="1:2" ht="13">
      <c r="A900" s="72"/>
      <c r="B900" s="72"/>
    </row>
    <row r="901" spans="1:2" ht="13">
      <c r="A901" s="72"/>
      <c r="B901" s="72"/>
    </row>
    <row r="902" spans="1:2" ht="13">
      <c r="A902" s="72"/>
      <c r="B902" s="72"/>
    </row>
    <row r="903" spans="1:2" ht="13">
      <c r="A903" s="72"/>
      <c r="B903" s="72"/>
    </row>
    <row r="904" spans="1:2" ht="13">
      <c r="A904" s="72"/>
      <c r="B904" s="72"/>
    </row>
    <row r="905" spans="1:2" ht="13">
      <c r="A905" s="72"/>
      <c r="B905" s="72"/>
    </row>
    <row r="906" spans="1:2" ht="13">
      <c r="A906" s="72"/>
      <c r="B906" s="72"/>
    </row>
    <row r="907" spans="1:2" ht="13">
      <c r="A907" s="72"/>
      <c r="B907" s="72"/>
    </row>
    <row r="908" spans="1:2" ht="13">
      <c r="A908" s="72"/>
      <c r="B908" s="72"/>
    </row>
    <row r="909" spans="1:2" ht="13">
      <c r="A909" s="72"/>
      <c r="B909" s="72"/>
    </row>
    <row r="910" spans="1:2" ht="13">
      <c r="A910" s="72"/>
      <c r="B910" s="72"/>
    </row>
    <row r="911" spans="1:2" ht="13">
      <c r="A911" s="72"/>
      <c r="B911" s="72"/>
    </row>
    <row r="912" spans="1:2" ht="13">
      <c r="A912" s="72"/>
      <c r="B912" s="72"/>
    </row>
    <row r="913" spans="1:2" ht="13">
      <c r="A913" s="72"/>
      <c r="B913" s="72"/>
    </row>
    <row r="914" spans="1:2" ht="13">
      <c r="A914" s="72"/>
      <c r="B914" s="72"/>
    </row>
    <row r="915" spans="1:2" ht="13">
      <c r="A915" s="72"/>
      <c r="B915" s="72"/>
    </row>
    <row r="916" spans="1:2" ht="13">
      <c r="A916" s="72"/>
      <c r="B916" s="72"/>
    </row>
    <row r="917" spans="1:2" ht="13">
      <c r="A917" s="72"/>
      <c r="B917" s="72"/>
    </row>
    <row r="918" spans="1:2" ht="13">
      <c r="A918" s="72"/>
      <c r="B918" s="72"/>
    </row>
    <row r="919" spans="1:2" ht="13">
      <c r="A919" s="72"/>
      <c r="B919" s="72"/>
    </row>
    <row r="920" spans="1:2" ht="13">
      <c r="A920" s="72"/>
      <c r="B920" s="72"/>
    </row>
    <row r="921" spans="1:2" ht="13">
      <c r="A921" s="72"/>
      <c r="B921" s="72"/>
    </row>
    <row r="922" spans="1:2" ht="13">
      <c r="A922" s="72"/>
      <c r="B922" s="72"/>
    </row>
    <row r="923" spans="1:2" ht="13">
      <c r="A923" s="72"/>
      <c r="B923" s="72"/>
    </row>
  </sheetData>
  <mergeCells count="135">
    <mergeCell ref="A65:A68"/>
    <mergeCell ref="B65:B68"/>
    <mergeCell ref="B69:B72"/>
    <mergeCell ref="B213:B216"/>
    <mergeCell ref="D218:G218"/>
    <mergeCell ref="D249:G249"/>
    <mergeCell ref="B50:B53"/>
    <mergeCell ref="B54:B57"/>
    <mergeCell ref="B58:B61"/>
    <mergeCell ref="D63:G63"/>
    <mergeCell ref="A54:A57"/>
    <mergeCell ref="A58:A61"/>
    <mergeCell ref="B189:B192"/>
    <mergeCell ref="B193:B196"/>
    <mergeCell ref="B197:B200"/>
    <mergeCell ref="B201:B204"/>
    <mergeCell ref="B205:B208"/>
    <mergeCell ref="B209:B212"/>
    <mergeCell ref="B143:B146"/>
    <mergeCell ref="B147:B150"/>
    <mergeCell ref="D156:G156"/>
    <mergeCell ref="D187:G187"/>
    <mergeCell ref="B151:B154"/>
    <mergeCell ref="B158:B161"/>
    <mergeCell ref="A34:A37"/>
    <mergeCell ref="B34:B37"/>
    <mergeCell ref="A38:A41"/>
    <mergeCell ref="B38:B41"/>
    <mergeCell ref="A42:A45"/>
    <mergeCell ref="B42:B45"/>
    <mergeCell ref="B46:B49"/>
    <mergeCell ref="A46:A49"/>
    <mergeCell ref="A50:A53"/>
    <mergeCell ref="D1:G1"/>
    <mergeCell ref="A3:A6"/>
    <mergeCell ref="B3:B6"/>
    <mergeCell ref="A7:A10"/>
    <mergeCell ref="B7:B10"/>
    <mergeCell ref="A11:A14"/>
    <mergeCell ref="B11:B14"/>
    <mergeCell ref="B27:B30"/>
    <mergeCell ref="D32:G32"/>
    <mergeCell ref="A15:A18"/>
    <mergeCell ref="B15:B18"/>
    <mergeCell ref="A19:A22"/>
    <mergeCell ref="B19:B22"/>
    <mergeCell ref="A23:A26"/>
    <mergeCell ref="B23:B26"/>
    <mergeCell ref="A27:A30"/>
    <mergeCell ref="B263:B266"/>
    <mergeCell ref="B267:B270"/>
    <mergeCell ref="B271:B274"/>
    <mergeCell ref="B275:B278"/>
    <mergeCell ref="B220:B223"/>
    <mergeCell ref="B224:B227"/>
    <mergeCell ref="B228:B231"/>
    <mergeCell ref="B232:B235"/>
    <mergeCell ref="B236:B239"/>
    <mergeCell ref="B240:B243"/>
    <mergeCell ref="B244:B247"/>
    <mergeCell ref="B251:B254"/>
    <mergeCell ref="B255:B258"/>
    <mergeCell ref="B259:B262"/>
    <mergeCell ref="B162:B165"/>
    <mergeCell ref="B166:B169"/>
    <mergeCell ref="B170:B173"/>
    <mergeCell ref="B174:B177"/>
    <mergeCell ref="B178:B181"/>
    <mergeCell ref="B182:B185"/>
    <mergeCell ref="B108:B111"/>
    <mergeCell ref="B112:B115"/>
    <mergeCell ref="B116:B119"/>
    <mergeCell ref="B120:B123"/>
    <mergeCell ref="D125:G125"/>
    <mergeCell ref="B127:B130"/>
    <mergeCell ref="B131:B134"/>
    <mergeCell ref="B135:B138"/>
    <mergeCell ref="B139:B142"/>
    <mergeCell ref="B73:B76"/>
    <mergeCell ref="B77:B80"/>
    <mergeCell ref="B81:B84"/>
    <mergeCell ref="B85:B88"/>
    <mergeCell ref="B89:B92"/>
    <mergeCell ref="D94:G94"/>
    <mergeCell ref="B96:B99"/>
    <mergeCell ref="B100:B103"/>
    <mergeCell ref="B104:B107"/>
    <mergeCell ref="A259:A262"/>
    <mergeCell ref="A263:A266"/>
    <mergeCell ref="A267:A270"/>
    <mergeCell ref="A271:A274"/>
    <mergeCell ref="A275:A278"/>
    <mergeCell ref="A224:A227"/>
    <mergeCell ref="A228:A231"/>
    <mergeCell ref="A232:A235"/>
    <mergeCell ref="A236:A239"/>
    <mergeCell ref="A240:A243"/>
    <mergeCell ref="A244:A247"/>
    <mergeCell ref="A251:A254"/>
    <mergeCell ref="A189:A192"/>
    <mergeCell ref="A193:A196"/>
    <mergeCell ref="A197:A200"/>
    <mergeCell ref="A201:A204"/>
    <mergeCell ref="A205:A208"/>
    <mergeCell ref="A209:A212"/>
    <mergeCell ref="A213:A216"/>
    <mergeCell ref="A220:A223"/>
    <mergeCell ref="A255:A258"/>
    <mergeCell ref="A147:A150"/>
    <mergeCell ref="A151:A154"/>
    <mergeCell ref="A158:A161"/>
    <mergeCell ref="A162:A165"/>
    <mergeCell ref="A166:A169"/>
    <mergeCell ref="A170:A173"/>
    <mergeCell ref="A174:A177"/>
    <mergeCell ref="A178:A181"/>
    <mergeCell ref="A182:A185"/>
    <mergeCell ref="A108:A111"/>
    <mergeCell ref="A112:A115"/>
    <mergeCell ref="A116:A119"/>
    <mergeCell ref="A120:A123"/>
    <mergeCell ref="A127:A130"/>
    <mergeCell ref="A131:A134"/>
    <mergeCell ref="A135:A138"/>
    <mergeCell ref="A139:A142"/>
    <mergeCell ref="A143:A146"/>
    <mergeCell ref="A69:A72"/>
    <mergeCell ref="A73:A76"/>
    <mergeCell ref="A77:A80"/>
    <mergeCell ref="A81:A84"/>
    <mergeCell ref="A85:A88"/>
    <mergeCell ref="A89:A92"/>
    <mergeCell ref="A96:A99"/>
    <mergeCell ref="A100:A103"/>
    <mergeCell ref="A104:A107"/>
  </mergeCells>
  <conditionalFormatting sqref="L2:L24">
    <cfRule type="cellIs" dxfId="2" priority="1" operator="equal">
      <formula>20</formula>
    </cfRule>
    <cfRule type="cellIs" dxfId="1" priority="2" operator="greaterThan">
      <formula>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3984375" defaultRowHeight="15.75" customHeight="1"/>
  <cols>
    <col min="1" max="1" width="11.09765625" customWidth="1"/>
    <col min="2" max="3" width="11.3984375" customWidth="1"/>
    <col min="4" max="5" width="10.59765625" customWidth="1"/>
    <col min="6" max="7" width="8.09765625" customWidth="1"/>
    <col min="8" max="8" width="8.69921875" customWidth="1"/>
    <col min="9" max="9" width="8.59765625" customWidth="1"/>
    <col min="10" max="10" width="7.8984375" customWidth="1"/>
    <col min="11" max="11" width="14" customWidth="1"/>
    <col min="12" max="12" width="13.8984375" customWidth="1"/>
    <col min="13" max="13" width="8.8984375" customWidth="1"/>
    <col min="14" max="15" width="9.296875" customWidth="1"/>
    <col min="16" max="17" width="6.59765625" customWidth="1"/>
    <col min="18" max="18" width="10.296875" customWidth="1"/>
    <col min="19" max="19" width="10.09765625" customWidth="1"/>
    <col min="20" max="21" width="7.69921875" customWidth="1"/>
    <col min="22" max="22" width="7.59765625" customWidth="1"/>
    <col min="23" max="23" width="7" customWidth="1"/>
    <col min="24" max="24" width="7.296875" customWidth="1"/>
    <col min="25" max="34" width="8.69921875" customWidth="1"/>
  </cols>
  <sheetData>
    <row r="1" spans="1:44" ht="15.75" customHeight="1">
      <c r="A1" s="92" t="s">
        <v>175</v>
      </c>
      <c r="B1" s="92" t="s">
        <v>141</v>
      </c>
      <c r="C1" s="92" t="s">
        <v>132</v>
      </c>
      <c r="D1" s="92" t="s">
        <v>134</v>
      </c>
      <c r="E1" s="92" t="s">
        <v>137</v>
      </c>
      <c r="F1" s="92" t="s">
        <v>135</v>
      </c>
      <c r="G1" s="92" t="s">
        <v>136</v>
      </c>
      <c r="H1" s="92" t="s">
        <v>147</v>
      </c>
      <c r="I1" s="92" t="s">
        <v>146</v>
      </c>
      <c r="J1" s="92" t="s">
        <v>79</v>
      </c>
      <c r="K1" s="92" t="s">
        <v>151</v>
      </c>
      <c r="L1" s="92" t="s">
        <v>140</v>
      </c>
      <c r="M1" s="92" t="s">
        <v>76</v>
      </c>
      <c r="N1" s="92" t="s">
        <v>145</v>
      </c>
      <c r="O1" s="92" t="s">
        <v>142</v>
      </c>
      <c r="P1" s="92" t="s">
        <v>70</v>
      </c>
      <c r="Q1" s="92" t="s">
        <v>75</v>
      </c>
      <c r="R1" s="92" t="s">
        <v>130</v>
      </c>
      <c r="S1" s="92" t="s">
        <v>133</v>
      </c>
      <c r="T1" s="92" t="s">
        <v>149</v>
      </c>
      <c r="U1" s="92" t="s">
        <v>143</v>
      </c>
      <c r="V1" s="92" t="s">
        <v>72</v>
      </c>
      <c r="W1" s="92" t="s">
        <v>78</v>
      </c>
      <c r="X1" s="92" t="s">
        <v>67</v>
      </c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</row>
    <row r="2" spans="1:44" ht="15.75" customHeight="1">
      <c r="A2" s="92" t="s">
        <v>141</v>
      </c>
      <c r="B2" s="93"/>
      <c r="C2" s="94">
        <f t="array" ref="C2:X2">TRANSPOSE(B3:B$24)</f>
        <v>0</v>
      </c>
      <c r="D2" s="94">
        <v>10</v>
      </c>
      <c r="E2" s="94">
        <v>7</v>
      </c>
      <c r="F2" s="94">
        <v>13</v>
      </c>
      <c r="G2" s="94">
        <v>0</v>
      </c>
      <c r="H2" s="94">
        <v>0</v>
      </c>
      <c r="I2" s="94">
        <v>5</v>
      </c>
      <c r="J2" s="94">
        <v>4</v>
      </c>
      <c r="K2" s="94">
        <v>10</v>
      </c>
      <c r="L2" s="94">
        <v>8</v>
      </c>
      <c r="M2" s="94">
        <v>0</v>
      </c>
      <c r="N2" s="94">
        <v>3</v>
      </c>
      <c r="O2" s="94">
        <v>11</v>
      </c>
      <c r="P2" s="94">
        <v>11</v>
      </c>
      <c r="Q2" s="94">
        <v>7</v>
      </c>
      <c r="R2" s="94">
        <v>16</v>
      </c>
      <c r="S2" s="94">
        <v>13</v>
      </c>
      <c r="T2" s="94">
        <v>17</v>
      </c>
      <c r="U2" s="94">
        <v>9</v>
      </c>
      <c r="V2" s="94">
        <v>8</v>
      </c>
      <c r="W2" s="94">
        <v>10</v>
      </c>
      <c r="X2" s="95">
        <v>14</v>
      </c>
    </row>
    <row r="3" spans="1:44" ht="15.75" customHeight="1">
      <c r="A3" s="92" t="s">
        <v>132</v>
      </c>
      <c r="B3" s="96">
        <v>0</v>
      </c>
      <c r="C3" s="93"/>
      <c r="D3" s="97">
        <f t="array" ref="D3:X3">TRANSPOSE(C4:C$24)</f>
        <v>10</v>
      </c>
      <c r="E3" s="97">
        <v>9</v>
      </c>
      <c r="F3" s="97">
        <v>0</v>
      </c>
      <c r="G3" s="97">
        <v>0</v>
      </c>
      <c r="H3" s="97">
        <v>4</v>
      </c>
      <c r="I3" s="97">
        <v>7</v>
      </c>
      <c r="J3" s="97">
        <v>6</v>
      </c>
      <c r="K3" s="97">
        <v>10</v>
      </c>
      <c r="L3" s="97">
        <v>11</v>
      </c>
      <c r="M3" s="97">
        <v>3</v>
      </c>
      <c r="N3" s="97">
        <v>6</v>
      </c>
      <c r="O3" s="97">
        <v>5</v>
      </c>
      <c r="P3" s="97">
        <v>10</v>
      </c>
      <c r="Q3" s="97">
        <v>4</v>
      </c>
      <c r="R3" s="97">
        <v>13</v>
      </c>
      <c r="S3" s="97">
        <v>13</v>
      </c>
      <c r="T3" s="97">
        <v>5</v>
      </c>
      <c r="U3" s="97">
        <v>19</v>
      </c>
      <c r="V3" s="97">
        <v>14</v>
      </c>
      <c r="W3" s="97">
        <v>14</v>
      </c>
      <c r="X3" s="98">
        <v>11</v>
      </c>
    </row>
    <row r="4" spans="1:44" ht="15.75" customHeight="1">
      <c r="A4" s="92" t="s">
        <v>134</v>
      </c>
      <c r="B4" s="96">
        <v>10</v>
      </c>
      <c r="C4" s="97">
        <v>10</v>
      </c>
      <c r="D4" s="93"/>
      <c r="E4" s="97">
        <f t="array" ref="E4:X4">TRANSPOSE(D5:D$24)</f>
        <v>0</v>
      </c>
      <c r="F4" s="97">
        <v>4</v>
      </c>
      <c r="G4" s="97">
        <v>2</v>
      </c>
      <c r="H4" s="97">
        <v>2</v>
      </c>
      <c r="I4" s="97">
        <v>13</v>
      </c>
      <c r="J4" s="97">
        <v>4</v>
      </c>
      <c r="K4" s="97">
        <v>3</v>
      </c>
      <c r="L4" s="97">
        <v>5</v>
      </c>
      <c r="M4" s="97">
        <v>2</v>
      </c>
      <c r="N4" s="97">
        <v>7</v>
      </c>
      <c r="O4" s="97">
        <v>5</v>
      </c>
      <c r="P4" s="97">
        <v>8</v>
      </c>
      <c r="Q4" s="97">
        <v>0</v>
      </c>
      <c r="R4" s="97">
        <v>5</v>
      </c>
      <c r="S4" s="97">
        <v>6</v>
      </c>
      <c r="T4" s="97">
        <v>5</v>
      </c>
      <c r="U4" s="97">
        <v>5</v>
      </c>
      <c r="V4" s="97">
        <v>5</v>
      </c>
      <c r="W4" s="97">
        <v>12</v>
      </c>
      <c r="X4" s="98">
        <v>5</v>
      </c>
    </row>
    <row r="5" spans="1:44" ht="15.75" customHeight="1">
      <c r="A5" s="92" t="s">
        <v>137</v>
      </c>
      <c r="B5" s="96">
        <v>7</v>
      </c>
      <c r="C5" s="97">
        <v>9</v>
      </c>
      <c r="D5" s="97">
        <v>0</v>
      </c>
      <c r="E5" s="93"/>
      <c r="F5" s="97">
        <f t="array" ref="F5:X5">TRANSPOSE(E6:E$24)</f>
        <v>3</v>
      </c>
      <c r="G5" s="97">
        <v>2</v>
      </c>
      <c r="H5" s="97">
        <v>0</v>
      </c>
      <c r="I5" s="97">
        <v>2</v>
      </c>
      <c r="J5" s="97">
        <v>5</v>
      </c>
      <c r="K5" s="97">
        <v>10</v>
      </c>
      <c r="L5" s="97">
        <v>1</v>
      </c>
      <c r="M5" s="97">
        <v>3</v>
      </c>
      <c r="N5" s="97">
        <v>2</v>
      </c>
      <c r="O5" s="97">
        <v>4</v>
      </c>
      <c r="P5" s="97">
        <v>0</v>
      </c>
      <c r="Q5" s="97">
        <v>9</v>
      </c>
      <c r="R5" s="97">
        <v>13</v>
      </c>
      <c r="S5" s="97">
        <v>8</v>
      </c>
      <c r="T5" s="97">
        <v>15</v>
      </c>
      <c r="U5" s="97">
        <v>9</v>
      </c>
      <c r="V5" s="97">
        <v>6</v>
      </c>
      <c r="W5" s="97">
        <v>13</v>
      </c>
      <c r="X5" s="98">
        <v>9</v>
      </c>
    </row>
    <row r="6" spans="1:44" ht="15.75" customHeight="1">
      <c r="A6" s="92" t="s">
        <v>135</v>
      </c>
      <c r="B6" s="96">
        <v>13</v>
      </c>
      <c r="C6" s="97">
        <v>0</v>
      </c>
      <c r="D6" s="97">
        <v>4</v>
      </c>
      <c r="E6" s="97">
        <v>3</v>
      </c>
      <c r="F6" s="93"/>
      <c r="G6" s="97">
        <f t="array" ref="G6:X6">TRANSPOSE(F7:F$24)</f>
        <v>0</v>
      </c>
      <c r="H6" s="97">
        <v>7</v>
      </c>
      <c r="I6" s="97">
        <v>6</v>
      </c>
      <c r="J6" s="97">
        <v>7</v>
      </c>
      <c r="K6" s="97">
        <v>14</v>
      </c>
      <c r="L6" s="97">
        <v>7</v>
      </c>
      <c r="M6" s="97">
        <v>19</v>
      </c>
      <c r="N6" s="97">
        <v>8</v>
      </c>
      <c r="O6" s="97">
        <v>8</v>
      </c>
      <c r="P6" s="97">
        <v>7</v>
      </c>
      <c r="Q6" s="97">
        <v>7</v>
      </c>
      <c r="R6" s="97">
        <v>6</v>
      </c>
      <c r="S6" s="97">
        <v>7</v>
      </c>
      <c r="T6" s="97">
        <v>10</v>
      </c>
      <c r="U6" s="97">
        <v>3</v>
      </c>
      <c r="V6" s="97">
        <v>2</v>
      </c>
      <c r="W6" s="97">
        <v>11</v>
      </c>
      <c r="X6" s="98">
        <v>7</v>
      </c>
    </row>
    <row r="7" spans="1:44" ht="15.75" customHeight="1">
      <c r="A7" s="92" t="s">
        <v>136</v>
      </c>
      <c r="B7" s="96">
        <v>0</v>
      </c>
      <c r="C7" s="97">
        <v>0</v>
      </c>
      <c r="D7" s="97">
        <v>2</v>
      </c>
      <c r="E7" s="97">
        <v>2</v>
      </c>
      <c r="F7" s="97">
        <v>0</v>
      </c>
      <c r="G7" s="93"/>
      <c r="H7" s="97">
        <f t="array" ref="H7:X7">TRANSPOSE(G8:G$24)</f>
        <v>8</v>
      </c>
      <c r="I7" s="97">
        <v>9</v>
      </c>
      <c r="J7" s="97">
        <v>6</v>
      </c>
      <c r="K7" s="97">
        <v>9</v>
      </c>
      <c r="L7" s="97">
        <v>7</v>
      </c>
      <c r="M7" s="97">
        <v>16</v>
      </c>
      <c r="N7" s="97">
        <v>5</v>
      </c>
      <c r="O7" s="97">
        <v>5</v>
      </c>
      <c r="P7" s="97">
        <v>8</v>
      </c>
      <c r="Q7" s="97">
        <v>13</v>
      </c>
      <c r="R7" s="97">
        <v>4</v>
      </c>
      <c r="S7" s="97">
        <v>3</v>
      </c>
      <c r="T7" s="97">
        <v>3</v>
      </c>
      <c r="U7" s="97">
        <v>0</v>
      </c>
      <c r="V7" s="97">
        <v>1</v>
      </c>
      <c r="W7" s="97">
        <v>0</v>
      </c>
      <c r="X7" s="98">
        <v>5</v>
      </c>
    </row>
    <row r="8" spans="1:44" ht="15.75" customHeight="1">
      <c r="A8" s="92" t="s">
        <v>147</v>
      </c>
      <c r="B8" s="96">
        <v>0</v>
      </c>
      <c r="C8" s="97">
        <v>4</v>
      </c>
      <c r="D8" s="97">
        <v>2</v>
      </c>
      <c r="E8" s="97">
        <v>0</v>
      </c>
      <c r="F8" s="97">
        <v>7</v>
      </c>
      <c r="G8" s="97">
        <v>8</v>
      </c>
      <c r="H8" s="93"/>
      <c r="I8" s="97">
        <f t="array" ref="I8:X8">TRANSPOSE(H9:H$24)</f>
        <v>0</v>
      </c>
      <c r="J8" s="97">
        <v>13</v>
      </c>
      <c r="K8" s="97">
        <v>7</v>
      </c>
      <c r="L8" s="97">
        <v>11</v>
      </c>
      <c r="M8" s="97">
        <v>10</v>
      </c>
      <c r="N8" s="97">
        <v>18</v>
      </c>
      <c r="O8" s="97">
        <v>10</v>
      </c>
      <c r="P8" s="97">
        <v>3</v>
      </c>
      <c r="Q8" s="97">
        <v>9</v>
      </c>
      <c r="R8" s="97">
        <v>10</v>
      </c>
      <c r="S8" s="97">
        <v>4</v>
      </c>
      <c r="T8" s="97">
        <v>4</v>
      </c>
      <c r="U8" s="97">
        <v>5</v>
      </c>
      <c r="V8" s="97">
        <v>8</v>
      </c>
      <c r="W8" s="97">
        <v>4</v>
      </c>
      <c r="X8" s="98">
        <v>5</v>
      </c>
    </row>
    <row r="9" spans="1:44" ht="15.75" customHeight="1">
      <c r="A9" s="92" t="s">
        <v>146</v>
      </c>
      <c r="B9" s="96">
        <v>5</v>
      </c>
      <c r="C9" s="97">
        <v>7</v>
      </c>
      <c r="D9" s="97">
        <v>13</v>
      </c>
      <c r="E9" s="97">
        <v>2</v>
      </c>
      <c r="F9" s="97">
        <v>6</v>
      </c>
      <c r="G9" s="97">
        <v>9</v>
      </c>
      <c r="H9" s="97">
        <v>0</v>
      </c>
      <c r="I9" s="93"/>
      <c r="J9" s="97">
        <f t="array" ref="J9:X9">TRANSPOSE(I10:I$24)</f>
        <v>12</v>
      </c>
      <c r="K9" s="97">
        <v>12</v>
      </c>
      <c r="L9" s="97">
        <v>6</v>
      </c>
      <c r="M9" s="97">
        <v>10</v>
      </c>
      <c r="N9" s="97">
        <v>8</v>
      </c>
      <c r="O9" s="97">
        <v>9</v>
      </c>
      <c r="P9" s="97">
        <v>8</v>
      </c>
      <c r="Q9" s="97">
        <v>2</v>
      </c>
      <c r="R9" s="97">
        <v>6</v>
      </c>
      <c r="S9" s="97">
        <v>3</v>
      </c>
      <c r="T9" s="97">
        <v>8</v>
      </c>
      <c r="U9" s="97">
        <v>0</v>
      </c>
      <c r="V9" s="97">
        <v>0</v>
      </c>
      <c r="W9" s="97">
        <v>8</v>
      </c>
      <c r="X9" s="98">
        <v>4</v>
      </c>
    </row>
    <row r="10" spans="1:44" ht="15.75" customHeight="1">
      <c r="A10" s="92" t="s">
        <v>79</v>
      </c>
      <c r="B10" s="96">
        <v>4</v>
      </c>
      <c r="C10" s="97">
        <v>6</v>
      </c>
      <c r="D10" s="97">
        <v>4</v>
      </c>
      <c r="E10" s="97">
        <v>5</v>
      </c>
      <c r="F10" s="97">
        <v>7</v>
      </c>
      <c r="G10" s="97">
        <v>6</v>
      </c>
      <c r="H10" s="97">
        <v>13</v>
      </c>
      <c r="I10" s="97">
        <v>12</v>
      </c>
      <c r="J10" s="93"/>
      <c r="K10" s="97">
        <f t="array" ref="K10:X10">TRANSPOSE(J11:J$24)</f>
        <v>9</v>
      </c>
      <c r="L10" s="97">
        <v>14</v>
      </c>
      <c r="M10" s="97">
        <v>6</v>
      </c>
      <c r="N10" s="97">
        <v>4</v>
      </c>
      <c r="O10" s="97">
        <v>9</v>
      </c>
      <c r="P10" s="97">
        <v>10</v>
      </c>
      <c r="Q10" s="97">
        <v>7</v>
      </c>
      <c r="R10" s="97">
        <v>6</v>
      </c>
      <c r="S10" s="97">
        <v>3</v>
      </c>
      <c r="T10" s="97">
        <v>2</v>
      </c>
      <c r="U10" s="97">
        <v>5</v>
      </c>
      <c r="V10" s="97">
        <v>5</v>
      </c>
      <c r="W10" s="97">
        <v>9</v>
      </c>
      <c r="X10" s="98">
        <v>11</v>
      </c>
    </row>
    <row r="11" spans="1:44" ht="15.75" customHeight="1">
      <c r="A11" s="92" t="s">
        <v>151</v>
      </c>
      <c r="B11" s="96">
        <v>10</v>
      </c>
      <c r="C11" s="97">
        <v>10</v>
      </c>
      <c r="D11" s="97">
        <v>3</v>
      </c>
      <c r="E11" s="97">
        <v>10</v>
      </c>
      <c r="F11" s="97">
        <v>14</v>
      </c>
      <c r="G11" s="97">
        <v>9</v>
      </c>
      <c r="H11" s="97">
        <v>7</v>
      </c>
      <c r="I11" s="97">
        <v>12</v>
      </c>
      <c r="J11" s="97">
        <v>9</v>
      </c>
      <c r="K11" s="93"/>
      <c r="L11" s="97">
        <f t="array" ref="L11:X11">TRANSPOSE(K12:K$24)</f>
        <v>0</v>
      </c>
      <c r="M11" s="97">
        <v>11</v>
      </c>
      <c r="N11" s="97">
        <v>0</v>
      </c>
      <c r="O11" s="97">
        <v>0</v>
      </c>
      <c r="P11" s="97">
        <v>8</v>
      </c>
      <c r="Q11" s="97">
        <v>7</v>
      </c>
      <c r="R11" s="97">
        <v>6</v>
      </c>
      <c r="S11" s="97">
        <v>11</v>
      </c>
      <c r="T11" s="97">
        <v>14</v>
      </c>
      <c r="U11" s="97">
        <v>15</v>
      </c>
      <c r="V11" s="97">
        <v>7</v>
      </c>
      <c r="W11" s="97">
        <v>3</v>
      </c>
      <c r="X11" s="98">
        <v>4</v>
      </c>
    </row>
    <row r="12" spans="1:44" ht="15.75" customHeight="1">
      <c r="A12" s="92" t="s">
        <v>140</v>
      </c>
      <c r="B12" s="96">
        <v>8</v>
      </c>
      <c r="C12" s="97">
        <v>11</v>
      </c>
      <c r="D12" s="97">
        <v>5</v>
      </c>
      <c r="E12" s="97">
        <v>1</v>
      </c>
      <c r="F12" s="97">
        <v>7</v>
      </c>
      <c r="G12" s="97">
        <v>7</v>
      </c>
      <c r="H12" s="97">
        <v>11</v>
      </c>
      <c r="I12" s="97">
        <v>6</v>
      </c>
      <c r="J12" s="97">
        <v>14</v>
      </c>
      <c r="K12" s="97">
        <v>0</v>
      </c>
      <c r="L12" s="93"/>
      <c r="M12" s="97">
        <f t="array" ref="M12:X12">TRANSPOSE(L13:L$24)</f>
        <v>4</v>
      </c>
      <c r="N12" s="97">
        <v>24</v>
      </c>
      <c r="O12" s="97">
        <v>0</v>
      </c>
      <c r="P12" s="97">
        <v>11</v>
      </c>
      <c r="Q12" s="97">
        <v>3</v>
      </c>
      <c r="R12" s="97">
        <v>9</v>
      </c>
      <c r="S12" s="97">
        <v>4</v>
      </c>
      <c r="T12" s="97">
        <v>9</v>
      </c>
      <c r="U12" s="97">
        <v>7</v>
      </c>
      <c r="V12" s="97">
        <v>10</v>
      </c>
      <c r="W12" s="97">
        <v>4</v>
      </c>
      <c r="X12" s="98">
        <v>5</v>
      </c>
    </row>
    <row r="13" spans="1:44" ht="15.75" customHeight="1">
      <c r="A13" s="92" t="s">
        <v>76</v>
      </c>
      <c r="B13" s="96">
        <v>0</v>
      </c>
      <c r="C13" s="97">
        <v>3</v>
      </c>
      <c r="D13" s="97">
        <v>2</v>
      </c>
      <c r="E13" s="97">
        <v>3</v>
      </c>
      <c r="F13" s="97">
        <v>19</v>
      </c>
      <c r="G13" s="97">
        <v>16</v>
      </c>
      <c r="H13" s="97">
        <v>10</v>
      </c>
      <c r="I13" s="97">
        <v>10</v>
      </c>
      <c r="J13" s="97">
        <v>6</v>
      </c>
      <c r="K13" s="97">
        <v>11</v>
      </c>
      <c r="L13" s="97">
        <v>4</v>
      </c>
      <c r="M13" s="93"/>
      <c r="N13" s="97">
        <f t="array" ref="N13:X13">TRANSPOSE(M14:M$24)</f>
        <v>11</v>
      </c>
      <c r="O13" s="97">
        <v>20</v>
      </c>
      <c r="P13" s="97">
        <v>8</v>
      </c>
      <c r="Q13" s="97">
        <v>21</v>
      </c>
      <c r="R13" s="97">
        <v>7</v>
      </c>
      <c r="S13" s="97">
        <v>0</v>
      </c>
      <c r="T13" s="97">
        <v>3</v>
      </c>
      <c r="U13" s="97">
        <v>0</v>
      </c>
      <c r="V13" s="97">
        <v>4</v>
      </c>
      <c r="W13" s="97">
        <v>10</v>
      </c>
      <c r="X13" s="98">
        <v>2</v>
      </c>
    </row>
    <row r="14" spans="1:44" ht="15.75" customHeight="1">
      <c r="A14" s="92" t="s">
        <v>145</v>
      </c>
      <c r="B14" s="96">
        <v>3</v>
      </c>
      <c r="C14" s="97">
        <v>6</v>
      </c>
      <c r="D14" s="97">
        <v>7</v>
      </c>
      <c r="E14" s="97">
        <v>2</v>
      </c>
      <c r="F14" s="97">
        <v>8</v>
      </c>
      <c r="G14" s="97">
        <v>5</v>
      </c>
      <c r="H14" s="97">
        <v>18</v>
      </c>
      <c r="I14" s="97">
        <v>8</v>
      </c>
      <c r="J14" s="97">
        <v>4</v>
      </c>
      <c r="K14" s="97">
        <v>0</v>
      </c>
      <c r="L14" s="97">
        <v>24</v>
      </c>
      <c r="M14" s="97">
        <v>11</v>
      </c>
      <c r="N14" s="93"/>
      <c r="O14" s="97">
        <f t="array" ref="O14:X14">TRANSPOSE(N15:N$24)</f>
        <v>0</v>
      </c>
      <c r="P14" s="97">
        <v>7</v>
      </c>
      <c r="Q14" s="97">
        <v>6</v>
      </c>
      <c r="R14" s="97">
        <v>11</v>
      </c>
      <c r="S14" s="97">
        <v>7</v>
      </c>
      <c r="T14" s="97">
        <v>9</v>
      </c>
      <c r="U14" s="97">
        <v>7</v>
      </c>
      <c r="V14" s="97">
        <v>4</v>
      </c>
      <c r="W14" s="97">
        <v>15</v>
      </c>
      <c r="X14" s="98">
        <v>10</v>
      </c>
    </row>
    <row r="15" spans="1:44" ht="15.75" customHeight="1">
      <c r="A15" s="92" t="s">
        <v>142</v>
      </c>
      <c r="B15" s="96">
        <v>11</v>
      </c>
      <c r="C15" s="97">
        <v>5</v>
      </c>
      <c r="D15" s="97">
        <v>5</v>
      </c>
      <c r="E15" s="97">
        <v>4</v>
      </c>
      <c r="F15" s="97">
        <v>8</v>
      </c>
      <c r="G15" s="97">
        <v>5</v>
      </c>
      <c r="H15" s="97">
        <v>10</v>
      </c>
      <c r="I15" s="97">
        <v>9</v>
      </c>
      <c r="J15" s="97">
        <v>9</v>
      </c>
      <c r="K15" s="97">
        <v>0</v>
      </c>
      <c r="L15" s="97">
        <v>0</v>
      </c>
      <c r="M15" s="97">
        <v>20</v>
      </c>
      <c r="N15" s="97">
        <v>0</v>
      </c>
      <c r="O15" s="93"/>
      <c r="P15" s="97">
        <f t="array" ref="P15:X15">TRANSPOSE(O16:O$24)</f>
        <v>8</v>
      </c>
      <c r="Q15" s="97">
        <v>11</v>
      </c>
      <c r="R15" s="97">
        <v>16</v>
      </c>
      <c r="S15" s="97">
        <v>5</v>
      </c>
      <c r="T15" s="97">
        <v>8</v>
      </c>
      <c r="U15" s="97">
        <v>7</v>
      </c>
      <c r="V15" s="97">
        <v>11</v>
      </c>
      <c r="W15" s="97">
        <v>15</v>
      </c>
      <c r="X15" s="98">
        <v>5</v>
      </c>
    </row>
    <row r="16" spans="1:44" ht="15.75" customHeight="1">
      <c r="A16" s="92" t="s">
        <v>70</v>
      </c>
      <c r="B16" s="96">
        <v>11</v>
      </c>
      <c r="C16" s="97">
        <v>10</v>
      </c>
      <c r="D16" s="97">
        <v>8</v>
      </c>
      <c r="E16" s="97">
        <v>0</v>
      </c>
      <c r="F16" s="97">
        <v>7</v>
      </c>
      <c r="G16" s="97">
        <v>8</v>
      </c>
      <c r="H16" s="97">
        <v>3</v>
      </c>
      <c r="I16" s="97">
        <v>8</v>
      </c>
      <c r="J16" s="97">
        <v>10</v>
      </c>
      <c r="K16" s="97">
        <v>8</v>
      </c>
      <c r="L16" s="97">
        <v>11</v>
      </c>
      <c r="M16" s="97">
        <v>8</v>
      </c>
      <c r="N16" s="97">
        <v>7</v>
      </c>
      <c r="O16" s="97">
        <v>8</v>
      </c>
      <c r="P16" s="93"/>
      <c r="Q16" s="97">
        <f t="array" ref="Q16:X16">TRANSPOSE(P17:P$24)</f>
        <v>2</v>
      </c>
      <c r="R16" s="97">
        <v>6</v>
      </c>
      <c r="S16" s="97">
        <v>11</v>
      </c>
      <c r="T16" s="97">
        <v>3</v>
      </c>
      <c r="U16" s="97">
        <v>6</v>
      </c>
      <c r="V16" s="97">
        <v>14</v>
      </c>
      <c r="W16" s="97">
        <v>13</v>
      </c>
      <c r="X16" s="98">
        <v>16</v>
      </c>
    </row>
    <row r="17" spans="1:24" ht="15.75" customHeight="1">
      <c r="A17" s="92" t="s">
        <v>75</v>
      </c>
      <c r="B17" s="96">
        <v>7</v>
      </c>
      <c r="C17" s="97">
        <v>4</v>
      </c>
      <c r="D17" s="97">
        <v>0</v>
      </c>
      <c r="E17" s="97">
        <v>9</v>
      </c>
      <c r="F17" s="97">
        <v>7</v>
      </c>
      <c r="G17" s="97">
        <v>13</v>
      </c>
      <c r="H17" s="97">
        <v>9</v>
      </c>
      <c r="I17" s="97">
        <v>2</v>
      </c>
      <c r="J17" s="97">
        <v>7</v>
      </c>
      <c r="K17" s="97">
        <v>7</v>
      </c>
      <c r="L17" s="97">
        <v>3</v>
      </c>
      <c r="M17" s="97">
        <v>21</v>
      </c>
      <c r="N17" s="97">
        <v>6</v>
      </c>
      <c r="O17" s="97">
        <v>11</v>
      </c>
      <c r="P17" s="97">
        <v>2</v>
      </c>
      <c r="Q17" s="93"/>
      <c r="R17" s="97">
        <f t="array" ref="R17:X17">TRANSPOSE(Q18:Q$24)</f>
        <v>14</v>
      </c>
      <c r="S17" s="97">
        <v>6</v>
      </c>
      <c r="T17" s="97">
        <v>15</v>
      </c>
      <c r="U17" s="97">
        <v>6</v>
      </c>
      <c r="V17" s="97">
        <v>13</v>
      </c>
      <c r="W17" s="97">
        <v>8</v>
      </c>
      <c r="X17" s="98">
        <v>6</v>
      </c>
    </row>
    <row r="18" spans="1:24" ht="15.75" customHeight="1">
      <c r="A18" s="92" t="s">
        <v>130</v>
      </c>
      <c r="B18" s="96">
        <v>16</v>
      </c>
      <c r="C18" s="97">
        <v>13</v>
      </c>
      <c r="D18" s="97">
        <v>5</v>
      </c>
      <c r="E18" s="97">
        <v>13</v>
      </c>
      <c r="F18" s="97">
        <v>6</v>
      </c>
      <c r="G18" s="97">
        <v>4</v>
      </c>
      <c r="H18" s="97">
        <v>10</v>
      </c>
      <c r="I18" s="97">
        <v>6</v>
      </c>
      <c r="J18" s="97">
        <v>6</v>
      </c>
      <c r="K18" s="97">
        <v>6</v>
      </c>
      <c r="L18" s="97">
        <v>9</v>
      </c>
      <c r="M18" s="97">
        <v>7</v>
      </c>
      <c r="N18" s="97">
        <v>11</v>
      </c>
      <c r="O18" s="97">
        <v>16</v>
      </c>
      <c r="P18" s="97">
        <v>6</v>
      </c>
      <c r="Q18" s="97">
        <v>14</v>
      </c>
      <c r="R18" s="93"/>
      <c r="S18" s="97">
        <f t="array" ref="S18:X18">TRANSPOSE(R19:R$24)</f>
        <v>0</v>
      </c>
      <c r="T18" s="97">
        <v>16</v>
      </c>
      <c r="U18" s="97">
        <v>5</v>
      </c>
      <c r="V18" s="97">
        <v>10</v>
      </c>
      <c r="W18" s="97">
        <v>15</v>
      </c>
      <c r="X18" s="98">
        <v>0</v>
      </c>
    </row>
    <row r="19" spans="1:24" ht="15.75" customHeight="1">
      <c r="A19" s="92" t="s">
        <v>133</v>
      </c>
      <c r="B19" s="96">
        <v>13</v>
      </c>
      <c r="C19" s="97">
        <v>13</v>
      </c>
      <c r="D19" s="97">
        <v>6</v>
      </c>
      <c r="E19" s="97">
        <v>8</v>
      </c>
      <c r="F19" s="97">
        <v>7</v>
      </c>
      <c r="G19" s="97">
        <v>3</v>
      </c>
      <c r="H19" s="97">
        <v>4</v>
      </c>
      <c r="I19" s="97">
        <v>3</v>
      </c>
      <c r="J19" s="97">
        <v>3</v>
      </c>
      <c r="K19" s="97">
        <v>11</v>
      </c>
      <c r="L19" s="97">
        <v>4</v>
      </c>
      <c r="M19" s="97">
        <v>0</v>
      </c>
      <c r="N19" s="97">
        <v>7</v>
      </c>
      <c r="O19" s="97">
        <v>5</v>
      </c>
      <c r="P19" s="97">
        <v>11</v>
      </c>
      <c r="Q19" s="97">
        <v>6</v>
      </c>
      <c r="R19" s="97">
        <v>0</v>
      </c>
      <c r="S19" s="93"/>
      <c r="T19" s="97">
        <f t="array" ref="T19:X19">TRANSPOSE(S20:S$24)</f>
        <v>0</v>
      </c>
      <c r="U19" s="97">
        <v>28</v>
      </c>
      <c r="V19" s="97">
        <v>14</v>
      </c>
      <c r="W19" s="97">
        <v>8</v>
      </c>
      <c r="X19" s="98">
        <v>24</v>
      </c>
    </row>
    <row r="20" spans="1:24" ht="15.75" customHeight="1">
      <c r="A20" s="92" t="s">
        <v>149</v>
      </c>
      <c r="B20" s="96">
        <v>17</v>
      </c>
      <c r="C20" s="97">
        <v>5</v>
      </c>
      <c r="D20" s="97">
        <v>5</v>
      </c>
      <c r="E20" s="97">
        <v>15</v>
      </c>
      <c r="F20" s="97">
        <v>10</v>
      </c>
      <c r="G20" s="97">
        <v>3</v>
      </c>
      <c r="H20" s="97">
        <v>4</v>
      </c>
      <c r="I20" s="97">
        <v>8</v>
      </c>
      <c r="J20" s="97">
        <v>2</v>
      </c>
      <c r="K20" s="97">
        <v>14</v>
      </c>
      <c r="L20" s="97">
        <v>9</v>
      </c>
      <c r="M20" s="97">
        <v>3</v>
      </c>
      <c r="N20" s="97">
        <v>9</v>
      </c>
      <c r="O20" s="97">
        <v>8</v>
      </c>
      <c r="P20" s="97">
        <v>3</v>
      </c>
      <c r="Q20" s="97">
        <v>15</v>
      </c>
      <c r="R20" s="97">
        <v>16</v>
      </c>
      <c r="S20" s="97">
        <v>0</v>
      </c>
      <c r="T20" s="93"/>
      <c r="U20" s="97">
        <f t="array" ref="U20:X20">TRANSPOSE(T21:T$24)</f>
        <v>0</v>
      </c>
      <c r="V20" s="97">
        <v>11</v>
      </c>
      <c r="W20" s="97">
        <v>3</v>
      </c>
      <c r="X20" s="98">
        <v>14</v>
      </c>
    </row>
    <row r="21" spans="1:24" ht="15.75" customHeight="1">
      <c r="A21" s="92" t="s">
        <v>143</v>
      </c>
      <c r="B21" s="96">
        <v>9</v>
      </c>
      <c r="C21" s="97">
        <v>19</v>
      </c>
      <c r="D21" s="97">
        <v>5</v>
      </c>
      <c r="E21" s="97">
        <v>9</v>
      </c>
      <c r="F21" s="97">
        <v>3</v>
      </c>
      <c r="G21" s="97">
        <v>0</v>
      </c>
      <c r="H21" s="97">
        <v>5</v>
      </c>
      <c r="I21" s="97">
        <v>0</v>
      </c>
      <c r="J21" s="97">
        <v>5</v>
      </c>
      <c r="K21" s="97">
        <v>15</v>
      </c>
      <c r="L21" s="97">
        <v>7</v>
      </c>
      <c r="M21" s="97">
        <v>0</v>
      </c>
      <c r="N21" s="97">
        <v>7</v>
      </c>
      <c r="O21" s="97">
        <v>7</v>
      </c>
      <c r="P21" s="97">
        <v>6</v>
      </c>
      <c r="Q21" s="97">
        <v>6</v>
      </c>
      <c r="R21" s="97">
        <v>5</v>
      </c>
      <c r="S21" s="97">
        <v>28</v>
      </c>
      <c r="T21" s="97">
        <v>0</v>
      </c>
      <c r="U21" s="93"/>
      <c r="V21" s="97">
        <f t="array" ref="V21:X21">TRANSPOSE(U22:U$24)</f>
        <v>14</v>
      </c>
      <c r="W21" s="97">
        <v>12</v>
      </c>
      <c r="X21" s="98">
        <v>16</v>
      </c>
    </row>
    <row r="22" spans="1:24" ht="15.75" customHeight="1">
      <c r="A22" s="92" t="s">
        <v>72</v>
      </c>
      <c r="B22" s="96">
        <v>8</v>
      </c>
      <c r="C22" s="97">
        <v>14</v>
      </c>
      <c r="D22" s="97">
        <v>5</v>
      </c>
      <c r="E22" s="97">
        <v>6</v>
      </c>
      <c r="F22" s="97">
        <v>2</v>
      </c>
      <c r="G22" s="97">
        <v>1</v>
      </c>
      <c r="H22" s="97">
        <v>8</v>
      </c>
      <c r="I22" s="97">
        <v>0</v>
      </c>
      <c r="J22" s="97">
        <v>5</v>
      </c>
      <c r="K22" s="97">
        <v>7</v>
      </c>
      <c r="L22" s="97">
        <v>10</v>
      </c>
      <c r="M22" s="97">
        <v>4</v>
      </c>
      <c r="N22" s="97">
        <v>4</v>
      </c>
      <c r="O22" s="97">
        <v>11</v>
      </c>
      <c r="P22" s="97">
        <v>14</v>
      </c>
      <c r="Q22" s="97">
        <v>13</v>
      </c>
      <c r="R22" s="97">
        <v>10</v>
      </c>
      <c r="S22" s="97">
        <v>14</v>
      </c>
      <c r="T22" s="97">
        <v>11</v>
      </c>
      <c r="U22" s="97">
        <v>14</v>
      </c>
      <c r="V22" s="93"/>
      <c r="W22" s="97">
        <f t="array" ref="W22:X22">TRANSPOSE(V23:V$24)</f>
        <v>14</v>
      </c>
      <c r="X22" s="98">
        <v>15</v>
      </c>
    </row>
    <row r="23" spans="1:24" ht="15.75" customHeight="1">
      <c r="A23" s="92" t="s">
        <v>78</v>
      </c>
      <c r="B23" s="96">
        <v>10</v>
      </c>
      <c r="C23" s="97">
        <v>14</v>
      </c>
      <c r="D23" s="97">
        <v>12</v>
      </c>
      <c r="E23" s="97">
        <v>13</v>
      </c>
      <c r="F23" s="97">
        <v>11</v>
      </c>
      <c r="G23" s="97">
        <v>0</v>
      </c>
      <c r="H23" s="97">
        <v>4</v>
      </c>
      <c r="I23" s="97">
        <v>8</v>
      </c>
      <c r="J23" s="97">
        <v>9</v>
      </c>
      <c r="K23" s="97">
        <v>3</v>
      </c>
      <c r="L23" s="97">
        <v>4</v>
      </c>
      <c r="M23" s="97">
        <v>10</v>
      </c>
      <c r="N23" s="97">
        <v>15</v>
      </c>
      <c r="O23" s="97">
        <v>15</v>
      </c>
      <c r="P23" s="97">
        <v>13</v>
      </c>
      <c r="Q23" s="97">
        <v>8</v>
      </c>
      <c r="R23" s="97">
        <v>15</v>
      </c>
      <c r="S23" s="97">
        <v>8</v>
      </c>
      <c r="T23" s="97">
        <v>3</v>
      </c>
      <c r="U23" s="97">
        <v>12</v>
      </c>
      <c r="V23" s="97">
        <v>14</v>
      </c>
      <c r="W23" s="93"/>
      <c r="X23" s="98">
        <f t="array" ref="X23">TRANSPOSE(W24:W$24)</f>
        <v>10</v>
      </c>
    </row>
    <row r="24" spans="1:24" ht="15.75" customHeight="1">
      <c r="A24" s="92" t="s">
        <v>67</v>
      </c>
      <c r="B24" s="99">
        <v>14</v>
      </c>
      <c r="C24" s="100">
        <v>11</v>
      </c>
      <c r="D24" s="100">
        <v>5</v>
      </c>
      <c r="E24" s="100">
        <v>9</v>
      </c>
      <c r="F24" s="100">
        <v>7</v>
      </c>
      <c r="G24" s="100">
        <v>5</v>
      </c>
      <c r="H24" s="100">
        <v>5</v>
      </c>
      <c r="I24" s="100">
        <v>4</v>
      </c>
      <c r="J24" s="100">
        <v>11</v>
      </c>
      <c r="K24" s="100">
        <v>4</v>
      </c>
      <c r="L24" s="100">
        <v>5</v>
      </c>
      <c r="M24" s="100">
        <v>2</v>
      </c>
      <c r="N24" s="100">
        <v>10</v>
      </c>
      <c r="O24" s="100">
        <v>5</v>
      </c>
      <c r="P24" s="100">
        <v>16</v>
      </c>
      <c r="Q24" s="100">
        <v>6</v>
      </c>
      <c r="R24" s="100">
        <v>0</v>
      </c>
      <c r="S24" s="100">
        <v>24</v>
      </c>
      <c r="T24" s="100">
        <v>14</v>
      </c>
      <c r="U24" s="100">
        <v>16</v>
      </c>
      <c r="V24" s="100">
        <v>15</v>
      </c>
      <c r="W24" s="100">
        <v>10</v>
      </c>
      <c r="X24" s="93"/>
    </row>
    <row r="25" spans="1:24" ht="15.75" customHeight="1">
      <c r="A25" s="72"/>
    </row>
    <row r="26" spans="1:24" ht="15.75" customHeight="1">
      <c r="A26" s="72"/>
    </row>
    <row r="27" spans="1:24" ht="15.75" customHeight="1">
      <c r="A27" s="72"/>
    </row>
    <row r="28" spans="1:24" ht="15.75" customHeight="1">
      <c r="A28" s="72"/>
    </row>
    <row r="29" spans="1:24" ht="15.75" customHeight="1">
      <c r="A29" s="72"/>
    </row>
    <row r="30" spans="1:24" ht="15.75" customHeight="1">
      <c r="A30" s="72"/>
    </row>
    <row r="31" spans="1:24" ht="15.75" customHeight="1">
      <c r="A31" s="72"/>
    </row>
    <row r="32" spans="1:24" ht="15.75" customHeight="1">
      <c r="A32" s="72"/>
    </row>
    <row r="33" spans="1:34" ht="15.75" customHeight="1">
      <c r="A33" s="72"/>
    </row>
    <row r="34" spans="1:34" ht="15.75" customHeight="1">
      <c r="A34" s="72"/>
    </row>
    <row r="35" spans="1:34" ht="15.75" customHeight="1">
      <c r="A35" s="101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</row>
    <row r="36" spans="1:34" ht="15.75" customHeight="1">
      <c r="A36" s="101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</row>
    <row r="37" spans="1:34" ht="15.75" customHeight="1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</row>
    <row r="38" spans="1:34" ht="15.75" customHeight="1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</row>
    <row r="39" spans="1:34" ht="13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</row>
    <row r="40" spans="1:34" ht="13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</row>
    <row r="41" spans="1:34" ht="13">
      <c r="A41" s="101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</row>
    <row r="42" spans="1:34" ht="13">
      <c r="A42" s="101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</row>
    <row r="43" spans="1:34" ht="13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3"/>
      <c r="AC43" s="102"/>
      <c r="AD43" s="102"/>
      <c r="AE43" s="102"/>
      <c r="AF43" s="102"/>
      <c r="AG43" s="102"/>
      <c r="AH43" s="102"/>
    </row>
    <row r="44" spans="1:34" ht="13">
      <c r="A44" s="101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3"/>
      <c r="AC44" s="102"/>
      <c r="AD44" s="102"/>
      <c r="AE44" s="102"/>
      <c r="AF44" s="102"/>
      <c r="AG44" s="102"/>
      <c r="AH44" s="102"/>
    </row>
    <row r="45" spans="1:34" ht="13">
      <c r="A45" s="101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3"/>
      <c r="AC45" s="102"/>
      <c r="AD45" s="102"/>
      <c r="AE45" s="102"/>
      <c r="AF45" s="102"/>
      <c r="AG45" s="102"/>
      <c r="AH45" s="102"/>
    </row>
    <row r="46" spans="1:34" ht="13">
      <c r="A46" s="101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3"/>
      <c r="AC46" s="102"/>
      <c r="AD46" s="102"/>
      <c r="AE46" s="102"/>
      <c r="AF46" s="102"/>
      <c r="AG46" s="102"/>
      <c r="AH46" s="102"/>
    </row>
    <row r="47" spans="1:34" ht="13">
      <c r="A47" s="101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</row>
    <row r="48" spans="1:34" ht="13">
      <c r="A48" s="101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</row>
    <row r="49" spans="1:34" ht="13">
      <c r="A49" s="101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</row>
    <row r="50" spans="1:34" ht="13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</row>
    <row r="51" spans="1:34" ht="13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</row>
    <row r="52" spans="1:34" ht="13">
      <c r="A52" s="101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</row>
    <row r="53" spans="1:34" ht="13">
      <c r="A53" s="101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</row>
    <row r="54" spans="1:34" ht="13">
      <c r="A54" s="101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</row>
    <row r="55" spans="1:34" ht="13">
      <c r="A55" s="101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1:34" ht="13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</row>
    <row r="57" spans="1:34" ht="13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</row>
    <row r="58" spans="1:34" ht="13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</row>
    <row r="59" spans="1:34" ht="13">
      <c r="A59" s="101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</row>
    <row r="60" spans="1:34" ht="13">
      <c r="A60" s="101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</row>
    <row r="61" spans="1:34" ht="13">
      <c r="A61" s="101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</row>
    <row r="62" spans="1:34" ht="13">
      <c r="A62" s="101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</row>
    <row r="63" spans="1:34" ht="13">
      <c r="A63" s="101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</row>
    <row r="64" spans="1:34" ht="13">
      <c r="A64" s="101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</row>
    <row r="65" spans="1:34" ht="13">
      <c r="A65" s="101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</row>
    <row r="66" spans="1:34" ht="13">
      <c r="A66" s="101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</row>
    <row r="67" spans="1:34" ht="13">
      <c r="A67" s="101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</row>
    <row r="68" spans="1:34" ht="13">
      <c r="A68" s="101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</row>
    <row r="69" spans="1:34" ht="13">
      <c r="A69" s="101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</row>
    <row r="70" spans="1:34" ht="13">
      <c r="A70" s="101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</row>
    <row r="71" spans="1:34" ht="13">
      <c r="A71" s="101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</row>
    <row r="72" spans="1:34" ht="13">
      <c r="A72" s="101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</row>
    <row r="73" spans="1:34" ht="13">
      <c r="A73" s="101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</row>
    <row r="74" spans="1:34" ht="13">
      <c r="A74" s="101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</row>
    <row r="75" spans="1:34" ht="13">
      <c r="A75" s="101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</row>
    <row r="76" spans="1:34" ht="13">
      <c r="A76" s="101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</row>
    <row r="77" spans="1:34" ht="13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</row>
    <row r="78" spans="1:34" ht="13">
      <c r="A78" s="101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</row>
    <row r="79" spans="1:34" ht="13">
      <c r="A79" s="101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34" ht="13">
      <c r="A80" s="101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</row>
    <row r="81" spans="1:34" ht="13">
      <c r="A81" s="101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</row>
    <row r="82" spans="1:34" ht="13">
      <c r="A82" s="101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</row>
    <row r="83" spans="1:34" ht="13">
      <c r="A83" s="101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</row>
    <row r="84" spans="1:34" ht="13">
      <c r="A84" s="101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</row>
    <row r="85" spans="1:34" ht="13">
      <c r="A85" s="101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</row>
    <row r="86" spans="1:34" ht="13">
      <c r="A86" s="101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</row>
    <row r="87" spans="1:34" ht="13">
      <c r="A87" s="101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</row>
    <row r="88" spans="1:34" ht="13">
      <c r="A88" s="101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</row>
    <row r="89" spans="1:34" ht="13">
      <c r="A89" s="101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</row>
    <row r="90" spans="1:34" ht="13">
      <c r="A90" s="101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</row>
    <row r="91" spans="1:34" ht="13">
      <c r="A91" s="101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</row>
    <row r="92" spans="1:34" ht="13">
      <c r="A92" s="101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</row>
    <row r="93" spans="1:34" ht="13">
      <c r="A93" s="101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</row>
    <row r="94" spans="1:34" ht="13">
      <c r="A94" s="101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</row>
    <row r="95" spans="1:34" ht="13">
      <c r="A95" s="101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</row>
    <row r="96" spans="1:34" ht="13">
      <c r="A96" s="101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</row>
    <row r="97" spans="1:34" ht="13">
      <c r="A97" s="101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</row>
    <row r="98" spans="1:34" ht="13">
      <c r="A98" s="101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</row>
    <row r="99" spans="1:34" ht="13">
      <c r="A99" s="101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</row>
    <row r="100" spans="1:34" ht="13">
      <c r="A100" s="101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</row>
    <row r="101" spans="1:34" ht="13">
      <c r="A101" s="101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</row>
    <row r="102" spans="1:34" ht="13">
      <c r="A102" s="101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</row>
    <row r="103" spans="1:34" ht="13">
      <c r="A103" s="101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</row>
    <row r="104" spans="1:34" ht="13">
      <c r="A104" s="101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</row>
    <row r="105" spans="1:34" ht="13">
      <c r="A105" s="101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</row>
    <row r="106" spans="1:34" ht="13">
      <c r="A106" s="101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</row>
    <row r="107" spans="1:34" ht="13">
      <c r="A107" s="101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</row>
    <row r="108" spans="1:34" ht="13">
      <c r="A108" s="101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</row>
    <row r="109" spans="1:34" ht="13">
      <c r="A109" s="101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</row>
    <row r="110" spans="1:34" ht="13">
      <c r="A110" s="101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</row>
    <row r="111" spans="1:34" ht="13">
      <c r="A111" s="101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</row>
    <row r="112" spans="1:34" ht="13">
      <c r="A112" s="101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</row>
    <row r="113" spans="1:34" ht="13">
      <c r="A113" s="101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</row>
    <row r="114" spans="1:34" ht="13">
      <c r="A114" s="101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</row>
    <row r="115" spans="1:34" ht="13">
      <c r="A115" s="101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</row>
    <row r="116" spans="1:34" ht="13">
      <c r="A116" s="101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</row>
    <row r="117" spans="1:34" ht="13">
      <c r="A117" s="101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</row>
    <row r="118" spans="1:34" ht="13">
      <c r="A118" s="101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</row>
    <row r="119" spans="1:34" ht="13">
      <c r="A119" s="101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</row>
    <row r="120" spans="1:34" ht="13">
      <c r="A120" s="101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</row>
    <row r="121" spans="1:34" ht="13">
      <c r="A121" s="101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</row>
    <row r="122" spans="1:34" ht="13">
      <c r="A122" s="101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</row>
    <row r="123" spans="1:34" ht="13">
      <c r="A123" s="101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</row>
    <row r="124" spans="1:34" ht="13">
      <c r="A124" s="101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</row>
    <row r="125" spans="1:34" ht="13">
      <c r="A125" s="101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</row>
    <row r="126" spans="1:34" ht="13">
      <c r="A126" s="101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</row>
    <row r="127" spans="1:34" ht="13">
      <c r="A127" s="101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</row>
    <row r="128" spans="1:34" ht="13">
      <c r="A128" s="101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</row>
    <row r="129" spans="1:34" ht="13">
      <c r="A129" s="101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</row>
    <row r="130" spans="1:34" ht="13">
      <c r="A130" s="101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</row>
    <row r="131" spans="1:34" ht="13">
      <c r="A131" s="101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</row>
    <row r="132" spans="1:34" ht="13">
      <c r="A132" s="101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</row>
    <row r="133" spans="1:34" ht="13">
      <c r="A133" s="101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</row>
    <row r="134" spans="1:34" ht="13">
      <c r="A134" s="101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</row>
    <row r="135" spans="1:34" ht="13">
      <c r="A135" s="101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</row>
    <row r="136" spans="1:34" ht="13">
      <c r="A136" s="101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</row>
    <row r="137" spans="1:34" ht="13">
      <c r="A137" s="101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</row>
    <row r="138" spans="1:34" ht="13">
      <c r="A138" s="101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</row>
    <row r="139" spans="1:34" ht="13">
      <c r="A139" s="101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</row>
    <row r="140" spans="1:34" ht="13">
      <c r="A140" s="101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</row>
    <row r="141" spans="1:34" ht="13">
      <c r="A141" s="101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</row>
    <row r="142" spans="1:34" ht="13">
      <c r="A142" s="101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</row>
    <row r="143" spans="1:34" ht="13">
      <c r="A143" s="101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</row>
    <row r="144" spans="1:34" ht="13">
      <c r="A144" s="101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</row>
    <row r="145" spans="1:34" ht="13">
      <c r="A145" s="101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</row>
    <row r="146" spans="1:34" ht="13">
      <c r="A146" s="101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</row>
    <row r="147" spans="1:34" ht="13">
      <c r="A147" s="101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</row>
    <row r="148" spans="1:34" ht="13">
      <c r="A148" s="101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</row>
    <row r="149" spans="1:34" ht="13">
      <c r="A149" s="101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</row>
    <row r="150" spans="1:34" ht="13">
      <c r="A150" s="101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</row>
    <row r="151" spans="1:34" ht="13">
      <c r="A151" s="101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</row>
    <row r="152" spans="1:34" ht="13">
      <c r="A152" s="101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</row>
    <row r="153" spans="1:34" ht="13">
      <c r="A153" s="101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</row>
    <row r="154" spans="1:34" ht="13">
      <c r="A154" s="101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</row>
    <row r="155" spans="1:34" ht="13">
      <c r="A155" s="101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</row>
    <row r="156" spans="1:34" ht="13">
      <c r="A156" s="101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</row>
    <row r="157" spans="1:34" ht="13">
      <c r="A157" s="101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</row>
    <row r="158" spans="1:34" ht="13">
      <c r="A158" s="101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</row>
    <row r="159" spans="1:34" ht="13">
      <c r="A159" s="101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</row>
    <row r="160" spans="1:34" ht="13">
      <c r="A160" s="101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</row>
    <row r="161" spans="1:34" ht="13">
      <c r="A161" s="101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</row>
    <row r="162" spans="1:34" ht="13">
      <c r="A162" s="101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</row>
    <row r="163" spans="1:34" ht="13">
      <c r="A163" s="101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</row>
    <row r="164" spans="1:34" ht="13">
      <c r="A164" s="101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</row>
    <row r="165" spans="1:34" ht="13">
      <c r="A165" s="101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</row>
    <row r="166" spans="1:34" ht="13">
      <c r="A166" s="101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</row>
    <row r="167" spans="1:34" ht="13">
      <c r="A167" s="101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</row>
    <row r="168" spans="1:34" ht="13">
      <c r="A168" s="101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</row>
    <row r="169" spans="1:34" ht="13">
      <c r="A169" s="101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</row>
    <row r="170" spans="1:34" ht="13">
      <c r="A170" s="101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</row>
    <row r="171" spans="1:34" ht="13">
      <c r="A171" s="101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</row>
    <row r="172" spans="1:34" ht="13">
      <c r="A172" s="101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</row>
    <row r="173" spans="1:34" ht="13">
      <c r="A173" s="101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</row>
    <row r="174" spans="1:34" ht="13">
      <c r="A174" s="101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</row>
    <row r="175" spans="1:34" ht="13">
      <c r="A175" s="101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</row>
    <row r="176" spans="1:34" ht="13">
      <c r="A176" s="101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</row>
    <row r="177" spans="1:34" ht="13">
      <c r="A177" s="101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</row>
    <row r="178" spans="1:34" ht="13">
      <c r="A178" s="101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</row>
    <row r="179" spans="1:34" ht="13">
      <c r="A179" s="101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</row>
    <row r="180" spans="1:34" ht="13">
      <c r="A180" s="101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</row>
    <row r="181" spans="1:34" ht="13">
      <c r="A181" s="101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</row>
    <row r="182" spans="1:34" ht="13">
      <c r="A182" s="101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</row>
    <row r="183" spans="1:34" ht="13">
      <c r="A183" s="101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</row>
    <row r="184" spans="1:34" ht="13">
      <c r="A184" s="101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</row>
    <row r="185" spans="1:34" ht="13">
      <c r="A185" s="101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</row>
    <row r="186" spans="1:34" ht="13">
      <c r="A186" s="101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</row>
    <row r="187" spans="1:34" ht="13">
      <c r="A187" s="101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</row>
    <row r="188" spans="1:34" ht="13">
      <c r="A188" s="101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</row>
    <row r="189" spans="1:34" ht="13">
      <c r="A189" s="101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</row>
    <row r="190" spans="1:34" ht="13">
      <c r="A190" s="101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</row>
    <row r="191" spans="1:34" ht="13">
      <c r="A191" s="101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</row>
    <row r="192" spans="1:34" ht="13">
      <c r="A192" s="101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</row>
    <row r="193" spans="1:34" ht="13">
      <c r="A193" s="101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</row>
    <row r="194" spans="1:34" ht="13">
      <c r="A194" s="101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</row>
    <row r="195" spans="1:34" ht="13">
      <c r="A195" s="101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</row>
    <row r="196" spans="1:34" ht="13">
      <c r="A196" s="101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</row>
    <row r="197" spans="1:34" ht="13">
      <c r="A197" s="101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</row>
    <row r="198" spans="1:34" ht="13">
      <c r="A198" s="101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</row>
    <row r="199" spans="1:34" ht="13">
      <c r="A199" s="101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</row>
    <row r="200" spans="1:34" ht="13">
      <c r="A200" s="101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</row>
    <row r="201" spans="1:34" ht="13">
      <c r="A201" s="101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</row>
    <row r="202" spans="1:34" ht="13">
      <c r="A202" s="101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</row>
    <row r="203" spans="1:34" ht="13">
      <c r="A203" s="101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</row>
    <row r="204" spans="1:34" ht="13">
      <c r="A204" s="101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</row>
    <row r="205" spans="1:34" ht="13">
      <c r="A205" s="101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</row>
    <row r="206" spans="1:34" ht="13">
      <c r="A206" s="101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</row>
    <row r="207" spans="1:34" ht="13">
      <c r="A207" s="101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</row>
    <row r="208" spans="1:34" ht="13">
      <c r="A208" s="101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</row>
    <row r="209" spans="1:34" ht="13">
      <c r="A209" s="101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</row>
    <row r="210" spans="1:34" ht="13">
      <c r="A210" s="101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</row>
    <row r="211" spans="1:34" ht="13">
      <c r="A211" s="101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</row>
    <row r="212" spans="1:34" ht="13">
      <c r="A212" s="101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</row>
    <row r="213" spans="1:34" ht="13">
      <c r="A213" s="101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</row>
    <row r="214" spans="1:34" ht="13">
      <c r="A214" s="101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</row>
    <row r="215" spans="1:34" ht="13">
      <c r="A215" s="101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</row>
    <row r="216" spans="1:34" ht="13">
      <c r="A216" s="101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</row>
    <row r="217" spans="1:34" ht="13">
      <c r="A217" s="101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</row>
    <row r="218" spans="1:34" ht="13">
      <c r="A218" s="101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</row>
    <row r="219" spans="1:34" ht="13">
      <c r="A219" s="101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</row>
    <row r="220" spans="1:34" ht="13">
      <c r="A220" s="101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</row>
    <row r="221" spans="1:34" ht="13">
      <c r="A221" s="101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</row>
    <row r="222" spans="1:34" ht="13">
      <c r="A222" s="101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</row>
    <row r="223" spans="1:34" ht="13">
      <c r="A223" s="101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</row>
    <row r="224" spans="1:34" ht="13">
      <c r="A224" s="101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</row>
    <row r="225" spans="1:34" ht="13">
      <c r="A225" s="101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</row>
    <row r="226" spans="1:34" ht="13">
      <c r="A226" s="101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</row>
    <row r="227" spans="1:34" ht="13">
      <c r="A227" s="101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</row>
    <row r="228" spans="1:34" ht="13">
      <c r="A228" s="101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</row>
    <row r="229" spans="1:34" ht="13">
      <c r="A229" s="101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</row>
    <row r="230" spans="1:34" ht="13">
      <c r="A230" s="101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</row>
    <row r="231" spans="1:34" ht="13">
      <c r="A231" s="101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</row>
    <row r="232" spans="1:34" ht="13">
      <c r="A232" s="101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</row>
    <row r="233" spans="1:34" ht="13">
      <c r="A233" s="101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</row>
    <row r="234" spans="1:34" ht="13">
      <c r="A234" s="101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</row>
    <row r="235" spans="1:34" ht="13">
      <c r="A235" s="101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</row>
    <row r="236" spans="1:34" ht="13">
      <c r="A236" s="101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</row>
    <row r="237" spans="1:34" ht="13">
      <c r="A237" s="101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</row>
    <row r="238" spans="1:34" ht="13">
      <c r="A238" s="101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</row>
    <row r="239" spans="1:34" ht="13">
      <c r="A239" s="101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</row>
    <row r="240" spans="1:34" ht="13">
      <c r="A240" s="101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</row>
    <row r="241" spans="1:34" ht="13">
      <c r="A241" s="101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</row>
    <row r="242" spans="1:34" ht="13">
      <c r="A242" s="101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</row>
    <row r="243" spans="1:34" ht="13">
      <c r="A243" s="101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</row>
    <row r="244" spans="1:34" ht="13">
      <c r="A244" s="101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</row>
    <row r="245" spans="1:34" ht="13">
      <c r="A245" s="101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</row>
    <row r="246" spans="1:34" ht="13">
      <c r="A246" s="101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</row>
    <row r="247" spans="1:34" ht="13">
      <c r="A247" s="101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</row>
    <row r="248" spans="1:34" ht="13">
      <c r="A248" s="101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</row>
    <row r="249" spans="1:34" ht="13">
      <c r="A249" s="101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</row>
    <row r="250" spans="1:34" ht="13">
      <c r="A250" s="101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</row>
    <row r="251" spans="1:34" ht="13">
      <c r="A251" s="101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</row>
    <row r="252" spans="1:34" ht="13">
      <c r="A252" s="101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</row>
    <row r="253" spans="1:34" ht="13">
      <c r="A253" s="101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</row>
    <row r="254" spans="1:34" ht="13">
      <c r="A254" s="101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</row>
    <row r="255" spans="1:34" ht="13">
      <c r="A255" s="101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</row>
    <row r="256" spans="1:34" ht="13">
      <c r="A256" s="101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</row>
    <row r="257" spans="1:34" ht="13">
      <c r="A257" s="101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</row>
    <row r="258" spans="1:34" ht="13">
      <c r="A258" s="101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</row>
    <row r="259" spans="1:34" ht="13">
      <c r="A259" s="101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</row>
    <row r="260" spans="1:34" ht="13">
      <c r="A260" s="101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</row>
    <row r="261" spans="1:34" ht="13">
      <c r="A261" s="101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</row>
    <row r="262" spans="1:34" ht="13">
      <c r="A262" s="101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</row>
    <row r="263" spans="1:34" ht="13">
      <c r="A263" s="101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</row>
    <row r="264" spans="1:34" ht="13">
      <c r="A264" s="101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</row>
    <row r="265" spans="1:34" ht="13">
      <c r="A265" s="101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</row>
    <row r="266" spans="1:34" ht="13">
      <c r="A266" s="101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</row>
    <row r="267" spans="1:34" ht="13">
      <c r="A267" s="101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</row>
    <row r="268" spans="1:34" ht="13">
      <c r="A268" s="101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</row>
    <row r="269" spans="1:34" ht="13">
      <c r="A269" s="101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</row>
    <row r="270" spans="1:34" ht="13">
      <c r="A270" s="101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</row>
    <row r="271" spans="1:34" ht="13">
      <c r="A271" s="101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</row>
    <row r="272" spans="1:34" ht="13">
      <c r="A272" s="101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</row>
    <row r="273" spans="1:34" ht="13">
      <c r="A273" s="101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</row>
    <row r="274" spans="1:34" ht="13">
      <c r="A274" s="101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</row>
    <row r="275" spans="1:34" ht="13">
      <c r="A275" s="101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</row>
    <row r="276" spans="1:34" ht="13">
      <c r="A276" s="101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</row>
    <row r="277" spans="1:34" ht="13">
      <c r="A277" s="101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</row>
    <row r="278" spans="1:34" ht="13">
      <c r="A278" s="101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</row>
    <row r="279" spans="1:34" ht="13">
      <c r="A279" s="101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</row>
    <row r="280" spans="1:34" ht="13">
      <c r="A280" s="101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</row>
    <row r="281" spans="1:34" ht="13">
      <c r="A281" s="101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</row>
    <row r="282" spans="1:34" ht="13">
      <c r="A282" s="101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</row>
    <row r="283" spans="1:34" ht="13">
      <c r="A283" s="101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</row>
    <row r="284" spans="1:34" ht="13">
      <c r="A284" s="101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</row>
    <row r="285" spans="1:34" ht="13">
      <c r="A285" s="101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</row>
    <row r="286" spans="1:34" ht="13">
      <c r="A286" s="101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</row>
    <row r="287" spans="1:34" ht="13">
      <c r="A287" s="101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</row>
    <row r="288" spans="1:34" ht="13">
      <c r="A288" s="101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</row>
    <row r="289" spans="1:34" ht="13">
      <c r="A289" s="101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</row>
    <row r="290" spans="1:34" ht="13">
      <c r="A290" s="101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</row>
    <row r="291" spans="1:34" ht="13">
      <c r="A291" s="101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</row>
    <row r="292" spans="1:34" ht="13">
      <c r="A292" s="101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</row>
    <row r="293" spans="1:34" ht="13">
      <c r="A293" s="101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</row>
    <row r="294" spans="1:34" ht="13">
      <c r="A294" s="101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</row>
    <row r="295" spans="1:34" ht="13">
      <c r="A295" s="101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</row>
    <row r="296" spans="1:34" ht="13">
      <c r="A296" s="101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</row>
    <row r="297" spans="1:34" ht="13">
      <c r="A297" s="101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</row>
    <row r="298" spans="1:34" ht="13">
      <c r="A298" s="101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</row>
    <row r="299" spans="1:34" ht="13">
      <c r="A299" s="101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</row>
    <row r="300" spans="1:34" ht="13">
      <c r="A300" s="101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</row>
    <row r="301" spans="1:34" ht="13">
      <c r="A301" s="101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</row>
    <row r="302" spans="1:34" ht="13">
      <c r="A302" s="101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</row>
    <row r="303" spans="1:34" ht="13">
      <c r="A303" s="101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</row>
    <row r="304" spans="1:34" ht="13">
      <c r="A304" s="101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</row>
    <row r="305" spans="1:34" ht="13">
      <c r="A305" s="101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</row>
    <row r="306" spans="1:34" ht="13">
      <c r="A306" s="101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</row>
    <row r="307" spans="1:34" ht="13">
      <c r="A307" s="101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</row>
    <row r="308" spans="1:34" ht="13">
      <c r="A308" s="101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</row>
    <row r="309" spans="1:34" ht="13">
      <c r="A309" s="101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</row>
    <row r="310" spans="1:34" ht="13">
      <c r="A310" s="101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</row>
    <row r="311" spans="1:34" ht="13">
      <c r="A311" s="101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</row>
    <row r="312" spans="1:34" ht="13">
      <c r="A312" s="101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</row>
    <row r="313" spans="1:34" ht="13">
      <c r="A313" s="101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</row>
    <row r="314" spans="1:34" ht="13">
      <c r="A314" s="101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</row>
    <row r="315" spans="1:34" ht="13">
      <c r="A315" s="101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</row>
    <row r="316" spans="1:34" ht="13">
      <c r="A316" s="101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</row>
    <row r="317" spans="1:34" ht="13">
      <c r="A317" s="101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</row>
    <row r="318" spans="1:34" ht="13">
      <c r="A318" s="101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</row>
    <row r="319" spans="1:34" ht="13">
      <c r="A319" s="101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</row>
    <row r="320" spans="1:34" ht="13">
      <c r="A320" s="101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</row>
    <row r="321" spans="1:34" ht="13">
      <c r="A321" s="101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</row>
    <row r="322" spans="1:34" ht="13">
      <c r="A322" s="101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</row>
    <row r="323" spans="1:34" ht="13">
      <c r="A323" s="101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</row>
    <row r="324" spans="1:34" ht="13">
      <c r="A324" s="101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</row>
    <row r="325" spans="1:34" ht="13">
      <c r="A325" s="101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</row>
    <row r="326" spans="1:34" ht="13">
      <c r="A326" s="101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</row>
    <row r="327" spans="1:34" ht="13">
      <c r="A327" s="101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</row>
    <row r="328" spans="1:34" ht="13">
      <c r="A328" s="101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</row>
    <row r="329" spans="1:34" ht="13">
      <c r="A329" s="101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</row>
    <row r="330" spans="1:34" ht="13">
      <c r="A330" s="101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</row>
    <row r="331" spans="1:34" ht="13">
      <c r="A331" s="101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</row>
    <row r="332" spans="1:34" ht="13">
      <c r="A332" s="101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</row>
    <row r="333" spans="1:34" ht="13">
      <c r="A333" s="101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</row>
    <row r="334" spans="1:34" ht="13">
      <c r="A334" s="101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</row>
    <row r="335" spans="1:34" ht="13">
      <c r="A335" s="101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</row>
    <row r="336" spans="1:34" ht="13">
      <c r="A336" s="101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</row>
    <row r="337" spans="1:34" ht="13">
      <c r="A337" s="101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</row>
    <row r="338" spans="1:34" ht="13">
      <c r="A338" s="101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</row>
    <row r="339" spans="1:34" ht="13">
      <c r="A339" s="101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</row>
    <row r="340" spans="1:34" ht="13">
      <c r="A340" s="101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</row>
    <row r="341" spans="1:34" ht="13">
      <c r="A341" s="101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</row>
    <row r="342" spans="1:34" ht="13">
      <c r="A342" s="101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</row>
    <row r="343" spans="1:34" ht="13">
      <c r="A343" s="101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</row>
    <row r="344" spans="1:34" ht="13">
      <c r="A344" s="101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</row>
    <row r="345" spans="1:34" ht="13">
      <c r="A345" s="101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</row>
    <row r="346" spans="1:34" ht="13">
      <c r="A346" s="101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</row>
    <row r="347" spans="1:34" ht="13">
      <c r="A347" s="101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</row>
    <row r="348" spans="1:34" ht="13">
      <c r="A348" s="101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</row>
    <row r="349" spans="1:34" ht="13">
      <c r="A349" s="101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</row>
    <row r="350" spans="1:34" ht="13">
      <c r="A350" s="101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</row>
    <row r="351" spans="1:34" ht="13">
      <c r="A351" s="101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</row>
    <row r="352" spans="1:34" ht="13">
      <c r="A352" s="101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</row>
    <row r="353" spans="1:34" ht="13">
      <c r="A353" s="101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</row>
    <row r="354" spans="1:34" ht="13">
      <c r="A354" s="101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</row>
    <row r="355" spans="1:34" ht="13">
      <c r="A355" s="101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</row>
    <row r="356" spans="1:34" ht="13">
      <c r="A356" s="101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</row>
    <row r="357" spans="1:34" ht="13">
      <c r="A357" s="101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</row>
    <row r="358" spans="1:34" ht="13">
      <c r="A358" s="101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</row>
    <row r="359" spans="1:34" ht="13">
      <c r="A359" s="101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</row>
    <row r="360" spans="1:34" ht="13">
      <c r="A360" s="101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</row>
    <row r="361" spans="1:34" ht="13">
      <c r="A361" s="101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</row>
    <row r="362" spans="1:34" ht="13">
      <c r="A362" s="101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</row>
    <row r="363" spans="1:34" ht="13">
      <c r="A363" s="101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</row>
    <row r="364" spans="1:34" ht="13">
      <c r="A364" s="101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</row>
    <row r="365" spans="1:34" ht="13">
      <c r="A365" s="101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</row>
    <row r="366" spans="1:34" ht="13">
      <c r="A366" s="101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</row>
    <row r="367" spans="1:34" ht="13">
      <c r="A367" s="101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</row>
    <row r="368" spans="1:34" ht="13">
      <c r="A368" s="101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</row>
    <row r="369" spans="1:34" ht="13">
      <c r="A369" s="101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</row>
    <row r="370" spans="1:34" ht="13">
      <c r="A370" s="101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</row>
    <row r="371" spans="1:34" ht="13">
      <c r="A371" s="101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</row>
    <row r="372" spans="1:34" ht="13">
      <c r="A372" s="101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</row>
    <row r="373" spans="1:34" ht="13">
      <c r="A373" s="101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</row>
    <row r="374" spans="1:34" ht="13">
      <c r="A374" s="101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</row>
    <row r="375" spans="1:34" ht="13">
      <c r="A375" s="101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</row>
    <row r="376" spans="1:34" ht="13">
      <c r="A376" s="101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</row>
    <row r="377" spans="1:34" ht="13">
      <c r="A377" s="101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</row>
    <row r="378" spans="1:34" ht="13">
      <c r="A378" s="101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</row>
    <row r="379" spans="1:34" ht="13">
      <c r="A379" s="101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</row>
    <row r="380" spans="1:34" ht="13">
      <c r="A380" s="101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</row>
    <row r="381" spans="1:34" ht="13">
      <c r="A381" s="101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</row>
    <row r="382" spans="1:34" ht="13">
      <c r="A382" s="101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</row>
    <row r="383" spans="1:34" ht="13">
      <c r="A383" s="101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</row>
    <row r="384" spans="1:34" ht="13">
      <c r="A384" s="101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</row>
    <row r="385" spans="1:34" ht="13">
      <c r="A385" s="101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</row>
    <row r="386" spans="1:34" ht="13">
      <c r="A386" s="101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</row>
    <row r="387" spans="1:34" ht="13">
      <c r="A387" s="101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</row>
    <row r="388" spans="1:34" ht="13">
      <c r="A388" s="101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</row>
    <row r="389" spans="1:34" ht="13">
      <c r="A389" s="101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</row>
    <row r="390" spans="1:34" ht="13">
      <c r="A390" s="101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</row>
    <row r="391" spans="1:34" ht="13">
      <c r="A391" s="101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</row>
    <row r="392" spans="1:34" ht="13">
      <c r="A392" s="101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</row>
    <row r="393" spans="1:34" ht="13">
      <c r="A393" s="101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</row>
    <row r="394" spans="1:34" ht="13">
      <c r="A394" s="101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</row>
    <row r="395" spans="1:34" ht="13">
      <c r="A395" s="101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</row>
    <row r="396" spans="1:34" ht="13">
      <c r="A396" s="101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</row>
    <row r="397" spans="1:34" ht="13">
      <c r="A397" s="101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</row>
    <row r="398" spans="1:34" ht="13">
      <c r="A398" s="101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</row>
    <row r="399" spans="1:34" ht="13">
      <c r="A399" s="101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</row>
    <row r="400" spans="1:34" ht="13">
      <c r="A400" s="101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</row>
    <row r="401" spans="1:34" ht="13">
      <c r="A401" s="101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</row>
    <row r="402" spans="1:34" ht="13">
      <c r="A402" s="101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</row>
    <row r="403" spans="1:34" ht="13">
      <c r="A403" s="101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</row>
    <row r="404" spans="1:34" ht="13">
      <c r="A404" s="101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</row>
    <row r="405" spans="1:34" ht="13">
      <c r="A405" s="101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</row>
    <row r="406" spans="1:34" ht="13">
      <c r="A406" s="101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</row>
    <row r="407" spans="1:34" ht="13">
      <c r="A407" s="101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</row>
    <row r="408" spans="1:34" ht="13">
      <c r="A408" s="101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</row>
    <row r="409" spans="1:34" ht="13">
      <c r="A409" s="101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</row>
    <row r="410" spans="1:34" ht="13">
      <c r="A410" s="101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</row>
    <row r="411" spans="1:34" ht="13">
      <c r="A411" s="101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</row>
    <row r="412" spans="1:34" ht="13">
      <c r="A412" s="101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</row>
    <row r="413" spans="1:34" ht="13">
      <c r="A413" s="101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</row>
    <row r="414" spans="1:34" ht="13">
      <c r="A414" s="101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</row>
    <row r="415" spans="1:34" ht="13">
      <c r="A415" s="101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</row>
    <row r="416" spans="1:34" ht="13">
      <c r="A416" s="101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</row>
    <row r="417" spans="1:34" ht="13">
      <c r="A417" s="101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</row>
    <row r="418" spans="1:34" ht="13">
      <c r="A418" s="101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</row>
    <row r="419" spans="1:34" ht="13">
      <c r="A419" s="101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</row>
    <row r="420" spans="1:34" ht="13">
      <c r="A420" s="101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</row>
    <row r="421" spans="1:34" ht="13">
      <c r="A421" s="101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</row>
    <row r="422" spans="1:34" ht="13">
      <c r="A422" s="101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</row>
    <row r="423" spans="1:34" ht="13">
      <c r="A423" s="101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</row>
    <row r="424" spans="1:34" ht="13">
      <c r="A424" s="101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</row>
    <row r="425" spans="1:34" ht="13">
      <c r="A425" s="101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</row>
    <row r="426" spans="1:34" ht="13">
      <c r="A426" s="101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</row>
    <row r="427" spans="1:34" ht="13">
      <c r="A427" s="101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</row>
    <row r="428" spans="1:34" ht="13">
      <c r="A428" s="101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</row>
    <row r="429" spans="1:34" ht="13">
      <c r="A429" s="101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</row>
    <row r="430" spans="1:34" ht="13">
      <c r="A430" s="101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</row>
    <row r="431" spans="1:34" ht="13">
      <c r="A431" s="101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</row>
    <row r="432" spans="1:34" ht="13">
      <c r="A432" s="101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</row>
    <row r="433" spans="1:34" ht="13">
      <c r="A433" s="101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</row>
    <row r="434" spans="1:34" ht="13">
      <c r="A434" s="101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</row>
    <row r="435" spans="1:34" ht="13">
      <c r="A435" s="101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</row>
    <row r="436" spans="1:34" ht="13">
      <c r="A436" s="101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</row>
    <row r="437" spans="1:34" ht="13">
      <c r="A437" s="101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</row>
    <row r="438" spans="1:34" ht="13">
      <c r="A438" s="101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</row>
    <row r="439" spans="1:34" ht="13">
      <c r="A439" s="101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</row>
    <row r="440" spans="1:34" ht="13">
      <c r="A440" s="101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</row>
    <row r="441" spans="1:34" ht="13">
      <c r="A441" s="101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</row>
    <row r="442" spans="1:34" ht="13">
      <c r="A442" s="101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</row>
    <row r="443" spans="1:34" ht="13">
      <c r="A443" s="101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</row>
    <row r="444" spans="1:34" ht="13">
      <c r="A444" s="101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</row>
    <row r="445" spans="1:34" ht="13">
      <c r="A445" s="101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</row>
    <row r="446" spans="1:34" ht="13">
      <c r="A446" s="101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</row>
    <row r="447" spans="1:34" ht="13">
      <c r="A447" s="101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</row>
    <row r="448" spans="1:34" ht="13">
      <c r="A448" s="101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</row>
    <row r="449" spans="1:34" ht="13">
      <c r="A449" s="101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</row>
    <row r="450" spans="1:34" ht="13">
      <c r="A450" s="101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</row>
    <row r="451" spans="1:34" ht="13">
      <c r="A451" s="101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</row>
    <row r="452" spans="1:34" ht="13">
      <c r="A452" s="101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</row>
    <row r="453" spans="1:34" ht="13">
      <c r="A453" s="101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</row>
    <row r="454" spans="1:34" ht="13">
      <c r="A454" s="101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</row>
    <row r="455" spans="1:34" ht="13">
      <c r="A455" s="101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</row>
    <row r="456" spans="1:34" ht="13">
      <c r="A456" s="101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</row>
    <row r="457" spans="1:34" ht="13">
      <c r="A457" s="101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</row>
    <row r="458" spans="1:34" ht="13">
      <c r="A458" s="101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</row>
    <row r="459" spans="1:34" ht="13">
      <c r="A459" s="101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</row>
    <row r="460" spans="1:34" ht="13">
      <c r="A460" s="101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</row>
    <row r="461" spans="1:34" ht="13">
      <c r="A461" s="101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</row>
    <row r="462" spans="1:34" ht="13">
      <c r="A462" s="101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</row>
    <row r="463" spans="1:34" ht="13">
      <c r="A463" s="101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</row>
    <row r="464" spans="1:34" ht="13">
      <c r="A464" s="101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</row>
    <row r="465" spans="1:34" ht="13">
      <c r="A465" s="101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</row>
    <row r="466" spans="1:34" ht="13">
      <c r="A466" s="101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</row>
    <row r="467" spans="1:34" ht="13">
      <c r="A467" s="101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</row>
    <row r="468" spans="1:34" ht="13">
      <c r="A468" s="101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</row>
    <row r="469" spans="1:34" ht="13">
      <c r="A469" s="101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</row>
    <row r="470" spans="1:34" ht="13">
      <c r="A470" s="101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</row>
    <row r="471" spans="1:34" ht="13">
      <c r="A471" s="101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</row>
    <row r="472" spans="1:34" ht="13">
      <c r="A472" s="101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</row>
    <row r="473" spans="1:34" ht="13">
      <c r="A473" s="101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</row>
    <row r="474" spans="1:34" ht="13">
      <c r="A474" s="101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</row>
    <row r="475" spans="1:34" ht="13">
      <c r="A475" s="101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</row>
    <row r="476" spans="1:34" ht="13">
      <c r="A476" s="101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</row>
    <row r="477" spans="1:34" ht="13">
      <c r="A477" s="101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</row>
    <row r="478" spans="1:34" ht="13">
      <c r="A478" s="101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</row>
    <row r="479" spans="1:34" ht="13">
      <c r="A479" s="101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</row>
    <row r="480" spans="1:34" ht="13">
      <c r="A480" s="101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</row>
    <row r="481" spans="1:34" ht="13">
      <c r="A481" s="101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</row>
    <row r="482" spans="1:34" ht="13">
      <c r="A482" s="101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</row>
    <row r="483" spans="1:34" ht="13">
      <c r="A483" s="101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</row>
    <row r="484" spans="1:34" ht="13">
      <c r="A484" s="101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</row>
    <row r="485" spans="1:34" ht="13">
      <c r="A485" s="101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</row>
    <row r="486" spans="1:34" ht="13">
      <c r="A486" s="101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</row>
    <row r="487" spans="1:34" ht="13">
      <c r="A487" s="101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</row>
    <row r="488" spans="1:34" ht="13">
      <c r="A488" s="101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</row>
    <row r="489" spans="1:34" ht="13">
      <c r="A489" s="101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</row>
    <row r="490" spans="1:34" ht="13">
      <c r="A490" s="101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</row>
    <row r="491" spans="1:34" ht="13">
      <c r="A491" s="101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</row>
    <row r="492" spans="1:34" ht="13">
      <c r="A492" s="101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</row>
    <row r="493" spans="1:34" ht="13">
      <c r="A493" s="101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</row>
    <row r="494" spans="1:34" ht="13">
      <c r="A494" s="101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</row>
    <row r="495" spans="1:34" ht="13">
      <c r="A495" s="101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</row>
    <row r="496" spans="1:34" ht="13">
      <c r="A496" s="101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</row>
    <row r="497" spans="1:34" ht="13">
      <c r="A497" s="101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</row>
    <row r="498" spans="1:34" ht="13">
      <c r="A498" s="101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</row>
    <row r="499" spans="1:34" ht="13">
      <c r="A499" s="101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</row>
    <row r="500" spans="1:34" ht="13">
      <c r="A500" s="101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</row>
    <row r="501" spans="1:34" ht="13">
      <c r="A501" s="101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</row>
    <row r="502" spans="1:34" ht="13">
      <c r="A502" s="101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</row>
    <row r="503" spans="1:34" ht="13">
      <c r="A503" s="101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</row>
    <row r="504" spans="1:34" ht="13">
      <c r="A504" s="101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</row>
    <row r="505" spans="1:34" ht="13">
      <c r="A505" s="101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</row>
    <row r="506" spans="1:34" ht="13">
      <c r="A506" s="101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</row>
    <row r="507" spans="1:34" ht="13">
      <c r="A507" s="101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</row>
    <row r="508" spans="1:34" ht="13">
      <c r="A508" s="101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</row>
    <row r="509" spans="1:34" ht="13">
      <c r="A509" s="101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</row>
    <row r="510" spans="1:34" ht="13">
      <c r="A510" s="101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</row>
    <row r="511" spans="1:34" ht="13">
      <c r="A511" s="101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</row>
    <row r="512" spans="1:34" ht="13">
      <c r="A512" s="101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</row>
    <row r="513" spans="1:34" ht="13">
      <c r="A513" s="101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</row>
    <row r="514" spans="1:34" ht="13">
      <c r="A514" s="101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</row>
    <row r="515" spans="1:34" ht="13">
      <c r="A515" s="101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</row>
    <row r="516" spans="1:34" ht="13">
      <c r="A516" s="101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</row>
    <row r="517" spans="1:34" ht="13">
      <c r="A517" s="101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</row>
    <row r="518" spans="1:34" ht="13">
      <c r="A518" s="101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</row>
    <row r="519" spans="1:34" ht="13">
      <c r="A519" s="101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</row>
    <row r="520" spans="1:34" ht="13">
      <c r="A520" s="101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</row>
    <row r="521" spans="1:34" ht="13">
      <c r="A521" s="101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</row>
    <row r="522" spans="1:34" ht="13">
      <c r="A522" s="101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</row>
    <row r="523" spans="1:34" ht="13">
      <c r="A523" s="101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</row>
    <row r="524" spans="1:34" ht="13">
      <c r="A524" s="101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</row>
    <row r="525" spans="1:34" ht="13">
      <c r="A525" s="101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</row>
    <row r="526" spans="1:34" ht="13">
      <c r="A526" s="101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</row>
    <row r="527" spans="1:34" ht="13">
      <c r="A527" s="101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</row>
    <row r="528" spans="1:34" ht="13">
      <c r="A528" s="101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</row>
    <row r="529" spans="1:34" ht="13">
      <c r="A529" s="101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</row>
    <row r="530" spans="1:34" ht="13">
      <c r="A530" s="101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</row>
    <row r="531" spans="1:34" ht="13">
      <c r="A531" s="101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</row>
    <row r="532" spans="1:34" ht="13">
      <c r="A532" s="101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</row>
    <row r="533" spans="1:34" ht="13">
      <c r="A533" s="101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</row>
    <row r="534" spans="1:34" ht="13">
      <c r="A534" s="101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</row>
    <row r="535" spans="1:34" ht="13">
      <c r="A535" s="101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</row>
    <row r="536" spans="1:34" ht="13">
      <c r="A536" s="101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</row>
    <row r="537" spans="1:34" ht="13">
      <c r="A537" s="101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</row>
    <row r="538" spans="1:34" ht="13">
      <c r="A538" s="101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</row>
    <row r="539" spans="1:34" ht="13">
      <c r="A539" s="101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</row>
    <row r="540" spans="1:34" ht="13">
      <c r="A540" s="101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</row>
    <row r="541" spans="1:34" ht="13">
      <c r="A541" s="101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</row>
    <row r="542" spans="1:34" ht="13">
      <c r="A542" s="101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</row>
    <row r="543" spans="1:34" ht="13">
      <c r="A543" s="101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</row>
    <row r="544" spans="1:34" ht="13">
      <c r="A544" s="101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</row>
    <row r="545" spans="1:34" ht="13">
      <c r="A545" s="101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</row>
    <row r="546" spans="1:34" ht="13">
      <c r="A546" s="101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</row>
    <row r="547" spans="1:34" ht="13">
      <c r="A547" s="101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</row>
    <row r="548" spans="1:34" ht="13">
      <c r="A548" s="101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</row>
    <row r="549" spans="1:34" ht="13">
      <c r="A549" s="101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</row>
    <row r="550" spans="1:34" ht="13">
      <c r="A550" s="101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</row>
    <row r="551" spans="1:34" ht="13">
      <c r="A551" s="101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</row>
    <row r="552" spans="1:34" ht="13">
      <c r="A552" s="101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</row>
    <row r="553" spans="1:34" ht="13">
      <c r="A553" s="101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</row>
    <row r="554" spans="1:34" ht="13">
      <c r="A554" s="101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</row>
    <row r="555" spans="1:34" ht="13">
      <c r="A555" s="101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</row>
    <row r="556" spans="1:34" ht="13">
      <c r="A556" s="101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</row>
    <row r="557" spans="1:34" ht="13">
      <c r="A557" s="101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</row>
    <row r="558" spans="1:34" ht="13">
      <c r="A558" s="101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</row>
    <row r="559" spans="1:34" ht="13">
      <c r="A559" s="101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</row>
    <row r="560" spans="1:34" ht="13">
      <c r="A560" s="101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</row>
    <row r="561" spans="1:34" ht="13">
      <c r="A561" s="101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</row>
    <row r="562" spans="1:34" ht="13">
      <c r="A562" s="101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</row>
    <row r="563" spans="1:34" ht="13">
      <c r="A563" s="101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</row>
    <row r="564" spans="1:34" ht="13">
      <c r="A564" s="101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</row>
    <row r="565" spans="1:34" ht="13">
      <c r="A565" s="101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</row>
    <row r="566" spans="1:34" ht="13">
      <c r="A566" s="101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</row>
    <row r="567" spans="1:34" ht="13">
      <c r="A567" s="101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</row>
    <row r="568" spans="1:34" ht="13">
      <c r="A568" s="101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</row>
    <row r="569" spans="1:34" ht="13">
      <c r="A569" s="101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</row>
    <row r="570" spans="1:34" ht="13">
      <c r="A570" s="101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</row>
    <row r="571" spans="1:34" ht="13">
      <c r="A571" s="101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</row>
    <row r="572" spans="1:34" ht="13">
      <c r="A572" s="101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</row>
    <row r="573" spans="1:34" ht="13">
      <c r="A573" s="101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</row>
    <row r="574" spans="1:34" ht="13">
      <c r="A574" s="101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</row>
    <row r="575" spans="1:34" ht="13">
      <c r="A575" s="101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</row>
    <row r="576" spans="1:34" ht="13">
      <c r="A576" s="101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</row>
    <row r="577" spans="1:34" ht="13">
      <c r="A577" s="101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</row>
    <row r="578" spans="1:34" ht="13">
      <c r="A578" s="101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</row>
    <row r="579" spans="1:34" ht="13">
      <c r="A579" s="101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</row>
    <row r="580" spans="1:34" ht="13">
      <c r="A580" s="101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</row>
    <row r="581" spans="1:34" ht="13">
      <c r="A581" s="101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</row>
    <row r="582" spans="1:34" ht="13">
      <c r="A582" s="101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</row>
    <row r="583" spans="1:34" ht="13">
      <c r="A583" s="101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</row>
    <row r="584" spans="1:34" ht="13">
      <c r="A584" s="101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</row>
    <row r="585" spans="1:34" ht="13">
      <c r="A585" s="101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</row>
    <row r="586" spans="1:34" ht="13">
      <c r="A586" s="101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</row>
    <row r="587" spans="1:34" ht="13">
      <c r="A587" s="101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</row>
    <row r="588" spans="1:34" ht="13">
      <c r="A588" s="101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</row>
    <row r="589" spans="1:34" ht="13">
      <c r="A589" s="101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</row>
    <row r="590" spans="1:34" ht="13">
      <c r="A590" s="101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</row>
    <row r="591" spans="1:34" ht="13">
      <c r="A591" s="101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</row>
    <row r="592" spans="1:34" ht="13">
      <c r="A592" s="101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</row>
    <row r="593" spans="1:34" ht="13">
      <c r="A593" s="101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</row>
    <row r="594" spans="1:34" ht="13">
      <c r="A594" s="101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</row>
    <row r="595" spans="1:34" ht="13">
      <c r="A595" s="101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</row>
    <row r="596" spans="1:34" ht="13">
      <c r="A596" s="101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</row>
    <row r="597" spans="1:34" ht="13">
      <c r="A597" s="101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</row>
    <row r="598" spans="1:34" ht="13">
      <c r="A598" s="101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</row>
    <row r="599" spans="1:34" ht="13">
      <c r="A599" s="101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</row>
    <row r="600" spans="1:34" ht="13">
      <c r="A600" s="101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</row>
    <row r="601" spans="1:34" ht="13">
      <c r="A601" s="101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</row>
    <row r="602" spans="1:34" ht="13">
      <c r="A602" s="101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</row>
    <row r="603" spans="1:34" ht="13">
      <c r="A603" s="101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</row>
    <row r="604" spans="1:34" ht="13">
      <c r="A604" s="101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</row>
    <row r="605" spans="1:34" ht="13">
      <c r="A605" s="101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</row>
    <row r="606" spans="1:34" ht="13">
      <c r="A606" s="101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</row>
    <row r="607" spans="1:34" ht="13">
      <c r="A607" s="101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</row>
    <row r="608" spans="1:34" ht="13">
      <c r="A608" s="101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</row>
    <row r="609" spans="1:34" ht="13">
      <c r="A609" s="101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</row>
    <row r="610" spans="1:34" ht="13">
      <c r="A610" s="101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</row>
    <row r="611" spans="1:34" ht="13">
      <c r="A611" s="101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</row>
    <row r="612" spans="1:34" ht="13">
      <c r="A612" s="101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</row>
    <row r="613" spans="1:34" ht="13">
      <c r="A613" s="101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</row>
    <row r="614" spans="1:34" ht="13">
      <c r="A614" s="101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</row>
    <row r="615" spans="1:34" ht="13">
      <c r="A615" s="101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</row>
    <row r="616" spans="1:34" ht="13">
      <c r="A616" s="101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</row>
    <row r="617" spans="1:34" ht="13">
      <c r="A617" s="101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</row>
    <row r="618" spans="1:34" ht="13">
      <c r="A618" s="101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</row>
    <row r="619" spans="1:34" ht="13">
      <c r="A619" s="101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</row>
    <row r="620" spans="1:34" ht="13">
      <c r="A620" s="101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</row>
    <row r="621" spans="1:34" ht="13">
      <c r="A621" s="101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</row>
    <row r="622" spans="1:34" ht="13">
      <c r="A622" s="101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</row>
    <row r="623" spans="1:34" ht="13">
      <c r="A623" s="101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</row>
    <row r="624" spans="1:34" ht="13">
      <c r="A624" s="101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</row>
    <row r="625" spans="1:34" ht="13">
      <c r="A625" s="101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</row>
    <row r="626" spans="1:34" ht="13">
      <c r="A626" s="101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</row>
    <row r="627" spans="1:34" ht="13">
      <c r="A627" s="101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</row>
    <row r="628" spans="1:34" ht="13">
      <c r="A628" s="101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</row>
    <row r="629" spans="1:34" ht="13">
      <c r="A629" s="101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</row>
    <row r="630" spans="1:34" ht="13">
      <c r="A630" s="101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</row>
    <row r="631" spans="1:34" ht="13">
      <c r="A631" s="101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</row>
    <row r="632" spans="1:34" ht="13">
      <c r="A632" s="101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</row>
    <row r="633" spans="1:34" ht="13">
      <c r="A633" s="101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</row>
    <row r="634" spans="1:34" ht="13">
      <c r="A634" s="101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</row>
    <row r="635" spans="1:34" ht="13">
      <c r="A635" s="101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</row>
    <row r="636" spans="1:34" ht="13">
      <c r="A636" s="101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</row>
    <row r="637" spans="1:34" ht="13">
      <c r="A637" s="101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</row>
    <row r="638" spans="1:34" ht="13">
      <c r="A638" s="101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</row>
    <row r="639" spans="1:34" ht="13">
      <c r="A639" s="101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</row>
    <row r="640" spans="1:34" ht="13">
      <c r="A640" s="101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</row>
    <row r="641" spans="1:34" ht="13">
      <c r="A641" s="101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</row>
    <row r="642" spans="1:34" ht="13">
      <c r="A642" s="101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</row>
    <row r="643" spans="1:34" ht="13">
      <c r="A643" s="101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</row>
    <row r="644" spans="1:34" ht="13">
      <c r="A644" s="101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</row>
    <row r="645" spans="1:34" ht="13">
      <c r="A645" s="101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</row>
    <row r="646" spans="1:34" ht="13">
      <c r="A646" s="101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</row>
    <row r="647" spans="1:34" ht="13">
      <c r="A647" s="101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</row>
    <row r="648" spans="1:34" ht="13">
      <c r="A648" s="101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</row>
    <row r="649" spans="1:34" ht="13">
      <c r="A649" s="101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</row>
    <row r="650" spans="1:34" ht="13">
      <c r="A650" s="101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</row>
    <row r="651" spans="1:34" ht="13">
      <c r="A651" s="101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</row>
    <row r="652" spans="1:34" ht="13">
      <c r="A652" s="101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</row>
    <row r="653" spans="1:34" ht="13">
      <c r="A653" s="101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</row>
    <row r="654" spans="1:34" ht="13">
      <c r="A654" s="101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</row>
    <row r="655" spans="1:34" ht="13">
      <c r="A655" s="101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</row>
    <row r="656" spans="1:34" ht="13">
      <c r="A656" s="101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</row>
    <row r="657" spans="1:34" ht="13">
      <c r="A657" s="101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</row>
    <row r="658" spans="1:34" ht="13">
      <c r="A658" s="101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</row>
    <row r="659" spans="1:34" ht="13">
      <c r="A659" s="101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</row>
    <row r="660" spans="1:34" ht="13">
      <c r="A660" s="101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</row>
    <row r="661" spans="1:34" ht="13">
      <c r="A661" s="101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</row>
    <row r="662" spans="1:34" ht="13">
      <c r="A662" s="101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</row>
    <row r="663" spans="1:34" ht="13">
      <c r="A663" s="101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</row>
    <row r="664" spans="1:34" ht="13">
      <c r="A664" s="101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</row>
    <row r="665" spans="1:34" ht="13">
      <c r="A665" s="101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</row>
    <row r="666" spans="1:34" ht="13">
      <c r="A666" s="101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</row>
    <row r="667" spans="1:34" ht="13">
      <c r="A667" s="101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</row>
    <row r="668" spans="1:34" ht="13">
      <c r="A668" s="101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</row>
    <row r="669" spans="1:34" ht="13">
      <c r="A669" s="101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</row>
    <row r="670" spans="1:34" ht="13">
      <c r="A670" s="101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</row>
    <row r="671" spans="1:34" ht="13">
      <c r="A671" s="101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</row>
    <row r="672" spans="1:34" ht="13">
      <c r="A672" s="101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</row>
    <row r="673" spans="1:34" ht="13">
      <c r="A673" s="101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</row>
    <row r="674" spans="1:34" ht="13">
      <c r="A674" s="101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</row>
    <row r="675" spans="1:34" ht="13">
      <c r="A675" s="101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</row>
    <row r="676" spans="1:34" ht="13">
      <c r="A676" s="101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</row>
    <row r="677" spans="1:34" ht="13">
      <c r="A677" s="101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</row>
    <row r="678" spans="1:34" ht="13">
      <c r="A678" s="101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</row>
    <row r="679" spans="1:34" ht="13">
      <c r="A679" s="101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</row>
    <row r="680" spans="1:34" ht="13">
      <c r="A680" s="101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</row>
    <row r="681" spans="1:34" ht="13">
      <c r="A681" s="101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</row>
    <row r="682" spans="1:34" ht="13">
      <c r="A682" s="101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</row>
    <row r="683" spans="1:34" ht="13">
      <c r="A683" s="101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</row>
    <row r="684" spans="1:34" ht="13">
      <c r="A684" s="101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</row>
    <row r="685" spans="1:34" ht="13">
      <c r="A685" s="101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</row>
    <row r="686" spans="1:34" ht="13">
      <c r="A686" s="101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</row>
    <row r="687" spans="1:34" ht="13">
      <c r="A687" s="101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</row>
    <row r="688" spans="1:34" ht="13">
      <c r="A688" s="101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</row>
    <row r="689" spans="1:34" ht="13">
      <c r="A689" s="101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</row>
    <row r="690" spans="1:34" ht="13">
      <c r="A690" s="101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</row>
    <row r="691" spans="1:34" ht="13">
      <c r="A691" s="101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</row>
    <row r="692" spans="1:34" ht="13">
      <c r="A692" s="101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</row>
    <row r="693" spans="1:34" ht="13">
      <c r="A693" s="101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</row>
    <row r="694" spans="1:34" ht="13">
      <c r="A694" s="101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</row>
    <row r="695" spans="1:34" ht="13">
      <c r="A695" s="101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</row>
    <row r="696" spans="1:34" ht="13">
      <c r="A696" s="101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</row>
    <row r="697" spans="1:34" ht="13">
      <c r="A697" s="101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</row>
    <row r="698" spans="1:34" ht="13">
      <c r="A698" s="101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</row>
    <row r="699" spans="1:34" ht="13">
      <c r="A699" s="101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</row>
    <row r="700" spans="1:34" ht="13">
      <c r="A700" s="101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</row>
    <row r="701" spans="1:34" ht="13">
      <c r="A701" s="101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</row>
    <row r="702" spans="1:34" ht="13">
      <c r="A702" s="101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</row>
    <row r="703" spans="1:34" ht="13">
      <c r="A703" s="101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</row>
    <row r="704" spans="1:34" ht="13">
      <c r="A704" s="101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</row>
    <row r="705" spans="1:34" ht="13">
      <c r="A705" s="101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</row>
    <row r="706" spans="1:34" ht="13">
      <c r="A706" s="101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</row>
    <row r="707" spans="1:34" ht="13">
      <c r="A707" s="101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</row>
    <row r="708" spans="1:34" ht="13">
      <c r="A708" s="101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</row>
    <row r="709" spans="1:34" ht="13">
      <c r="A709" s="101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</row>
    <row r="710" spans="1:34" ht="13">
      <c r="A710" s="101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</row>
    <row r="711" spans="1:34" ht="13">
      <c r="A711" s="101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</row>
    <row r="712" spans="1:34" ht="13">
      <c r="A712" s="101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</row>
    <row r="713" spans="1:34" ht="13">
      <c r="A713" s="101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</row>
    <row r="714" spans="1:34" ht="13">
      <c r="A714" s="101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</row>
    <row r="715" spans="1:34" ht="13">
      <c r="A715" s="101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</row>
    <row r="716" spans="1:34" ht="13">
      <c r="A716" s="101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</row>
    <row r="717" spans="1:34" ht="13">
      <c r="A717" s="101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</row>
    <row r="718" spans="1:34" ht="13">
      <c r="A718" s="101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</row>
    <row r="719" spans="1:34" ht="13">
      <c r="A719" s="101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</row>
    <row r="720" spans="1:34" ht="13">
      <c r="A720" s="101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</row>
    <row r="721" spans="1:34" ht="13">
      <c r="A721" s="101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</row>
    <row r="722" spans="1:34" ht="13">
      <c r="A722" s="101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</row>
    <row r="723" spans="1:34" ht="13">
      <c r="A723" s="101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</row>
    <row r="724" spans="1:34" ht="13">
      <c r="A724" s="101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</row>
    <row r="725" spans="1:34" ht="13">
      <c r="A725" s="101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</row>
    <row r="726" spans="1:34" ht="13">
      <c r="A726" s="101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</row>
    <row r="727" spans="1:34" ht="13">
      <c r="A727" s="101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</row>
    <row r="728" spans="1:34" ht="13">
      <c r="A728" s="101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</row>
    <row r="729" spans="1:34" ht="13">
      <c r="A729" s="101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</row>
    <row r="730" spans="1:34" ht="13">
      <c r="A730" s="101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</row>
    <row r="731" spans="1:34" ht="13">
      <c r="A731" s="101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</row>
    <row r="732" spans="1:34" ht="13">
      <c r="A732" s="101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</row>
    <row r="733" spans="1:34" ht="13">
      <c r="A733" s="101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</row>
    <row r="734" spans="1:34" ht="13">
      <c r="A734" s="101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</row>
    <row r="735" spans="1:34" ht="13">
      <c r="A735" s="101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</row>
    <row r="736" spans="1:34" ht="13">
      <c r="A736" s="101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</row>
    <row r="737" spans="1:34" ht="13">
      <c r="A737" s="101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</row>
    <row r="738" spans="1:34" ht="13">
      <c r="A738" s="101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</row>
    <row r="739" spans="1:34" ht="13">
      <c r="A739" s="101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</row>
    <row r="740" spans="1:34" ht="13">
      <c r="A740" s="101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</row>
    <row r="741" spans="1:34" ht="13">
      <c r="A741" s="101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</row>
    <row r="742" spans="1:34" ht="13">
      <c r="A742" s="101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</row>
    <row r="743" spans="1:34" ht="13">
      <c r="A743" s="101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</row>
    <row r="744" spans="1:34" ht="13">
      <c r="A744" s="101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</row>
    <row r="745" spans="1:34" ht="13">
      <c r="A745" s="101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</row>
    <row r="746" spans="1:34" ht="13">
      <c r="A746" s="101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</row>
    <row r="747" spans="1:34" ht="13">
      <c r="A747" s="101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</row>
    <row r="748" spans="1:34" ht="13">
      <c r="A748" s="101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</row>
    <row r="749" spans="1:34" ht="13">
      <c r="A749" s="101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</row>
    <row r="750" spans="1:34" ht="13">
      <c r="A750" s="101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</row>
    <row r="751" spans="1:34" ht="13">
      <c r="A751" s="101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</row>
    <row r="752" spans="1:34" ht="13">
      <c r="A752" s="101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</row>
    <row r="753" spans="1:34" ht="13">
      <c r="A753" s="101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</row>
    <row r="754" spans="1:34" ht="13">
      <c r="A754" s="101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</row>
    <row r="755" spans="1:34" ht="13">
      <c r="A755" s="101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</row>
    <row r="756" spans="1:34" ht="13">
      <c r="A756" s="101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</row>
    <row r="757" spans="1:34" ht="13">
      <c r="A757" s="101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</row>
    <row r="758" spans="1:34" ht="13">
      <c r="A758" s="101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</row>
    <row r="759" spans="1:34" ht="13">
      <c r="A759" s="101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</row>
    <row r="760" spans="1:34" ht="13">
      <c r="A760" s="101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</row>
    <row r="761" spans="1:34" ht="13">
      <c r="A761" s="101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</row>
    <row r="762" spans="1:34" ht="13">
      <c r="A762" s="101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</row>
    <row r="763" spans="1:34" ht="13">
      <c r="A763" s="101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</row>
    <row r="764" spans="1:34" ht="13">
      <c r="A764" s="101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</row>
    <row r="765" spans="1:34" ht="13">
      <c r="A765" s="101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</row>
    <row r="766" spans="1:34" ht="13">
      <c r="A766" s="101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</row>
    <row r="767" spans="1:34" ht="13">
      <c r="A767" s="101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</row>
    <row r="768" spans="1:34" ht="13">
      <c r="A768" s="101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</row>
    <row r="769" spans="1:34" ht="13">
      <c r="A769" s="101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</row>
    <row r="770" spans="1:34" ht="13">
      <c r="A770" s="101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</row>
    <row r="771" spans="1:34" ht="13">
      <c r="A771" s="101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</row>
    <row r="772" spans="1:34" ht="13">
      <c r="A772" s="101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</row>
    <row r="773" spans="1:34" ht="13">
      <c r="A773" s="101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</row>
    <row r="774" spans="1:34" ht="13">
      <c r="A774" s="101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</row>
    <row r="775" spans="1:34" ht="13">
      <c r="A775" s="101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</row>
    <row r="776" spans="1:34" ht="13">
      <c r="A776" s="101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</row>
    <row r="777" spans="1:34" ht="13">
      <c r="A777" s="101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</row>
    <row r="778" spans="1:34" ht="13">
      <c r="A778" s="101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</row>
    <row r="779" spans="1:34" ht="13">
      <c r="A779" s="101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</row>
    <row r="780" spans="1:34" ht="13">
      <c r="A780" s="101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</row>
    <row r="781" spans="1:34" ht="13">
      <c r="A781" s="101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</row>
    <row r="782" spans="1:34" ht="13">
      <c r="A782" s="101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</row>
    <row r="783" spans="1:34" ht="13">
      <c r="A783" s="101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</row>
    <row r="784" spans="1:34" ht="13">
      <c r="A784" s="101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</row>
    <row r="785" spans="1:34" ht="13">
      <c r="A785" s="101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</row>
    <row r="786" spans="1:34" ht="13">
      <c r="A786" s="101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</row>
    <row r="787" spans="1:34" ht="13">
      <c r="A787" s="101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</row>
    <row r="788" spans="1:34" ht="13">
      <c r="A788" s="101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</row>
    <row r="789" spans="1:34" ht="13">
      <c r="A789" s="101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</row>
    <row r="790" spans="1:34" ht="13">
      <c r="A790" s="101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</row>
    <row r="791" spans="1:34" ht="13">
      <c r="A791" s="101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</row>
    <row r="792" spans="1:34" ht="13">
      <c r="A792" s="101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</row>
    <row r="793" spans="1:34" ht="13">
      <c r="A793" s="101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</row>
    <row r="794" spans="1:34" ht="13">
      <c r="A794" s="101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</row>
    <row r="795" spans="1:34" ht="13">
      <c r="A795" s="101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</row>
    <row r="796" spans="1:34" ht="13">
      <c r="A796" s="101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</row>
    <row r="797" spans="1:34" ht="13">
      <c r="A797" s="101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</row>
    <row r="798" spans="1:34" ht="13">
      <c r="A798" s="101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</row>
    <row r="799" spans="1:34" ht="13">
      <c r="A799" s="101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</row>
    <row r="800" spans="1:34" ht="13">
      <c r="A800" s="101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</row>
    <row r="801" spans="1:34" ht="13">
      <c r="A801" s="101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</row>
    <row r="802" spans="1:34" ht="13">
      <c r="A802" s="101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</row>
    <row r="803" spans="1:34" ht="13">
      <c r="A803" s="101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</row>
    <row r="804" spans="1:34" ht="13">
      <c r="A804" s="101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</row>
    <row r="805" spans="1:34" ht="13">
      <c r="A805" s="101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</row>
    <row r="806" spans="1:34" ht="13">
      <c r="A806" s="101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</row>
    <row r="807" spans="1:34" ht="13">
      <c r="A807" s="101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</row>
    <row r="808" spans="1:34" ht="13">
      <c r="A808" s="101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</row>
    <row r="809" spans="1:34" ht="13">
      <c r="A809" s="101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</row>
    <row r="810" spans="1:34" ht="13">
      <c r="A810" s="101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</row>
    <row r="811" spans="1:34" ht="13">
      <c r="A811" s="101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</row>
    <row r="812" spans="1:34" ht="13">
      <c r="A812" s="101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</row>
    <row r="813" spans="1:34" ht="13">
      <c r="A813" s="101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</row>
    <row r="814" spans="1:34" ht="13">
      <c r="A814" s="101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</row>
    <row r="815" spans="1:34" ht="13">
      <c r="A815" s="101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</row>
    <row r="816" spans="1:34" ht="13">
      <c r="A816" s="101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</row>
    <row r="817" spans="1:34" ht="13">
      <c r="A817" s="101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</row>
    <row r="818" spans="1:34" ht="13">
      <c r="A818" s="101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</row>
    <row r="819" spans="1:34" ht="13">
      <c r="A819" s="101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</row>
    <row r="820" spans="1:34" ht="13">
      <c r="A820" s="101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</row>
    <row r="821" spans="1:34" ht="13">
      <c r="A821" s="101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</row>
    <row r="822" spans="1:34" ht="13">
      <c r="A822" s="101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</row>
    <row r="823" spans="1:34" ht="13">
      <c r="A823" s="101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</row>
    <row r="824" spans="1:34" ht="13">
      <c r="A824" s="101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</row>
    <row r="825" spans="1:34" ht="13">
      <c r="A825" s="101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</row>
    <row r="826" spans="1:34" ht="13">
      <c r="A826" s="101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</row>
    <row r="827" spans="1:34" ht="13">
      <c r="A827" s="101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</row>
    <row r="828" spans="1:34" ht="13">
      <c r="A828" s="101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</row>
    <row r="829" spans="1:34" ht="13">
      <c r="A829" s="101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</row>
    <row r="830" spans="1:34" ht="13">
      <c r="A830" s="101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</row>
    <row r="831" spans="1:34" ht="13">
      <c r="A831" s="101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</row>
    <row r="832" spans="1:34" ht="13">
      <c r="A832" s="101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</row>
    <row r="833" spans="1:34" ht="13">
      <c r="A833" s="101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</row>
    <row r="834" spans="1:34" ht="13">
      <c r="A834" s="101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</row>
    <row r="835" spans="1:34" ht="13">
      <c r="A835" s="101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</row>
    <row r="836" spans="1:34" ht="13">
      <c r="A836" s="101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</row>
    <row r="837" spans="1:34" ht="13">
      <c r="A837" s="101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</row>
    <row r="838" spans="1:34" ht="13">
      <c r="A838" s="101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</row>
    <row r="839" spans="1:34" ht="13">
      <c r="A839" s="101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</row>
    <row r="840" spans="1:34" ht="13">
      <c r="A840" s="101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</row>
    <row r="841" spans="1:34" ht="13">
      <c r="A841" s="101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</row>
    <row r="842" spans="1:34" ht="13">
      <c r="A842" s="101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</row>
    <row r="843" spans="1:34" ht="13">
      <c r="A843" s="101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</row>
    <row r="844" spans="1:34" ht="13">
      <c r="A844" s="101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</row>
    <row r="845" spans="1:34" ht="13">
      <c r="A845" s="101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</row>
    <row r="846" spans="1:34" ht="13">
      <c r="A846" s="101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</row>
    <row r="847" spans="1:34" ht="13">
      <c r="A847" s="101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</row>
    <row r="848" spans="1:34" ht="13">
      <c r="A848" s="101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</row>
    <row r="849" spans="1:34" ht="13">
      <c r="A849" s="101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</row>
    <row r="850" spans="1:34" ht="13">
      <c r="A850" s="101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</row>
    <row r="851" spans="1:34" ht="13">
      <c r="A851" s="101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</row>
    <row r="852" spans="1:34" ht="13">
      <c r="A852" s="101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</row>
    <row r="853" spans="1:34" ht="13">
      <c r="A853" s="101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</row>
    <row r="854" spans="1:34" ht="13">
      <c r="A854" s="101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</row>
    <row r="855" spans="1:34" ht="13">
      <c r="A855" s="101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</row>
    <row r="856" spans="1:34" ht="13">
      <c r="A856" s="101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</row>
    <row r="857" spans="1:34" ht="13">
      <c r="A857" s="101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</row>
    <row r="858" spans="1:34" ht="13">
      <c r="A858" s="101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</row>
    <row r="859" spans="1:34" ht="13">
      <c r="A859" s="101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</row>
    <row r="860" spans="1:34" ht="13">
      <c r="A860" s="101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</row>
    <row r="861" spans="1:34" ht="13">
      <c r="A861" s="101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</row>
    <row r="862" spans="1:34" ht="13">
      <c r="A862" s="101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</row>
    <row r="863" spans="1:34" ht="13">
      <c r="A863" s="101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</row>
    <row r="864" spans="1:34" ht="13">
      <c r="A864" s="101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</row>
    <row r="865" spans="1:34" ht="13">
      <c r="A865" s="101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</row>
    <row r="866" spans="1:34" ht="13">
      <c r="A866" s="101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</row>
    <row r="867" spans="1:34" ht="13">
      <c r="A867" s="101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</row>
    <row r="868" spans="1:34" ht="13">
      <c r="A868" s="101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</row>
    <row r="869" spans="1:34" ht="13">
      <c r="A869" s="101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</row>
    <row r="870" spans="1:34" ht="13">
      <c r="A870" s="101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</row>
    <row r="871" spans="1:34" ht="13">
      <c r="A871" s="101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</row>
    <row r="872" spans="1:34" ht="13">
      <c r="A872" s="101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</row>
    <row r="873" spans="1:34" ht="13">
      <c r="A873" s="101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</row>
    <row r="874" spans="1:34" ht="13">
      <c r="A874" s="101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</row>
    <row r="875" spans="1:34" ht="13">
      <c r="A875" s="101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</row>
    <row r="876" spans="1:34" ht="13">
      <c r="A876" s="101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</row>
    <row r="877" spans="1:34" ht="13">
      <c r="A877" s="101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</row>
    <row r="878" spans="1:34" ht="13">
      <c r="A878" s="101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</row>
    <row r="879" spans="1:34" ht="13">
      <c r="A879" s="101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</row>
    <row r="880" spans="1:34" ht="13">
      <c r="A880" s="101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</row>
    <row r="881" spans="1:34" ht="13">
      <c r="A881" s="101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</row>
    <row r="882" spans="1:34" ht="13">
      <c r="A882" s="101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</row>
    <row r="883" spans="1:34" ht="13">
      <c r="A883" s="101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</row>
    <row r="884" spans="1:34" ht="13">
      <c r="A884" s="101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</row>
    <row r="885" spans="1:34" ht="13">
      <c r="A885" s="101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</row>
    <row r="886" spans="1:34" ht="13">
      <c r="A886" s="101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</row>
    <row r="887" spans="1:34" ht="13">
      <c r="A887" s="101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</row>
    <row r="888" spans="1:34" ht="13">
      <c r="A888" s="101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</row>
    <row r="889" spans="1:34" ht="13">
      <c r="A889" s="101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</row>
    <row r="890" spans="1:34" ht="13">
      <c r="A890" s="101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</row>
    <row r="891" spans="1:34" ht="13">
      <c r="A891" s="101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</row>
    <row r="892" spans="1:34" ht="13">
      <c r="A892" s="101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</row>
    <row r="893" spans="1:34" ht="13">
      <c r="A893" s="101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</row>
    <row r="894" spans="1:34" ht="13">
      <c r="A894" s="101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</row>
    <row r="895" spans="1:34" ht="13">
      <c r="A895" s="101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</row>
    <row r="896" spans="1:34" ht="13">
      <c r="A896" s="101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</row>
    <row r="897" spans="1:34" ht="13">
      <c r="A897" s="101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</row>
    <row r="898" spans="1:34" ht="13">
      <c r="A898" s="101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</row>
    <row r="899" spans="1:34" ht="13">
      <c r="A899" s="101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</row>
    <row r="900" spans="1:34" ht="13">
      <c r="A900" s="101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</row>
    <row r="901" spans="1:34" ht="13">
      <c r="A901" s="101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</row>
    <row r="902" spans="1:34" ht="13">
      <c r="A902" s="101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</row>
    <row r="903" spans="1:34" ht="13">
      <c r="A903" s="101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</row>
    <row r="904" spans="1:34" ht="13">
      <c r="A904" s="101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</row>
    <row r="905" spans="1:34" ht="13">
      <c r="A905" s="101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</row>
    <row r="906" spans="1:34" ht="13">
      <c r="A906" s="101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</row>
    <row r="907" spans="1:34" ht="13">
      <c r="A907" s="101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</row>
    <row r="908" spans="1:34" ht="13">
      <c r="A908" s="101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</row>
    <row r="909" spans="1:34" ht="13">
      <c r="A909" s="101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</row>
    <row r="910" spans="1:34" ht="13">
      <c r="A910" s="101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</row>
    <row r="911" spans="1:34" ht="13">
      <c r="A911" s="101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</row>
    <row r="912" spans="1:34" ht="13">
      <c r="A912" s="101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</row>
    <row r="913" spans="1:34" ht="13">
      <c r="A913" s="101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</row>
    <row r="914" spans="1:34" ht="13">
      <c r="A914" s="101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</row>
    <row r="915" spans="1:34" ht="13">
      <c r="A915" s="101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</row>
    <row r="916" spans="1:34" ht="13">
      <c r="A916" s="101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</row>
    <row r="917" spans="1:34" ht="13">
      <c r="A917" s="101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</row>
    <row r="918" spans="1:34" ht="13">
      <c r="A918" s="101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</row>
    <row r="919" spans="1:34" ht="13">
      <c r="A919" s="101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</row>
    <row r="920" spans="1:34" ht="13">
      <c r="A920" s="101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</row>
    <row r="921" spans="1:34" ht="13">
      <c r="A921" s="101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</row>
    <row r="922" spans="1:34" ht="13">
      <c r="A922" s="101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</row>
    <row r="923" spans="1:34" ht="13">
      <c r="A923" s="101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</row>
    <row r="924" spans="1:34" ht="13">
      <c r="A924" s="101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</row>
    <row r="925" spans="1:34" ht="13">
      <c r="A925" s="101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</row>
    <row r="926" spans="1:34" ht="13">
      <c r="A926" s="101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</row>
    <row r="927" spans="1:34" ht="13">
      <c r="A927" s="101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</row>
    <row r="928" spans="1:34" ht="13">
      <c r="A928" s="101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</row>
    <row r="929" spans="1:34" ht="13">
      <c r="A929" s="101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</row>
    <row r="930" spans="1:34" ht="13">
      <c r="A930" s="101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</row>
    <row r="931" spans="1:34" ht="13">
      <c r="A931" s="101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</row>
    <row r="932" spans="1:34" ht="13">
      <c r="A932" s="101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</row>
    <row r="933" spans="1:34" ht="13">
      <c r="A933" s="101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</row>
    <row r="934" spans="1:34" ht="13">
      <c r="A934" s="101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</row>
    <row r="935" spans="1:34" ht="13">
      <c r="A935" s="101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</row>
    <row r="936" spans="1:34" ht="13">
      <c r="A936" s="101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</row>
    <row r="937" spans="1:34" ht="13">
      <c r="A937" s="101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</row>
    <row r="938" spans="1:34" ht="13">
      <c r="A938" s="101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</row>
    <row r="939" spans="1:34" ht="13">
      <c r="A939" s="101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</row>
    <row r="940" spans="1:34" ht="13">
      <c r="A940" s="101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</row>
    <row r="941" spans="1:34" ht="13">
      <c r="A941" s="101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</row>
    <row r="942" spans="1:34" ht="13">
      <c r="A942" s="101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</row>
    <row r="943" spans="1:34" ht="13">
      <c r="A943" s="101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</row>
    <row r="944" spans="1:34" ht="13">
      <c r="A944" s="101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</row>
    <row r="945" spans="1:34" ht="13">
      <c r="A945" s="101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</row>
    <row r="946" spans="1:34" ht="13">
      <c r="A946" s="101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</row>
    <row r="947" spans="1:34" ht="13">
      <c r="A947" s="101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</row>
    <row r="948" spans="1:34" ht="13">
      <c r="A948" s="101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</row>
    <row r="949" spans="1:34" ht="13">
      <c r="A949" s="101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</row>
    <row r="950" spans="1:34" ht="13">
      <c r="A950" s="101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</row>
    <row r="951" spans="1:34" ht="13">
      <c r="A951" s="101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</row>
    <row r="952" spans="1:34" ht="13">
      <c r="A952" s="101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</row>
    <row r="953" spans="1:34" ht="13">
      <c r="A953" s="101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</row>
    <row r="954" spans="1:34" ht="13">
      <c r="A954" s="101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</row>
    <row r="955" spans="1:34" ht="13">
      <c r="A955" s="101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</row>
    <row r="956" spans="1:34" ht="13">
      <c r="A956" s="101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</row>
    <row r="957" spans="1:34" ht="13">
      <c r="A957" s="101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</row>
    <row r="958" spans="1:34" ht="13">
      <c r="A958" s="101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</row>
    <row r="959" spans="1:34" ht="13">
      <c r="A959" s="101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</row>
    <row r="960" spans="1:34" ht="13">
      <c r="A960" s="101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</row>
    <row r="961" spans="1:34" ht="13">
      <c r="A961" s="101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</row>
    <row r="962" spans="1:34" ht="13">
      <c r="A962" s="101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</row>
    <row r="963" spans="1:34" ht="13">
      <c r="A963" s="101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</row>
    <row r="964" spans="1:34" ht="13">
      <c r="A964" s="101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</row>
    <row r="965" spans="1:34" ht="13">
      <c r="A965" s="101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</row>
    <row r="966" spans="1:34" ht="13">
      <c r="A966" s="101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</row>
    <row r="967" spans="1:34" ht="13">
      <c r="A967" s="101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</row>
    <row r="968" spans="1:34" ht="13">
      <c r="A968" s="101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</row>
    <row r="969" spans="1:34" ht="13">
      <c r="A969" s="101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</row>
    <row r="970" spans="1:34" ht="13">
      <c r="A970" s="101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</row>
    <row r="971" spans="1:34" ht="13">
      <c r="A971" s="101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</row>
    <row r="972" spans="1:34" ht="13">
      <c r="A972" s="101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</row>
    <row r="973" spans="1:34" ht="13">
      <c r="A973" s="101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</row>
    <row r="974" spans="1:34" ht="13">
      <c r="A974" s="101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</row>
    <row r="975" spans="1:34" ht="13">
      <c r="A975" s="101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</row>
    <row r="976" spans="1:34" ht="13">
      <c r="A976" s="101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</row>
    <row r="977" spans="1:34" ht="13">
      <c r="A977" s="101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</row>
    <row r="978" spans="1:34" ht="13">
      <c r="A978" s="101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</row>
    <row r="979" spans="1:34" ht="13">
      <c r="A979" s="101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</row>
    <row r="980" spans="1:34" ht="13">
      <c r="A980" s="101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</row>
    <row r="981" spans="1:34" ht="13">
      <c r="A981" s="101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</row>
    <row r="982" spans="1:34" ht="13">
      <c r="A982" s="101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</row>
    <row r="983" spans="1:34" ht="13">
      <c r="A983" s="101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</row>
    <row r="984" spans="1:34" ht="13">
      <c r="A984" s="101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</row>
    <row r="985" spans="1:34" ht="13">
      <c r="A985" s="101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</row>
    <row r="986" spans="1:34" ht="13">
      <c r="A986" s="101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</row>
    <row r="987" spans="1:34" ht="13">
      <c r="A987" s="101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</row>
    <row r="988" spans="1:34" ht="13">
      <c r="A988" s="101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</row>
    <row r="989" spans="1:34" ht="13">
      <c r="A989" s="101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</row>
    <row r="990" spans="1:34" ht="13">
      <c r="A990" s="101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</row>
    <row r="991" spans="1:34" ht="13">
      <c r="A991" s="101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</row>
    <row r="992" spans="1:34" ht="13">
      <c r="A992" s="101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</row>
    <row r="993" spans="1:34" ht="13">
      <c r="A993" s="101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</row>
    <row r="994" spans="1:34" ht="13">
      <c r="A994" s="101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</row>
    <row r="995" spans="1:34" ht="13">
      <c r="A995" s="101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</row>
    <row r="996" spans="1:34" ht="13">
      <c r="A996" s="101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</row>
    <row r="997" spans="1:34" ht="13">
      <c r="A997" s="101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</row>
    <row r="998" spans="1:34" ht="13">
      <c r="A998" s="101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</row>
    <row r="999" spans="1:34" ht="13">
      <c r="A999" s="101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</row>
    <row r="1000" spans="1:34" ht="13">
      <c r="A1000" s="101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</row>
  </sheetData>
  <autoFilter ref="A1:X24" xr:uid="{00000000-0009-0000-0000-000004000000}"/>
  <conditionalFormatting sqref="A1:X2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69"/>
  <sheetViews>
    <sheetView workbookViewId="0"/>
  </sheetViews>
  <sheetFormatPr defaultColWidth="14.3984375" defaultRowHeight="15.75" customHeight="1"/>
  <cols>
    <col min="1" max="1" width="10.296875" customWidth="1"/>
    <col min="2" max="2" width="27.69921875" customWidth="1"/>
  </cols>
  <sheetData>
    <row r="1" spans="1:3" ht="15.75" customHeight="1">
      <c r="A1" s="104" t="s">
        <v>176</v>
      </c>
      <c r="B1" s="104" t="s">
        <v>177</v>
      </c>
    </row>
    <row r="2" spans="1:3" ht="15.75" customHeight="1">
      <c r="A2" s="105" t="s">
        <v>178</v>
      </c>
      <c r="B2" s="106" t="e">
        <f t="array" aca="1" ref="B2" ca="1">_xludf.XLOOKUP(A2,Batch_Data!$A$2:$A$438,Batch_Data!$B$2:$B$438)</f>
        <v>#NAME?</v>
      </c>
      <c r="C2" s="107"/>
    </row>
    <row r="3" spans="1:3" ht="15.75" customHeight="1">
      <c r="A3" s="105" t="s">
        <v>179</v>
      </c>
      <c r="B3" s="106" t="e">
        <f t="array" aca="1" ref="B3" ca="1">_xludf.XLOOKUP(A3,Batch_Data!$A$2:$A$438,Batch_Data!$B$2:$B$438)</f>
        <v>#NAME?</v>
      </c>
    </row>
    <row r="4" spans="1:3" ht="15.75" customHeight="1">
      <c r="A4" s="105" t="s">
        <v>180</v>
      </c>
      <c r="B4" s="106" t="e">
        <f t="array" aca="1" ref="B4" ca="1">_xludf.XLOOKUP(A4,Batch_Data!$A$2:$A$438,Batch_Data!$B$2:$B$438)</f>
        <v>#NAME?</v>
      </c>
    </row>
    <row r="5" spans="1:3" ht="15.75" customHeight="1">
      <c r="A5" s="105" t="s">
        <v>181</v>
      </c>
      <c r="B5" s="106" t="e">
        <f t="array" aca="1" ref="B5" ca="1">_xludf.XLOOKUP(A5,Batch_Data!$A$2:$A$438,Batch_Data!$B$2:$B$438)</f>
        <v>#NAME?</v>
      </c>
    </row>
    <row r="6" spans="1:3" ht="15.75" customHeight="1">
      <c r="A6" s="105" t="s">
        <v>182</v>
      </c>
      <c r="B6" s="106" t="e">
        <f t="array" aca="1" ref="B6" ca="1">_xludf.XLOOKUP(A6,Batch_Data!$A$2:$A$438,Batch_Data!$B$2:$B$438)</f>
        <v>#NAME?</v>
      </c>
    </row>
    <row r="7" spans="1:3" ht="15.75" customHeight="1">
      <c r="A7" s="105" t="s">
        <v>183</v>
      </c>
      <c r="B7" s="106" t="e">
        <f t="array" aca="1" ref="B7" ca="1">_xludf.XLOOKUP(A7,Batch_Data!$A$2:$A$438,Batch_Data!$B$2:$B$438)</f>
        <v>#NAME?</v>
      </c>
    </row>
    <row r="8" spans="1:3" ht="15.75" customHeight="1">
      <c r="A8" s="105" t="s">
        <v>184</v>
      </c>
      <c r="B8" s="106" t="e">
        <f t="array" aca="1" ref="B8" ca="1">_xludf.XLOOKUP(A8,Batch_Data!$A$2:$A$438,Batch_Data!$B$2:$B$438)</f>
        <v>#NAME?</v>
      </c>
    </row>
    <row r="9" spans="1:3" ht="15.75" customHeight="1">
      <c r="A9" s="105" t="s">
        <v>185</v>
      </c>
      <c r="B9" s="106" t="e">
        <f t="array" aca="1" ref="B9" ca="1">_xludf.XLOOKUP(A9,Batch_Data!$A$2:$A$438,Batch_Data!$B$2:$B$438)</f>
        <v>#NAME?</v>
      </c>
    </row>
    <row r="10" spans="1:3" ht="15.75" customHeight="1">
      <c r="A10" s="105" t="s">
        <v>186</v>
      </c>
      <c r="B10" s="106" t="e">
        <f t="array" aca="1" ref="B10" ca="1">_xludf.XLOOKUP(A10,Batch_Data!$A$2:$A$438,Batch_Data!$B$2:$B$438)</f>
        <v>#NAME?</v>
      </c>
    </row>
    <row r="11" spans="1:3" ht="15.75" customHeight="1">
      <c r="A11" s="105" t="s">
        <v>187</v>
      </c>
      <c r="B11" s="106" t="e">
        <f t="array" aca="1" ref="B11" ca="1">_xludf.XLOOKUP(A11,Batch_Data!$A$2:$A$438,Batch_Data!$B$2:$B$438)</f>
        <v>#NAME?</v>
      </c>
    </row>
    <row r="12" spans="1:3" ht="15.75" customHeight="1">
      <c r="A12" s="105" t="s">
        <v>188</v>
      </c>
      <c r="B12" s="106" t="e">
        <f t="array" aca="1" ref="B12" ca="1">_xludf.XLOOKUP(A12,Batch_Data!$A$2:$A$438,Batch_Data!$B$2:$B$438)</f>
        <v>#NAME?</v>
      </c>
    </row>
    <row r="13" spans="1:3" ht="15.75" customHeight="1">
      <c r="A13" s="105" t="s">
        <v>189</v>
      </c>
      <c r="B13" s="106" t="e">
        <f t="array" aca="1" ref="B13" ca="1">_xludf.XLOOKUP(A13,Batch_Data!$A$2:$A$438,Batch_Data!$B$2:$B$438)</f>
        <v>#NAME?</v>
      </c>
    </row>
    <row r="14" spans="1:3" ht="15.75" customHeight="1">
      <c r="A14" s="105" t="s">
        <v>190</v>
      </c>
      <c r="B14" s="106" t="e">
        <f t="array" aca="1" ref="B14" ca="1">_xludf.XLOOKUP(A14,Batch_Data!$A$2:$A$438,Batch_Data!$B$2:$B$438)</f>
        <v>#NAME?</v>
      </c>
    </row>
    <row r="15" spans="1:3" ht="15.75" customHeight="1">
      <c r="A15" s="105" t="s">
        <v>191</v>
      </c>
      <c r="B15" s="106" t="e">
        <f t="array" aca="1" ref="B15" ca="1">_xludf.XLOOKUP(A15,Batch_Data!$A$2:$A$438,Batch_Data!$B$2:$B$438)</f>
        <v>#NAME?</v>
      </c>
    </row>
    <row r="16" spans="1:3" ht="15.75" customHeight="1">
      <c r="A16" s="105" t="s">
        <v>192</v>
      </c>
      <c r="B16" s="106" t="e">
        <f t="array" aca="1" ref="B16" ca="1">_xludf.XLOOKUP(A16,Batch_Data!$A$2:$A$438,Batch_Data!$B$2:$B$438)</f>
        <v>#NAME?</v>
      </c>
    </row>
    <row r="17" spans="1:2" ht="15.75" customHeight="1">
      <c r="A17" s="105" t="s">
        <v>193</v>
      </c>
      <c r="B17" s="106" t="e">
        <f t="array" aca="1" ref="B17" ca="1">_xludf.XLOOKUP(A17,Batch_Data!$A$2:$A$438,Batch_Data!$B$2:$B$438)</f>
        <v>#NAME?</v>
      </c>
    </row>
    <row r="18" spans="1:2" ht="15.75" customHeight="1">
      <c r="A18" s="105" t="s">
        <v>194</v>
      </c>
      <c r="B18" s="106" t="e">
        <f t="array" aca="1" ref="B18" ca="1">_xludf.XLOOKUP(A18,Batch_Data!$A$2:$A$438,Batch_Data!$B$2:$B$438)</f>
        <v>#NAME?</v>
      </c>
    </row>
    <row r="19" spans="1:2" ht="15.75" customHeight="1">
      <c r="A19" s="105" t="s">
        <v>195</v>
      </c>
      <c r="B19" s="106" t="e">
        <f t="array" aca="1" ref="B19" ca="1">_xludf.XLOOKUP(A19,Batch_Data!$A$2:$A$438,Batch_Data!$B$2:$B$438)</f>
        <v>#NAME?</v>
      </c>
    </row>
    <row r="20" spans="1:2" ht="15.75" customHeight="1">
      <c r="A20" s="105" t="s">
        <v>196</v>
      </c>
      <c r="B20" s="106" t="e">
        <f t="array" aca="1" ref="B20" ca="1">_xludf.XLOOKUP(A20,Batch_Data!$A$2:$A$438,Batch_Data!$B$2:$B$438)</f>
        <v>#NAME?</v>
      </c>
    </row>
    <row r="21" spans="1:2" ht="15.75" customHeight="1">
      <c r="A21" s="105" t="s">
        <v>197</v>
      </c>
      <c r="B21" s="106" t="e">
        <f t="array" aca="1" ref="B21" ca="1">_xludf.XLOOKUP(A21,Batch_Data!$A$2:$A$438,Batch_Data!$B$2:$B$438)</f>
        <v>#NAME?</v>
      </c>
    </row>
    <row r="22" spans="1:2" ht="15.75" customHeight="1">
      <c r="A22" s="105" t="s">
        <v>198</v>
      </c>
      <c r="B22" s="106" t="e">
        <f t="array" aca="1" ref="B22" ca="1">_xludf.XLOOKUP(A22,Batch_Data!$A$2:$A$438,Batch_Data!$B$2:$B$438)</f>
        <v>#NAME?</v>
      </c>
    </row>
    <row r="23" spans="1:2" ht="15.75" customHeight="1">
      <c r="A23" s="105" t="s">
        <v>199</v>
      </c>
      <c r="B23" s="106" t="e">
        <f t="array" aca="1" ref="B23" ca="1">_xludf.XLOOKUP(A23,Batch_Data!$A$2:$A$438,Batch_Data!$B$2:$B$438)</f>
        <v>#NAME?</v>
      </c>
    </row>
    <row r="24" spans="1:2" ht="15.75" customHeight="1">
      <c r="A24" s="105" t="s">
        <v>200</v>
      </c>
      <c r="B24" s="106" t="e">
        <f t="array" aca="1" ref="B24" ca="1">_xludf.XLOOKUP(A24,Batch_Data!$A$2:$A$438,Batch_Data!$B$2:$B$438)</f>
        <v>#NAME?</v>
      </c>
    </row>
    <row r="25" spans="1:2" ht="15.75" customHeight="1">
      <c r="A25" s="105" t="s">
        <v>201</v>
      </c>
      <c r="B25" s="106" t="e">
        <f t="array" aca="1" ref="B25" ca="1">_xludf.XLOOKUP(A25,Batch_Data!$A$2:$A$438,Batch_Data!$B$2:$B$438)</f>
        <v>#NAME?</v>
      </c>
    </row>
    <row r="26" spans="1:2" ht="15.75" customHeight="1">
      <c r="A26" s="105" t="s">
        <v>202</v>
      </c>
      <c r="B26" s="106" t="e">
        <f t="array" aca="1" ref="B26" ca="1">_xludf.XLOOKUP(A26,Batch_Data!$A$2:$A$438,Batch_Data!$B$2:$B$438)</f>
        <v>#NAME?</v>
      </c>
    </row>
    <row r="27" spans="1:2" ht="15.75" customHeight="1">
      <c r="A27" s="105" t="s">
        <v>203</v>
      </c>
      <c r="B27" s="106" t="e">
        <f t="array" aca="1" ref="B27" ca="1">_xludf.XLOOKUP(A27,Batch_Data!$A$2:$A$438,Batch_Data!$B$2:$B$438)</f>
        <v>#NAME?</v>
      </c>
    </row>
    <row r="28" spans="1:2" ht="15.75" customHeight="1">
      <c r="A28" s="105" t="s">
        <v>204</v>
      </c>
      <c r="B28" s="106" t="e">
        <f t="array" aca="1" ref="B28" ca="1">_xludf.XLOOKUP(A28,Batch_Data!$A$2:$A$438,Batch_Data!$B$2:$B$438)</f>
        <v>#NAME?</v>
      </c>
    </row>
    <row r="29" spans="1:2" ht="15.75" customHeight="1">
      <c r="A29" s="105" t="s">
        <v>205</v>
      </c>
      <c r="B29" s="106" t="e">
        <f t="array" aca="1" ref="B29" ca="1">_xludf.XLOOKUP(A29,Batch_Data!$A$2:$A$438,Batch_Data!$B$2:$B$438)</f>
        <v>#NAME?</v>
      </c>
    </row>
    <row r="30" spans="1:2" ht="15.75" customHeight="1">
      <c r="A30" s="105" t="s">
        <v>206</v>
      </c>
      <c r="B30" s="106" t="e">
        <f t="array" aca="1" ref="B30" ca="1">_xludf.XLOOKUP(A30,Batch_Data!$A$2:$A$438,Batch_Data!$B$2:$B$438)</f>
        <v>#NAME?</v>
      </c>
    </row>
    <row r="31" spans="1:2" ht="15.75" customHeight="1">
      <c r="A31" s="105" t="s">
        <v>207</v>
      </c>
      <c r="B31" s="106" t="e">
        <f t="array" aca="1" ref="B31" ca="1">_xludf.XLOOKUP(A31,Batch_Data!$A$2:$A$438,Batch_Data!$B$2:$B$438)</f>
        <v>#NAME?</v>
      </c>
    </row>
    <row r="32" spans="1:2" ht="15.75" customHeight="1">
      <c r="A32" s="105" t="s">
        <v>208</v>
      </c>
      <c r="B32" s="106" t="e">
        <f t="array" aca="1" ref="B32" ca="1">_xludf.XLOOKUP(A32,Batch_Data!$A$2:$A$438,Batch_Data!$B$2:$B$438)</f>
        <v>#NAME?</v>
      </c>
    </row>
    <row r="33" spans="1:2" ht="15.75" customHeight="1">
      <c r="A33" s="105" t="s">
        <v>209</v>
      </c>
      <c r="B33" s="106" t="e">
        <f t="array" aca="1" ref="B33" ca="1">_xludf.XLOOKUP(A33,Batch_Data!$A$2:$A$438,Batch_Data!$B$2:$B$438)</f>
        <v>#NAME?</v>
      </c>
    </row>
    <row r="34" spans="1:2" ht="15.75" customHeight="1">
      <c r="A34" s="105" t="s">
        <v>210</v>
      </c>
      <c r="B34" s="106" t="e">
        <f t="array" aca="1" ref="B34" ca="1">_xludf.XLOOKUP(A34,Batch_Data!$A$2:$A$438,Batch_Data!$B$2:$B$438)</f>
        <v>#NAME?</v>
      </c>
    </row>
    <row r="35" spans="1:2" ht="15.75" customHeight="1">
      <c r="A35" s="105" t="s">
        <v>211</v>
      </c>
      <c r="B35" s="106" t="e">
        <f t="array" aca="1" ref="B35" ca="1">_xludf.XLOOKUP(A35,Batch_Data!$A$2:$A$438,Batch_Data!$B$2:$B$438)</f>
        <v>#NAME?</v>
      </c>
    </row>
    <row r="36" spans="1:2" ht="15.75" customHeight="1">
      <c r="A36" s="105" t="s">
        <v>212</v>
      </c>
      <c r="B36" s="106" t="e">
        <f t="array" aca="1" ref="B36" ca="1">_xludf.XLOOKUP(A36,Batch_Data!$A$2:$A$438,Batch_Data!$B$2:$B$438)</f>
        <v>#NAME?</v>
      </c>
    </row>
    <row r="37" spans="1:2" ht="13">
      <c r="A37" s="105" t="s">
        <v>213</v>
      </c>
      <c r="B37" s="106" t="e">
        <f t="array" aca="1" ref="B37" ca="1">_xludf.XLOOKUP(A37,Batch_Data!$A$2:$A$438,Batch_Data!$B$2:$B$438)</f>
        <v>#NAME?</v>
      </c>
    </row>
    <row r="38" spans="1:2" ht="13">
      <c r="A38" s="105" t="s">
        <v>214</v>
      </c>
      <c r="B38" s="106" t="e">
        <f t="array" aca="1" ref="B38" ca="1">_xludf.XLOOKUP(A38,Batch_Data!$A$2:$A$438,Batch_Data!$B$2:$B$438)</f>
        <v>#NAME?</v>
      </c>
    </row>
    <row r="39" spans="1:2" ht="13">
      <c r="A39" s="105" t="s">
        <v>215</v>
      </c>
      <c r="B39" s="106" t="e">
        <f t="array" aca="1" ref="B39" ca="1">_xludf.XLOOKUP(A39,Batch_Data!$A$2:$A$438,Batch_Data!$B$2:$B$438)</f>
        <v>#NAME?</v>
      </c>
    </row>
    <row r="40" spans="1:2" ht="13">
      <c r="A40" s="105" t="s">
        <v>216</v>
      </c>
      <c r="B40" s="106" t="e">
        <f t="array" aca="1" ref="B40" ca="1">_xludf.XLOOKUP(A40,Batch_Data!$A$2:$A$438,Batch_Data!$B$2:$B$438)</f>
        <v>#NAME?</v>
      </c>
    </row>
    <row r="41" spans="1:2" ht="13">
      <c r="A41" s="105" t="s">
        <v>217</v>
      </c>
      <c r="B41" s="106" t="e">
        <f t="array" aca="1" ref="B41" ca="1">_xludf.XLOOKUP(A41,Batch_Data!$A$2:$A$438,Batch_Data!$B$2:$B$438)</f>
        <v>#NAME?</v>
      </c>
    </row>
    <row r="42" spans="1:2" ht="13">
      <c r="A42" s="105" t="s">
        <v>218</v>
      </c>
      <c r="B42" s="106" t="e">
        <f t="array" aca="1" ref="B42" ca="1">_xludf.XLOOKUP(A42,Batch_Data!$A$2:$A$438,Batch_Data!$B$2:$B$438)</f>
        <v>#NAME?</v>
      </c>
    </row>
    <row r="43" spans="1:2" ht="13">
      <c r="A43" s="105" t="s">
        <v>219</v>
      </c>
      <c r="B43" s="106" t="e">
        <f t="array" aca="1" ref="B43" ca="1">_xludf.XLOOKUP(A43,Batch_Data!$A$2:$A$438,Batch_Data!$B$2:$B$438)</f>
        <v>#NAME?</v>
      </c>
    </row>
    <row r="44" spans="1:2" ht="13">
      <c r="A44" s="105" t="s">
        <v>220</v>
      </c>
      <c r="B44" s="106" t="e">
        <f t="array" aca="1" ref="B44" ca="1">_xludf.XLOOKUP(A44,Batch_Data!$A$2:$A$438,Batch_Data!$B$2:$B$438)</f>
        <v>#NAME?</v>
      </c>
    </row>
    <row r="45" spans="1:2" ht="13">
      <c r="A45" s="105" t="s">
        <v>221</v>
      </c>
      <c r="B45" s="106" t="e">
        <f t="array" aca="1" ref="B45" ca="1">_xludf.XLOOKUP(A45,Batch_Data!$A$2:$A$438,Batch_Data!$B$2:$B$438)</f>
        <v>#NAME?</v>
      </c>
    </row>
    <row r="46" spans="1:2" ht="13">
      <c r="A46" s="105" t="s">
        <v>222</v>
      </c>
      <c r="B46" s="106" t="e">
        <f t="array" aca="1" ref="B46" ca="1">_xludf.XLOOKUP(A46,Batch_Data!$A$2:$A$438,Batch_Data!$B$2:$B$438)</f>
        <v>#NAME?</v>
      </c>
    </row>
    <row r="47" spans="1:2" ht="13">
      <c r="A47" s="105" t="s">
        <v>223</v>
      </c>
      <c r="B47" s="106" t="e">
        <f t="array" aca="1" ref="B47" ca="1">_xludf.XLOOKUP(A47,Batch_Data!$A$2:$A$438,Batch_Data!$B$2:$B$438)</f>
        <v>#NAME?</v>
      </c>
    </row>
    <row r="48" spans="1:2" ht="13">
      <c r="A48" s="105" t="s">
        <v>224</v>
      </c>
      <c r="B48" s="106" t="e">
        <f t="array" aca="1" ref="B48" ca="1">_xludf.XLOOKUP(A48,Batch_Data!$A$2:$A$438,Batch_Data!$B$2:$B$438)</f>
        <v>#NAME?</v>
      </c>
    </row>
    <row r="49" spans="1:2" ht="13">
      <c r="A49" s="105" t="s">
        <v>225</v>
      </c>
      <c r="B49" s="106" t="e">
        <f t="array" aca="1" ref="B49" ca="1">_xludf.XLOOKUP(A49,Batch_Data!$A$2:$A$438,Batch_Data!$B$2:$B$438)</f>
        <v>#NAME?</v>
      </c>
    </row>
    <row r="50" spans="1:2" ht="13">
      <c r="A50" s="105" t="s">
        <v>226</v>
      </c>
      <c r="B50" s="106" t="e">
        <f t="array" aca="1" ref="B50" ca="1">_xludf.XLOOKUP(A50,Batch_Data!$A$2:$A$438,Batch_Data!$B$2:$B$438)</f>
        <v>#NAME?</v>
      </c>
    </row>
    <row r="51" spans="1:2" ht="13">
      <c r="A51" s="105" t="s">
        <v>227</v>
      </c>
      <c r="B51" s="106" t="e">
        <f t="array" aca="1" ref="B51" ca="1">_xludf.XLOOKUP(A51,Batch_Data!$A$2:$A$438,Batch_Data!$B$2:$B$438)</f>
        <v>#NAME?</v>
      </c>
    </row>
    <row r="52" spans="1:2" ht="13">
      <c r="A52" s="105" t="s">
        <v>228</v>
      </c>
      <c r="B52" s="106" t="e">
        <f t="array" aca="1" ref="B52" ca="1">_xludf.XLOOKUP(A52,Batch_Data!$A$2:$A$438,Batch_Data!$B$2:$B$438)</f>
        <v>#NAME?</v>
      </c>
    </row>
    <row r="53" spans="1:2" ht="13">
      <c r="A53" s="105" t="s">
        <v>229</v>
      </c>
      <c r="B53" s="106" t="e">
        <f t="array" aca="1" ref="B53" ca="1">_xludf.XLOOKUP(A53,Batch_Data!$A$2:$A$438,Batch_Data!$B$2:$B$438)</f>
        <v>#NAME?</v>
      </c>
    </row>
    <row r="54" spans="1:2" ht="13">
      <c r="A54" s="105" t="s">
        <v>230</v>
      </c>
      <c r="B54" s="106" t="e">
        <f t="array" aca="1" ref="B54" ca="1">_xludf.XLOOKUP(A54,Batch_Data!$A$2:$A$438,Batch_Data!$B$2:$B$438)</f>
        <v>#NAME?</v>
      </c>
    </row>
    <row r="55" spans="1:2" ht="13">
      <c r="A55" s="105" t="s">
        <v>231</v>
      </c>
      <c r="B55" s="106" t="e">
        <f t="array" aca="1" ref="B55" ca="1">_xludf.XLOOKUP(A55,Batch_Data!$A$2:$A$438,Batch_Data!$B$2:$B$438)</f>
        <v>#NAME?</v>
      </c>
    </row>
    <row r="56" spans="1:2" ht="13">
      <c r="A56" s="105" t="s">
        <v>232</v>
      </c>
      <c r="B56" s="106" t="e">
        <f t="array" aca="1" ref="B56" ca="1">_xludf.XLOOKUP(A56,Batch_Data!$A$2:$A$438,Batch_Data!$B$2:$B$438)</f>
        <v>#NAME?</v>
      </c>
    </row>
    <row r="57" spans="1:2" ht="13">
      <c r="A57" s="105" t="s">
        <v>233</v>
      </c>
      <c r="B57" s="106" t="e">
        <f t="array" aca="1" ref="B57" ca="1">_xludf.XLOOKUP(A57,Batch_Data!$A$2:$A$438,Batch_Data!$B$2:$B$438)</f>
        <v>#NAME?</v>
      </c>
    </row>
    <row r="58" spans="1:2" ht="13">
      <c r="A58" s="105" t="s">
        <v>234</v>
      </c>
      <c r="B58" s="106" t="e">
        <f t="array" aca="1" ref="B58" ca="1">_xludf.XLOOKUP(A58,Batch_Data!$A$2:$A$438,Batch_Data!$B$2:$B$438)</f>
        <v>#NAME?</v>
      </c>
    </row>
    <row r="59" spans="1:2" ht="13">
      <c r="A59" s="105" t="s">
        <v>235</v>
      </c>
      <c r="B59" s="106" t="e">
        <f t="array" aca="1" ref="B59" ca="1">_xludf.XLOOKUP(A59,Batch_Data!$A$2:$A$438,Batch_Data!$B$2:$B$438)</f>
        <v>#NAME?</v>
      </c>
    </row>
    <row r="60" spans="1:2" ht="13">
      <c r="A60" s="105" t="s">
        <v>236</v>
      </c>
      <c r="B60" s="106" t="e">
        <f t="array" aca="1" ref="B60" ca="1">_xludf.XLOOKUP(A60,Batch_Data!$A$2:$A$438,Batch_Data!$B$2:$B$438)</f>
        <v>#NAME?</v>
      </c>
    </row>
    <row r="61" spans="1:2" ht="13">
      <c r="A61" s="105" t="s">
        <v>237</v>
      </c>
      <c r="B61" s="106" t="e">
        <f t="array" aca="1" ref="B61" ca="1">_xludf.XLOOKUP(A61,Batch_Data!$A$2:$A$438,Batch_Data!$B$2:$B$438)</f>
        <v>#NAME?</v>
      </c>
    </row>
    <row r="62" spans="1:2" ht="13">
      <c r="A62" s="105" t="s">
        <v>238</v>
      </c>
      <c r="B62" s="106" t="e">
        <f t="array" aca="1" ref="B62" ca="1">_xludf.XLOOKUP(A62,Batch_Data!$A$2:$A$438,Batch_Data!$B$2:$B$438)</f>
        <v>#NAME?</v>
      </c>
    </row>
    <row r="63" spans="1:2" ht="13">
      <c r="A63" s="105" t="s">
        <v>239</v>
      </c>
      <c r="B63" s="106" t="e">
        <f t="array" aca="1" ref="B63" ca="1">_xludf.XLOOKUP(A63,Batch_Data!$A$2:$A$438,Batch_Data!$B$2:$B$438)</f>
        <v>#NAME?</v>
      </c>
    </row>
    <row r="64" spans="1:2" ht="13">
      <c r="A64" s="105" t="s">
        <v>240</v>
      </c>
      <c r="B64" s="106" t="e">
        <f t="array" aca="1" ref="B64" ca="1">_xludf.XLOOKUP(A64,Batch_Data!$A$2:$A$438,Batch_Data!$B$2:$B$438)</f>
        <v>#NAME?</v>
      </c>
    </row>
    <row r="65" spans="1:2" ht="13">
      <c r="A65" s="105" t="s">
        <v>241</v>
      </c>
      <c r="B65" s="106" t="e">
        <f t="array" aca="1" ref="B65" ca="1">_xludf.XLOOKUP(A65,Batch_Data!$A$2:$A$438,Batch_Data!$B$2:$B$438)</f>
        <v>#NAME?</v>
      </c>
    </row>
    <row r="66" spans="1:2" ht="13">
      <c r="A66" s="105" t="s">
        <v>242</v>
      </c>
      <c r="B66" s="106" t="e">
        <f t="array" aca="1" ref="B66" ca="1">_xludf.XLOOKUP(A66,Batch_Data!$A$2:$A$438,Batch_Data!$B$2:$B$438)</f>
        <v>#NAME?</v>
      </c>
    </row>
    <row r="67" spans="1:2" ht="13">
      <c r="A67" s="105" t="s">
        <v>243</v>
      </c>
      <c r="B67" s="106" t="e">
        <f t="array" aca="1" ref="B67" ca="1">_xludf.XLOOKUP(A67,Batch_Data!$A$2:$A$438,Batch_Data!$B$2:$B$438)</f>
        <v>#NAME?</v>
      </c>
    </row>
    <row r="68" spans="1:2" ht="13">
      <c r="A68" s="105" t="s">
        <v>244</v>
      </c>
      <c r="B68" s="106" t="e">
        <f t="array" aca="1" ref="B68" ca="1">_xludf.XLOOKUP(A68,Batch_Data!$A$2:$A$438,Batch_Data!$B$2:$B$438)</f>
        <v>#NAME?</v>
      </c>
    </row>
    <row r="69" spans="1:2" ht="13">
      <c r="A69" s="105" t="s">
        <v>245</v>
      </c>
      <c r="B69" s="106" t="e">
        <f t="array" aca="1" ref="B69" ca="1">_xludf.XLOOKUP(A69,Batch_Data!$A$2:$A$438,Batch_Data!$B$2:$B$438)</f>
        <v>#NAME?</v>
      </c>
    </row>
    <row r="70" spans="1:2" ht="13">
      <c r="A70" s="105" t="s">
        <v>246</v>
      </c>
      <c r="B70" s="106" t="e">
        <f t="array" aca="1" ref="B70" ca="1">_xludf.XLOOKUP(A70,Batch_Data!$A$2:$A$438,Batch_Data!$B$2:$B$438)</f>
        <v>#NAME?</v>
      </c>
    </row>
    <row r="71" spans="1:2" ht="13">
      <c r="A71" s="105" t="s">
        <v>247</v>
      </c>
      <c r="B71" s="106" t="e">
        <f t="array" aca="1" ref="B71" ca="1">_xludf.XLOOKUP(A71,Batch_Data!$A$2:$A$438,Batch_Data!$B$2:$B$438)</f>
        <v>#NAME?</v>
      </c>
    </row>
    <row r="72" spans="1:2" ht="13">
      <c r="A72" s="105" t="s">
        <v>248</v>
      </c>
      <c r="B72" s="106" t="e">
        <f t="array" aca="1" ref="B72" ca="1">_xludf.XLOOKUP(A72,Batch_Data!$A$2:$A$438,Batch_Data!$B$2:$B$438)</f>
        <v>#NAME?</v>
      </c>
    </row>
    <row r="73" spans="1:2" ht="13">
      <c r="A73" s="105" t="s">
        <v>249</v>
      </c>
      <c r="B73" s="106" t="e">
        <f t="array" aca="1" ref="B73" ca="1">_xludf.XLOOKUP(A73,Batch_Data!$A$2:$A$438,Batch_Data!$B$2:$B$438)</f>
        <v>#NAME?</v>
      </c>
    </row>
    <row r="74" spans="1:2" ht="13">
      <c r="A74" s="105" t="s">
        <v>250</v>
      </c>
      <c r="B74" s="106" t="e">
        <f t="array" aca="1" ref="B74" ca="1">_xludf.XLOOKUP(A74,Batch_Data!$A$2:$A$438,Batch_Data!$B$2:$B$438)</f>
        <v>#NAME?</v>
      </c>
    </row>
    <row r="75" spans="1:2" ht="13">
      <c r="A75" s="105" t="s">
        <v>251</v>
      </c>
      <c r="B75" s="106" t="e">
        <f t="array" aca="1" ref="B75" ca="1">_xludf.XLOOKUP(A75,Batch_Data!$A$2:$A$438,Batch_Data!$B$2:$B$438)</f>
        <v>#NAME?</v>
      </c>
    </row>
    <row r="76" spans="1:2" ht="13">
      <c r="A76" s="105" t="s">
        <v>252</v>
      </c>
      <c r="B76" s="106" t="e">
        <f t="array" aca="1" ref="B76" ca="1">_xludf.XLOOKUP(A76,Batch_Data!$A$2:$A$438,Batch_Data!$B$2:$B$438)</f>
        <v>#NAME?</v>
      </c>
    </row>
    <row r="77" spans="1:2" ht="13">
      <c r="A77" s="105" t="s">
        <v>253</v>
      </c>
      <c r="B77" s="106" t="e">
        <f t="array" aca="1" ref="B77" ca="1">_xludf.XLOOKUP(A77,Batch_Data!$A$2:$A$438,Batch_Data!$B$2:$B$438)</f>
        <v>#NAME?</v>
      </c>
    </row>
    <row r="78" spans="1:2" ht="13">
      <c r="A78" s="105" t="s">
        <v>254</v>
      </c>
      <c r="B78" s="106" t="e">
        <f t="array" aca="1" ref="B78" ca="1">_xludf.XLOOKUP(A78,Batch_Data!$A$2:$A$438,Batch_Data!$B$2:$B$438)</f>
        <v>#NAME?</v>
      </c>
    </row>
    <row r="79" spans="1:2" ht="13">
      <c r="A79" s="105" t="s">
        <v>255</v>
      </c>
      <c r="B79" s="106" t="e">
        <f t="array" aca="1" ref="B79" ca="1">_xludf.XLOOKUP(A79,Batch_Data!$A$2:$A$438,Batch_Data!$B$2:$B$438)</f>
        <v>#NAME?</v>
      </c>
    </row>
    <row r="80" spans="1:2" ht="13">
      <c r="A80" s="105" t="s">
        <v>256</v>
      </c>
      <c r="B80" s="106" t="e">
        <f t="array" aca="1" ref="B80" ca="1">_xludf.XLOOKUP(A80,Batch_Data!$A$2:$A$438,Batch_Data!$B$2:$B$438)</f>
        <v>#NAME?</v>
      </c>
    </row>
    <row r="81" spans="1:2" ht="13">
      <c r="A81" s="105" t="s">
        <v>257</v>
      </c>
      <c r="B81" s="106" t="e">
        <f t="array" aca="1" ref="B81" ca="1">_xludf.XLOOKUP(A81,Batch_Data!$A$2:$A$438,Batch_Data!$B$2:$B$438)</f>
        <v>#NAME?</v>
      </c>
    </row>
    <row r="82" spans="1:2" ht="13">
      <c r="A82" s="105" t="s">
        <v>258</v>
      </c>
      <c r="B82" s="106" t="e">
        <f t="array" aca="1" ref="B82" ca="1">_xludf.XLOOKUP(A82,Batch_Data!$A$2:$A$438,Batch_Data!$B$2:$B$438)</f>
        <v>#NAME?</v>
      </c>
    </row>
    <row r="83" spans="1:2" ht="13">
      <c r="A83" s="105" t="s">
        <v>259</v>
      </c>
      <c r="B83" s="106" t="e">
        <f t="array" aca="1" ref="B83" ca="1">_xludf.XLOOKUP(A83,Batch_Data!$A$2:$A$438,Batch_Data!$B$2:$B$438)</f>
        <v>#NAME?</v>
      </c>
    </row>
    <row r="84" spans="1:2" ht="13">
      <c r="A84" s="105" t="s">
        <v>260</v>
      </c>
      <c r="B84" s="106" t="e">
        <f t="array" aca="1" ref="B84" ca="1">_xludf.XLOOKUP(A84,Batch_Data!$A$2:$A$438,Batch_Data!$B$2:$B$438)</f>
        <v>#NAME?</v>
      </c>
    </row>
    <row r="85" spans="1:2" ht="13">
      <c r="A85" s="105" t="s">
        <v>261</v>
      </c>
      <c r="B85" s="106" t="e">
        <f t="array" aca="1" ref="B85" ca="1">_xludf.XLOOKUP(A85,Batch_Data!$A$2:$A$438,Batch_Data!$B$2:$B$438)</f>
        <v>#NAME?</v>
      </c>
    </row>
    <row r="86" spans="1:2" ht="13">
      <c r="A86" s="105" t="s">
        <v>262</v>
      </c>
      <c r="B86" s="106" t="e">
        <f t="array" aca="1" ref="B86" ca="1">_xludf.XLOOKUP(A86,Batch_Data!$A$2:$A$438,Batch_Data!$B$2:$B$438)</f>
        <v>#NAME?</v>
      </c>
    </row>
    <row r="87" spans="1:2" ht="13">
      <c r="A87" s="105" t="s">
        <v>263</v>
      </c>
      <c r="B87" s="106" t="e">
        <f t="array" aca="1" ref="B87" ca="1">_xludf.XLOOKUP(A87,Batch_Data!$A$2:$A$438,Batch_Data!$B$2:$B$438)</f>
        <v>#NAME?</v>
      </c>
    </row>
    <row r="88" spans="1:2" ht="13">
      <c r="A88" s="105" t="s">
        <v>264</v>
      </c>
      <c r="B88" s="106" t="e">
        <f t="array" aca="1" ref="B88" ca="1">_xludf.XLOOKUP(A88,Batch_Data!$A$2:$A$438,Batch_Data!$B$2:$B$438)</f>
        <v>#NAME?</v>
      </c>
    </row>
    <row r="89" spans="1:2" ht="13">
      <c r="A89" s="105" t="s">
        <v>265</v>
      </c>
      <c r="B89" s="106" t="e">
        <f t="array" aca="1" ref="B89" ca="1">_xludf.XLOOKUP(A89,Batch_Data!$A$2:$A$438,Batch_Data!$B$2:$B$438)</f>
        <v>#NAME?</v>
      </c>
    </row>
    <row r="90" spans="1:2" ht="13">
      <c r="A90" s="105" t="s">
        <v>266</v>
      </c>
      <c r="B90" s="106" t="e">
        <f t="array" aca="1" ref="B90" ca="1">_xludf.XLOOKUP(A90,Batch_Data!$A$2:$A$438,Batch_Data!$B$2:$B$438)</f>
        <v>#NAME?</v>
      </c>
    </row>
    <row r="91" spans="1:2" ht="13">
      <c r="A91" s="105" t="s">
        <v>267</v>
      </c>
      <c r="B91" s="106" t="e">
        <f t="array" aca="1" ref="B91" ca="1">_xludf.XLOOKUP(A91,Batch_Data!$A$2:$A$438,Batch_Data!$B$2:$B$438)</f>
        <v>#NAME?</v>
      </c>
    </row>
    <row r="92" spans="1:2" ht="13">
      <c r="A92" s="105" t="s">
        <v>268</v>
      </c>
      <c r="B92" s="106" t="e">
        <f t="array" aca="1" ref="B92" ca="1">_xludf.XLOOKUP(A92,Batch_Data!$A$2:$A$438,Batch_Data!$B$2:$B$438)</f>
        <v>#NAME?</v>
      </c>
    </row>
    <row r="93" spans="1:2" ht="13">
      <c r="A93" s="105" t="s">
        <v>269</v>
      </c>
      <c r="B93" s="106" t="e">
        <f t="array" aca="1" ref="B93" ca="1">_xludf.XLOOKUP(A93,Batch_Data!$A$2:$A$438,Batch_Data!$B$2:$B$438)</f>
        <v>#NAME?</v>
      </c>
    </row>
    <row r="94" spans="1:2" ht="13">
      <c r="A94" s="105" t="s">
        <v>270</v>
      </c>
      <c r="B94" s="106" t="e">
        <f t="array" aca="1" ref="B94" ca="1">_xludf.XLOOKUP(A94,Batch_Data!$A$2:$A$438,Batch_Data!$B$2:$B$438)</f>
        <v>#NAME?</v>
      </c>
    </row>
    <row r="95" spans="1:2" ht="13">
      <c r="A95" s="105" t="s">
        <v>271</v>
      </c>
      <c r="B95" s="106" t="e">
        <f t="array" aca="1" ref="B95" ca="1">_xludf.XLOOKUP(A95,Batch_Data!$A$2:$A$438,Batch_Data!$B$2:$B$438)</f>
        <v>#NAME?</v>
      </c>
    </row>
    <row r="96" spans="1:2" ht="13">
      <c r="A96" s="105" t="s">
        <v>272</v>
      </c>
      <c r="B96" s="106" t="e">
        <f t="array" aca="1" ref="B96" ca="1">_xludf.XLOOKUP(A96,Batch_Data!$A$2:$A$438,Batch_Data!$B$2:$B$438)</f>
        <v>#NAME?</v>
      </c>
    </row>
    <row r="97" spans="1:2" ht="13">
      <c r="A97" s="105" t="s">
        <v>273</v>
      </c>
      <c r="B97" s="106" t="e">
        <f t="array" aca="1" ref="B97" ca="1">_xludf.XLOOKUP(A97,Batch_Data!$A$2:$A$438,Batch_Data!$B$2:$B$438)</f>
        <v>#NAME?</v>
      </c>
    </row>
    <row r="98" spans="1:2" ht="13">
      <c r="A98" s="105" t="s">
        <v>274</v>
      </c>
      <c r="B98" s="106" t="e">
        <f t="array" aca="1" ref="B98" ca="1">_xludf.XLOOKUP(A98,Batch_Data!$A$2:$A$438,Batch_Data!$B$2:$B$438)</f>
        <v>#NAME?</v>
      </c>
    </row>
    <row r="99" spans="1:2" ht="13">
      <c r="A99" s="105" t="s">
        <v>275</v>
      </c>
      <c r="B99" s="106" t="e">
        <f t="array" aca="1" ref="B99" ca="1">_xludf.XLOOKUP(A99,Batch_Data!$A$2:$A$438,Batch_Data!$B$2:$B$438)</f>
        <v>#NAME?</v>
      </c>
    </row>
    <row r="100" spans="1:2" ht="13">
      <c r="A100" s="105" t="s">
        <v>276</v>
      </c>
      <c r="B100" s="106" t="e">
        <f t="array" aca="1" ref="B100" ca="1">_xludf.XLOOKUP(A100,Batch_Data!$A$2:$A$438,Batch_Data!$B$2:$B$438)</f>
        <v>#NAME?</v>
      </c>
    </row>
    <row r="101" spans="1:2" ht="13">
      <c r="A101" s="105" t="s">
        <v>277</v>
      </c>
      <c r="B101" s="106" t="e">
        <f t="array" aca="1" ref="B101" ca="1">_xludf.XLOOKUP(A101,Batch_Data!$A$2:$A$438,Batch_Data!$B$2:$B$438)</f>
        <v>#NAME?</v>
      </c>
    </row>
    <row r="102" spans="1:2" ht="13">
      <c r="A102" s="105" t="s">
        <v>278</v>
      </c>
      <c r="B102" s="106" t="e">
        <f t="array" aca="1" ref="B102" ca="1">_xludf.XLOOKUP(A102,Batch_Data!$A$2:$A$438,Batch_Data!$B$2:$B$438)</f>
        <v>#NAME?</v>
      </c>
    </row>
    <row r="103" spans="1:2" ht="13">
      <c r="A103" s="105" t="s">
        <v>279</v>
      </c>
      <c r="B103" s="106" t="e">
        <f t="array" aca="1" ref="B103" ca="1">_xludf.XLOOKUP(A103,Batch_Data!$A$2:$A$438,Batch_Data!$B$2:$B$438)</f>
        <v>#NAME?</v>
      </c>
    </row>
    <row r="104" spans="1:2" ht="13">
      <c r="A104" s="105" t="s">
        <v>280</v>
      </c>
      <c r="B104" s="106" t="e">
        <f t="array" aca="1" ref="B104" ca="1">_xludf.XLOOKUP(A104,Batch_Data!$A$2:$A$438,Batch_Data!$B$2:$B$438)</f>
        <v>#NAME?</v>
      </c>
    </row>
    <row r="105" spans="1:2" ht="13">
      <c r="A105" s="105" t="s">
        <v>281</v>
      </c>
      <c r="B105" s="106" t="e">
        <f t="array" aca="1" ref="B105" ca="1">_xludf.XLOOKUP(A105,Batch_Data!$A$2:$A$438,Batch_Data!$B$2:$B$438)</f>
        <v>#NAME?</v>
      </c>
    </row>
    <row r="106" spans="1:2" ht="13">
      <c r="A106" s="105" t="s">
        <v>282</v>
      </c>
      <c r="B106" s="106" t="e">
        <f t="array" aca="1" ref="B106" ca="1">_xludf.XLOOKUP(A106,Batch_Data!$A$2:$A$438,Batch_Data!$B$2:$B$438)</f>
        <v>#NAME?</v>
      </c>
    </row>
    <row r="107" spans="1:2" ht="13">
      <c r="A107" s="105" t="s">
        <v>283</v>
      </c>
      <c r="B107" s="106" t="e">
        <f t="array" aca="1" ref="B107" ca="1">_xludf.XLOOKUP(A107,Batch_Data!$A$2:$A$438,Batch_Data!$B$2:$B$438)</f>
        <v>#NAME?</v>
      </c>
    </row>
    <row r="108" spans="1:2" ht="13">
      <c r="A108" s="105" t="s">
        <v>284</v>
      </c>
      <c r="B108" s="106" t="e">
        <f t="array" aca="1" ref="B108" ca="1">_xludf.XLOOKUP(A108,Batch_Data!$A$2:$A$438,Batch_Data!$B$2:$B$438)</f>
        <v>#NAME?</v>
      </c>
    </row>
    <row r="109" spans="1:2" ht="13">
      <c r="A109" s="105" t="s">
        <v>285</v>
      </c>
      <c r="B109" s="106" t="e">
        <f t="array" aca="1" ref="B109" ca="1">_xludf.XLOOKUP(A109,Batch_Data!$A$2:$A$438,Batch_Data!$B$2:$B$438)</f>
        <v>#NAME?</v>
      </c>
    </row>
    <row r="110" spans="1:2" ht="13">
      <c r="A110" s="105" t="s">
        <v>286</v>
      </c>
      <c r="B110" s="106" t="e">
        <f t="array" aca="1" ref="B110" ca="1">_xludf.XLOOKUP(A110,Batch_Data!$A$2:$A$438,Batch_Data!$B$2:$B$438)</f>
        <v>#NAME?</v>
      </c>
    </row>
    <row r="111" spans="1:2" ht="13">
      <c r="A111" s="105" t="s">
        <v>287</v>
      </c>
      <c r="B111" s="106" t="e">
        <f t="array" aca="1" ref="B111" ca="1">_xludf.XLOOKUP(A111,Batch_Data!$A$2:$A$438,Batch_Data!$B$2:$B$438)</f>
        <v>#NAME?</v>
      </c>
    </row>
    <row r="112" spans="1:2" ht="13">
      <c r="A112" s="105" t="s">
        <v>288</v>
      </c>
      <c r="B112" s="106" t="e">
        <f t="array" aca="1" ref="B112" ca="1">_xludf.XLOOKUP(A112,Batch_Data!$A$2:$A$438,Batch_Data!$B$2:$B$438)</f>
        <v>#NAME?</v>
      </c>
    </row>
    <row r="113" spans="1:2" ht="13">
      <c r="A113" s="105" t="s">
        <v>289</v>
      </c>
      <c r="B113" s="106" t="e">
        <f t="array" aca="1" ref="B113" ca="1">_xludf.XLOOKUP(A113,Batch_Data!$A$2:$A$438,Batch_Data!$B$2:$B$438)</f>
        <v>#NAME?</v>
      </c>
    </row>
    <row r="114" spans="1:2" ht="13">
      <c r="A114" s="105" t="s">
        <v>290</v>
      </c>
      <c r="B114" s="106" t="e">
        <f t="array" aca="1" ref="B114" ca="1">_xludf.XLOOKUP(A114,Batch_Data!$A$2:$A$438,Batch_Data!$B$2:$B$438)</f>
        <v>#NAME?</v>
      </c>
    </row>
    <row r="115" spans="1:2" ht="13">
      <c r="A115" s="105" t="s">
        <v>291</v>
      </c>
      <c r="B115" s="106" t="e">
        <f t="array" aca="1" ref="B115" ca="1">_xludf.XLOOKUP(A115,Batch_Data!$A$2:$A$438,Batch_Data!$B$2:$B$438)</f>
        <v>#NAME?</v>
      </c>
    </row>
    <row r="116" spans="1:2" ht="13">
      <c r="A116" s="105" t="s">
        <v>292</v>
      </c>
      <c r="B116" s="106" t="e">
        <f t="array" aca="1" ref="B116" ca="1">_xludf.XLOOKUP(A116,Batch_Data!$A$2:$A$438,Batch_Data!$B$2:$B$438)</f>
        <v>#NAME?</v>
      </c>
    </row>
    <row r="117" spans="1:2" ht="13">
      <c r="A117" s="105" t="s">
        <v>293</v>
      </c>
      <c r="B117" s="106" t="e">
        <f t="array" aca="1" ref="B117" ca="1">_xludf.XLOOKUP(A117,Batch_Data!$A$2:$A$438,Batch_Data!$B$2:$B$438)</f>
        <v>#NAME?</v>
      </c>
    </row>
    <row r="118" spans="1:2" ht="13">
      <c r="A118" s="105" t="s">
        <v>294</v>
      </c>
      <c r="B118" s="106" t="e">
        <f t="array" aca="1" ref="B118" ca="1">_xludf.XLOOKUP(A118,Batch_Data!$A$2:$A$438,Batch_Data!$B$2:$B$438)</f>
        <v>#NAME?</v>
      </c>
    </row>
    <row r="119" spans="1:2" ht="13">
      <c r="A119" s="105" t="s">
        <v>295</v>
      </c>
      <c r="B119" s="106" t="e">
        <f t="array" aca="1" ref="B119" ca="1">_xludf.XLOOKUP(A119,Batch_Data!$A$2:$A$438,Batch_Data!$B$2:$B$438)</f>
        <v>#NAME?</v>
      </c>
    </row>
    <row r="120" spans="1:2" ht="13">
      <c r="A120" s="105" t="s">
        <v>296</v>
      </c>
      <c r="B120" s="106" t="e">
        <f t="array" aca="1" ref="B120" ca="1">_xludf.XLOOKUP(A120,Batch_Data!$A$2:$A$438,Batch_Data!$B$2:$B$438)</f>
        <v>#NAME?</v>
      </c>
    </row>
    <row r="121" spans="1:2" ht="13">
      <c r="A121" s="105" t="s">
        <v>297</v>
      </c>
      <c r="B121" s="106" t="e">
        <f t="array" aca="1" ref="B121" ca="1">_xludf.XLOOKUP(A121,Batch_Data!$A$2:$A$438,Batch_Data!$B$2:$B$438)</f>
        <v>#NAME?</v>
      </c>
    </row>
    <row r="122" spans="1:2" ht="13">
      <c r="A122" s="105" t="s">
        <v>298</v>
      </c>
      <c r="B122" s="106" t="e">
        <f t="array" aca="1" ref="B122" ca="1">_xludf.XLOOKUP(A122,Batch_Data!$A$2:$A$438,Batch_Data!$B$2:$B$438)</f>
        <v>#NAME?</v>
      </c>
    </row>
    <row r="123" spans="1:2" ht="13">
      <c r="A123" s="105" t="s">
        <v>299</v>
      </c>
      <c r="B123" s="106" t="e">
        <f t="array" aca="1" ref="B123" ca="1">_xludf.XLOOKUP(A123,Batch_Data!$A$2:$A$438,Batch_Data!$B$2:$B$438)</f>
        <v>#NAME?</v>
      </c>
    </row>
    <row r="124" spans="1:2" ht="13">
      <c r="A124" s="105" t="s">
        <v>300</v>
      </c>
      <c r="B124" s="106" t="e">
        <f t="array" aca="1" ref="B124" ca="1">_xludf.XLOOKUP(A124,Batch_Data!$A$2:$A$438,Batch_Data!$B$2:$B$438)</f>
        <v>#NAME?</v>
      </c>
    </row>
    <row r="125" spans="1:2" ht="13">
      <c r="A125" s="105" t="s">
        <v>301</v>
      </c>
      <c r="B125" s="106" t="e">
        <f t="array" aca="1" ref="B125" ca="1">_xludf.XLOOKUP(A125,Batch_Data!$A$2:$A$438,Batch_Data!$B$2:$B$438)</f>
        <v>#NAME?</v>
      </c>
    </row>
    <row r="126" spans="1:2" ht="13">
      <c r="A126" s="105" t="s">
        <v>302</v>
      </c>
      <c r="B126" s="106" t="e">
        <f t="array" aca="1" ref="B126" ca="1">_xludf.XLOOKUP(A126,Batch_Data!$A$2:$A$438,Batch_Data!$B$2:$B$438)</f>
        <v>#NAME?</v>
      </c>
    </row>
    <row r="127" spans="1:2" ht="13">
      <c r="A127" s="105" t="s">
        <v>303</v>
      </c>
      <c r="B127" s="106" t="e">
        <f t="array" aca="1" ref="B127" ca="1">_xludf.XLOOKUP(A127,Batch_Data!$A$2:$A$438,Batch_Data!$B$2:$B$438)</f>
        <v>#NAME?</v>
      </c>
    </row>
    <row r="128" spans="1:2" ht="13">
      <c r="A128" s="105" t="s">
        <v>304</v>
      </c>
      <c r="B128" s="106" t="e">
        <f t="array" aca="1" ref="B128" ca="1">_xludf.XLOOKUP(A128,Batch_Data!$A$2:$A$438,Batch_Data!$B$2:$B$438)</f>
        <v>#NAME?</v>
      </c>
    </row>
    <row r="129" spans="1:2" ht="13">
      <c r="A129" s="105" t="s">
        <v>305</v>
      </c>
      <c r="B129" s="106" t="e">
        <f t="array" aca="1" ref="B129" ca="1">_xludf.XLOOKUP(A129,Batch_Data!$A$2:$A$438,Batch_Data!$B$2:$B$438)</f>
        <v>#NAME?</v>
      </c>
    </row>
    <row r="130" spans="1:2" ht="13">
      <c r="A130" s="105" t="s">
        <v>306</v>
      </c>
      <c r="B130" s="106" t="e">
        <f t="array" aca="1" ref="B130" ca="1">_xludf.XLOOKUP(A130,Batch_Data!$A$2:$A$438,Batch_Data!$B$2:$B$438)</f>
        <v>#NAME?</v>
      </c>
    </row>
    <row r="131" spans="1:2" ht="13">
      <c r="A131" s="105" t="s">
        <v>307</v>
      </c>
      <c r="B131" s="106" t="e">
        <f t="array" aca="1" ref="B131" ca="1">_xludf.XLOOKUP(A131,Batch_Data!$A$2:$A$438,Batch_Data!$B$2:$B$438)</f>
        <v>#NAME?</v>
      </c>
    </row>
    <row r="132" spans="1:2" ht="13">
      <c r="A132" s="105" t="s">
        <v>308</v>
      </c>
      <c r="B132" s="106" t="e">
        <f t="array" aca="1" ref="B132" ca="1">_xludf.XLOOKUP(A132,Batch_Data!$A$2:$A$438,Batch_Data!$B$2:$B$438)</f>
        <v>#NAME?</v>
      </c>
    </row>
    <row r="133" spans="1:2" ht="13">
      <c r="A133" s="105" t="s">
        <v>309</v>
      </c>
      <c r="B133" s="106" t="e">
        <f t="array" aca="1" ref="B133" ca="1">_xludf.XLOOKUP(A133,Batch_Data!$A$2:$A$438,Batch_Data!$B$2:$B$438)</f>
        <v>#NAME?</v>
      </c>
    </row>
    <row r="134" spans="1:2" ht="13">
      <c r="A134" s="105" t="s">
        <v>310</v>
      </c>
      <c r="B134" s="106" t="e">
        <f t="array" aca="1" ref="B134" ca="1">_xludf.XLOOKUP(A134,Batch_Data!$A$2:$A$438,Batch_Data!$B$2:$B$438)</f>
        <v>#NAME?</v>
      </c>
    </row>
    <row r="135" spans="1:2" ht="13">
      <c r="A135" s="105" t="s">
        <v>311</v>
      </c>
      <c r="B135" s="106" t="e">
        <f t="array" aca="1" ref="B135" ca="1">_xludf.XLOOKUP(A135,Batch_Data!$A$2:$A$438,Batch_Data!$B$2:$B$438)</f>
        <v>#NAME?</v>
      </c>
    </row>
    <row r="136" spans="1:2" ht="13">
      <c r="A136" s="105" t="s">
        <v>312</v>
      </c>
      <c r="B136" s="106" t="e">
        <f t="array" aca="1" ref="B136" ca="1">_xludf.XLOOKUP(A136,Batch_Data!$A$2:$A$438,Batch_Data!$B$2:$B$438)</f>
        <v>#NAME?</v>
      </c>
    </row>
    <row r="137" spans="1:2" ht="13">
      <c r="A137" s="105" t="s">
        <v>313</v>
      </c>
      <c r="B137" s="106" t="e">
        <f t="array" aca="1" ref="B137" ca="1">_xludf.XLOOKUP(A137,Batch_Data!$A$2:$A$438,Batch_Data!$B$2:$B$438)</f>
        <v>#NAME?</v>
      </c>
    </row>
    <row r="138" spans="1:2" ht="13">
      <c r="A138" s="105" t="s">
        <v>314</v>
      </c>
      <c r="B138" s="106" t="e">
        <f t="array" aca="1" ref="B138" ca="1">_xludf.XLOOKUP(A138,Batch_Data!$A$2:$A$438,Batch_Data!$B$2:$B$438)</f>
        <v>#NAME?</v>
      </c>
    </row>
    <row r="139" spans="1:2" ht="13">
      <c r="A139" s="105" t="s">
        <v>315</v>
      </c>
      <c r="B139" s="106" t="e">
        <f t="array" aca="1" ref="B139" ca="1">_xludf.XLOOKUP(A139,Batch_Data!$A$2:$A$438,Batch_Data!$B$2:$B$438)</f>
        <v>#NAME?</v>
      </c>
    </row>
    <row r="140" spans="1:2" ht="13">
      <c r="A140" s="105" t="s">
        <v>316</v>
      </c>
      <c r="B140" s="106" t="e">
        <f t="array" aca="1" ref="B140" ca="1">_xludf.XLOOKUP(A140,Batch_Data!$A$2:$A$438,Batch_Data!$B$2:$B$438)</f>
        <v>#NAME?</v>
      </c>
    </row>
    <row r="141" spans="1:2" ht="13">
      <c r="A141" s="105" t="s">
        <v>317</v>
      </c>
      <c r="B141" s="106" t="e">
        <f t="array" aca="1" ref="B141" ca="1">_xludf.XLOOKUP(A141,Batch_Data!$A$2:$A$438,Batch_Data!$B$2:$B$438)</f>
        <v>#NAME?</v>
      </c>
    </row>
    <row r="142" spans="1:2" ht="13">
      <c r="A142" s="105"/>
      <c r="B142" s="106" t="e">
        <f t="array" aca="1" ref="B142" ca="1">_xludf.XLOOKUP(A142,Batch_Data!$A$2:$A$438,Batch_Data!$B$2:$B$438)</f>
        <v>#NAME?</v>
      </c>
    </row>
    <row r="143" spans="1:2" ht="13">
      <c r="A143" s="105"/>
      <c r="B143" s="106" t="e">
        <f t="array" aca="1" ref="B143" ca="1">_xludf.XLOOKUP(A143,Batch_Data!$A$2:$A$438,Batch_Data!$B$2:$B$438)</f>
        <v>#NAME?</v>
      </c>
    </row>
    <row r="144" spans="1:2" ht="13">
      <c r="A144" s="105"/>
      <c r="B144" s="106" t="e">
        <f t="array" aca="1" ref="B144" ca="1">_xludf.XLOOKUP(A144,Batch_Data!$A$2:$A$438,Batch_Data!$B$2:$B$438)</f>
        <v>#NAME?</v>
      </c>
    </row>
    <row r="145" spans="1:2" ht="13">
      <c r="A145" s="105"/>
      <c r="B145" s="106" t="e">
        <f t="array" aca="1" ref="B145" ca="1">_xludf.XLOOKUP(A145,Batch_Data!$A$2:$A$438,Batch_Data!$B$2:$B$438)</f>
        <v>#NAME?</v>
      </c>
    </row>
    <row r="146" spans="1:2" ht="13">
      <c r="A146" s="105"/>
      <c r="B146" s="106" t="e">
        <f t="array" aca="1" ref="B146" ca="1">_xludf.XLOOKUP(A146,Batch_Data!$A$2:$A$438,Batch_Data!$B$2:$B$438)</f>
        <v>#NAME?</v>
      </c>
    </row>
    <row r="147" spans="1:2" ht="13">
      <c r="A147" s="105"/>
      <c r="B147" s="106" t="e">
        <f t="array" aca="1" ref="B147" ca="1">_xludf.XLOOKUP(A147,Batch_Data!$A$2:$A$438,Batch_Data!$B$2:$B$438)</f>
        <v>#NAME?</v>
      </c>
    </row>
    <row r="148" spans="1:2" ht="13">
      <c r="A148" s="105"/>
      <c r="B148" s="106" t="e">
        <f t="array" aca="1" ref="B148" ca="1">_xludf.XLOOKUP(A148,Batch_Data!$A$2:$A$438,Batch_Data!$B$2:$B$438)</f>
        <v>#NAME?</v>
      </c>
    </row>
    <row r="149" spans="1:2" ht="13">
      <c r="A149" s="105"/>
      <c r="B149" s="106" t="e">
        <f t="array" aca="1" ref="B149" ca="1">_xludf.XLOOKUP(A149,Batch_Data!$A$2:$A$438,Batch_Data!$B$2:$B$438)</f>
        <v>#NAME?</v>
      </c>
    </row>
    <row r="150" spans="1:2" ht="13">
      <c r="A150" s="105"/>
      <c r="B150" s="106" t="e">
        <f t="array" aca="1" ref="B150" ca="1">_xludf.XLOOKUP(A150,Batch_Data!$A$2:$A$438,Batch_Data!$B$2:$B$438)</f>
        <v>#NAME?</v>
      </c>
    </row>
    <row r="151" spans="1:2" ht="13">
      <c r="A151" s="105"/>
      <c r="B151" s="106" t="e">
        <f t="array" aca="1" ref="B151" ca="1">_xludf.XLOOKUP(A151,Batch_Data!$A$2:$A$438,Batch_Data!$B$2:$B$438)</f>
        <v>#NAME?</v>
      </c>
    </row>
    <row r="152" spans="1:2" ht="13">
      <c r="A152" s="105"/>
      <c r="B152" s="106" t="e">
        <f t="array" aca="1" ref="B152" ca="1">_xludf.XLOOKUP(A152,Batch_Data!$A$2:$A$438,Batch_Data!$B$2:$B$438)</f>
        <v>#NAME?</v>
      </c>
    </row>
    <row r="153" spans="1:2" ht="13">
      <c r="A153" s="105"/>
      <c r="B153" s="106" t="e">
        <f t="array" aca="1" ref="B153" ca="1">_xludf.XLOOKUP(A153,Batch_Data!$A$2:$A$438,Batch_Data!$B$2:$B$438)</f>
        <v>#NAME?</v>
      </c>
    </row>
    <row r="154" spans="1:2" ht="13">
      <c r="A154" s="105"/>
      <c r="B154" s="106" t="e">
        <f t="array" aca="1" ref="B154" ca="1">_xludf.XLOOKUP(A154,Batch_Data!$A$2:$A$438,Batch_Data!$B$2:$B$438)</f>
        <v>#NAME?</v>
      </c>
    </row>
    <row r="155" spans="1:2" ht="13">
      <c r="A155" s="105"/>
      <c r="B155" s="106" t="e">
        <f t="array" aca="1" ref="B155" ca="1">_xludf.XLOOKUP(A155,Batch_Data!$A$2:$A$438,Batch_Data!$B$2:$B$438)</f>
        <v>#NAME?</v>
      </c>
    </row>
    <row r="156" spans="1:2" ht="13">
      <c r="A156" s="105"/>
      <c r="B156" s="106" t="e">
        <f t="array" aca="1" ref="B156" ca="1">_xludf.XLOOKUP(A156,Batch_Data!$A$2:$A$438,Batch_Data!$B$2:$B$438)</f>
        <v>#NAME?</v>
      </c>
    </row>
    <row r="157" spans="1:2" ht="13">
      <c r="A157" s="105"/>
      <c r="B157" s="106" t="e">
        <f t="array" aca="1" ref="B157" ca="1">_xludf.XLOOKUP(A157,Batch_Data!$A$2:$A$438,Batch_Data!$B$2:$B$438)</f>
        <v>#NAME?</v>
      </c>
    </row>
    <row r="158" spans="1:2" ht="13">
      <c r="A158" s="105"/>
      <c r="B158" s="106" t="e">
        <f t="array" aca="1" ref="B158" ca="1">_xludf.XLOOKUP(A158,Batch_Data!$A$2:$A$438,Batch_Data!$B$2:$B$438)</f>
        <v>#NAME?</v>
      </c>
    </row>
    <row r="159" spans="1:2" ht="13">
      <c r="A159" s="105"/>
      <c r="B159" s="106" t="e">
        <f t="array" aca="1" ref="B159" ca="1">_xludf.XLOOKUP(A159,Batch_Data!$A$2:$A$438,Batch_Data!$B$2:$B$438)</f>
        <v>#NAME?</v>
      </c>
    </row>
    <row r="160" spans="1:2" ht="13">
      <c r="A160" s="105"/>
      <c r="B160" s="106" t="e">
        <f t="array" aca="1" ref="B160" ca="1">_xludf.XLOOKUP(A160,Batch_Data!$A$2:$A$438,Batch_Data!$B$2:$B$438)</f>
        <v>#NAME?</v>
      </c>
    </row>
    <row r="161" spans="1:2" ht="13">
      <c r="A161" s="105"/>
      <c r="B161" s="106" t="e">
        <f t="array" aca="1" ref="B161" ca="1">_xludf.XLOOKUP(A161,Batch_Data!$A$2:$A$438,Batch_Data!$B$2:$B$438)</f>
        <v>#NAME?</v>
      </c>
    </row>
    <row r="162" spans="1:2" ht="13">
      <c r="A162" s="105"/>
      <c r="B162" s="106" t="e">
        <f t="array" aca="1" ref="B162" ca="1">_xludf.XLOOKUP(A162,Batch_Data!$A$2:$A$438,Batch_Data!$B$2:$B$438)</f>
        <v>#NAME?</v>
      </c>
    </row>
    <row r="163" spans="1:2" ht="13">
      <c r="A163" s="105"/>
      <c r="B163" s="106" t="e">
        <f t="array" aca="1" ref="B163" ca="1">_xludf.XLOOKUP(A163,Batch_Data!$A$2:$A$438,Batch_Data!$B$2:$B$438)</f>
        <v>#NAME?</v>
      </c>
    </row>
    <row r="164" spans="1:2" ht="13">
      <c r="A164" s="105"/>
      <c r="B164" s="106" t="e">
        <f t="array" aca="1" ref="B164" ca="1">_xludf.XLOOKUP(A164,Batch_Data!$A$2:$A$438,Batch_Data!$B$2:$B$438)</f>
        <v>#NAME?</v>
      </c>
    </row>
    <row r="165" spans="1:2" ht="13">
      <c r="A165" s="105"/>
      <c r="B165" s="106" t="e">
        <f t="array" aca="1" ref="B165" ca="1">_xludf.XLOOKUP(A165,Batch_Data!$A$2:$A$438,Batch_Data!$B$2:$B$438)</f>
        <v>#NAME?</v>
      </c>
    </row>
    <row r="166" spans="1:2" ht="13">
      <c r="A166" s="105"/>
      <c r="B166" s="106" t="e">
        <f t="array" aca="1" ref="B166" ca="1">_xludf.XLOOKUP(A166,Batch_Data!$A$2:$A$438,Batch_Data!$B$2:$B$438)</f>
        <v>#NAME?</v>
      </c>
    </row>
    <row r="167" spans="1:2" ht="13">
      <c r="A167" s="105"/>
      <c r="B167" s="106" t="e">
        <f t="array" aca="1" ref="B167" ca="1">_xludf.XLOOKUP(A167,Batch_Data!$A$2:$A$438,Batch_Data!$B$2:$B$438)</f>
        <v>#NAME?</v>
      </c>
    </row>
    <row r="168" spans="1:2" ht="13">
      <c r="A168" s="105"/>
      <c r="B168" s="106" t="e">
        <f t="array" aca="1" ref="B168" ca="1">_xludf.XLOOKUP(A168,Batch_Data!$A$2:$A$438,Batch_Data!$B$2:$B$438)</f>
        <v>#NAME?</v>
      </c>
    </row>
    <row r="169" spans="1:2" ht="13">
      <c r="A169" s="105"/>
      <c r="B169" s="106" t="e">
        <f t="array" aca="1" ref="B169" ca="1">_xludf.XLOOKUP(A169,Batch_Data!$A$2:$A$438,Batch_Data!$B$2:$B$438)</f>
        <v>#NAME?</v>
      </c>
    </row>
    <row r="170" spans="1:2" ht="13">
      <c r="A170" s="105"/>
      <c r="B170" s="106" t="e">
        <f t="array" aca="1" ref="B170" ca="1">_xludf.XLOOKUP(A170,Batch_Data!$A$2:$A$438,Batch_Data!$B$2:$B$438)</f>
        <v>#NAME?</v>
      </c>
    </row>
    <row r="171" spans="1:2" ht="13">
      <c r="A171" s="105"/>
      <c r="B171" s="106" t="e">
        <f t="array" aca="1" ref="B171" ca="1">_xludf.XLOOKUP(A171,Batch_Data!$A$2:$A$438,Batch_Data!$B$2:$B$438)</f>
        <v>#NAME?</v>
      </c>
    </row>
    <row r="172" spans="1:2" ht="13">
      <c r="A172" s="105"/>
      <c r="B172" s="106" t="e">
        <f t="array" aca="1" ref="B172" ca="1">_xludf.XLOOKUP(A172,Batch_Data!$A$2:$A$438,Batch_Data!$B$2:$B$438)</f>
        <v>#NAME?</v>
      </c>
    </row>
    <row r="173" spans="1:2" ht="13">
      <c r="A173" s="105"/>
      <c r="B173" s="106" t="e">
        <f t="array" aca="1" ref="B173" ca="1">_xludf.XLOOKUP(A173,Batch_Data!$A$2:$A$438,Batch_Data!$B$2:$B$438)</f>
        <v>#NAME?</v>
      </c>
    </row>
    <row r="174" spans="1:2" ht="13">
      <c r="A174" s="105"/>
      <c r="B174" s="106" t="e">
        <f t="array" aca="1" ref="B174" ca="1">_xludf.XLOOKUP(A174,Batch_Data!$A$2:$A$438,Batch_Data!$B$2:$B$438)</f>
        <v>#NAME?</v>
      </c>
    </row>
    <row r="175" spans="1:2" ht="13">
      <c r="A175" s="105"/>
      <c r="B175" s="106" t="e">
        <f t="array" aca="1" ref="B175" ca="1">_xludf.XLOOKUP(A175,Batch_Data!$A$2:$A$438,Batch_Data!$B$2:$B$438)</f>
        <v>#NAME?</v>
      </c>
    </row>
    <row r="176" spans="1:2" ht="13">
      <c r="A176" s="105"/>
      <c r="B176" s="106" t="e">
        <f t="array" aca="1" ref="B176" ca="1">_xludf.XLOOKUP(A176,Batch_Data!$A$2:$A$438,Batch_Data!$B$2:$B$438)</f>
        <v>#NAME?</v>
      </c>
    </row>
    <row r="177" spans="1:2" ht="13">
      <c r="A177" s="105"/>
      <c r="B177" s="106" t="e">
        <f t="array" aca="1" ref="B177" ca="1">_xludf.XLOOKUP(A177,Batch_Data!$A$2:$A$438,Batch_Data!$B$2:$B$438)</f>
        <v>#NAME?</v>
      </c>
    </row>
    <row r="178" spans="1:2" ht="13">
      <c r="A178" s="105"/>
      <c r="B178" s="106" t="e">
        <f t="array" aca="1" ref="B178" ca="1">_xludf.XLOOKUP(A178,Batch_Data!$A$2:$A$438,Batch_Data!$B$2:$B$438)</f>
        <v>#NAME?</v>
      </c>
    </row>
    <row r="179" spans="1:2" ht="13">
      <c r="A179" s="105"/>
      <c r="B179" s="106" t="e">
        <f t="array" aca="1" ref="B179" ca="1">_xludf.XLOOKUP(A179,Batch_Data!$A$2:$A$438,Batch_Data!$B$2:$B$438)</f>
        <v>#NAME?</v>
      </c>
    </row>
    <row r="180" spans="1:2" ht="13">
      <c r="A180" s="105"/>
      <c r="B180" s="106" t="e">
        <f t="array" aca="1" ref="B180" ca="1">_xludf.XLOOKUP(A180,Batch_Data!$A$2:$A$438,Batch_Data!$B$2:$B$438)</f>
        <v>#NAME?</v>
      </c>
    </row>
    <row r="181" spans="1:2" ht="13">
      <c r="A181" s="105"/>
      <c r="B181" s="106" t="e">
        <f t="array" aca="1" ref="B181" ca="1">_xludf.XLOOKUP(A181,Batch_Data!$A$2:$A$438,Batch_Data!$B$2:$B$438)</f>
        <v>#NAME?</v>
      </c>
    </row>
    <row r="182" spans="1:2" ht="13">
      <c r="A182" s="105"/>
      <c r="B182" s="106" t="e">
        <f t="array" aca="1" ref="B182" ca="1">_xludf.XLOOKUP(A182,Batch_Data!$A$2:$A$438,Batch_Data!$B$2:$B$438)</f>
        <v>#NAME?</v>
      </c>
    </row>
    <row r="183" spans="1:2" ht="13">
      <c r="A183" s="105"/>
      <c r="B183" s="106" t="e">
        <f t="array" aca="1" ref="B183" ca="1">_xludf.XLOOKUP(A183,Batch_Data!$A$2:$A$438,Batch_Data!$B$2:$B$438)</f>
        <v>#NAME?</v>
      </c>
    </row>
    <row r="184" spans="1:2" ht="13">
      <c r="A184" s="105"/>
      <c r="B184" s="106" t="e">
        <f t="array" aca="1" ref="B184" ca="1">_xludf.XLOOKUP(A184,Batch_Data!$A$2:$A$438,Batch_Data!$B$2:$B$438)</f>
        <v>#NAME?</v>
      </c>
    </row>
    <row r="185" spans="1:2" ht="13">
      <c r="A185" s="105"/>
      <c r="B185" s="106" t="e">
        <f t="array" aca="1" ref="B185" ca="1">_xludf.XLOOKUP(A185,Batch_Data!$A$2:$A$438,Batch_Data!$B$2:$B$438)</f>
        <v>#NAME?</v>
      </c>
    </row>
    <row r="186" spans="1:2" ht="13">
      <c r="A186" s="105"/>
      <c r="B186" s="106" t="e">
        <f t="array" aca="1" ref="B186" ca="1">_xludf.XLOOKUP(A186,Batch_Data!$A$2:$A$438,Batch_Data!$B$2:$B$438)</f>
        <v>#NAME?</v>
      </c>
    </row>
    <row r="187" spans="1:2" ht="13">
      <c r="A187" s="105"/>
      <c r="B187" s="106" t="e">
        <f t="array" aca="1" ref="B187" ca="1">_xludf.XLOOKUP(A187,Batch_Data!$A$2:$A$438,Batch_Data!$B$2:$B$438)</f>
        <v>#NAME?</v>
      </c>
    </row>
    <row r="188" spans="1:2" ht="13">
      <c r="A188" s="105"/>
      <c r="B188" s="106" t="e">
        <f t="array" aca="1" ref="B188" ca="1">_xludf.XLOOKUP(A188,Batch_Data!$A$2:$A$438,Batch_Data!$B$2:$B$438)</f>
        <v>#NAME?</v>
      </c>
    </row>
    <row r="189" spans="1:2" ht="13">
      <c r="A189" s="105"/>
      <c r="B189" s="106" t="e">
        <f t="array" aca="1" ref="B189" ca="1">_xludf.XLOOKUP(A189,Batch_Data!$A$2:$A$438,Batch_Data!$B$2:$B$438)</f>
        <v>#NAME?</v>
      </c>
    </row>
    <row r="190" spans="1:2" ht="13">
      <c r="A190" s="105"/>
      <c r="B190" s="106" t="e">
        <f t="array" aca="1" ref="B190" ca="1">_xludf.XLOOKUP(A190,Batch_Data!$A$2:$A$438,Batch_Data!$B$2:$B$438)</f>
        <v>#NAME?</v>
      </c>
    </row>
    <row r="191" spans="1:2" ht="13">
      <c r="A191" s="105"/>
      <c r="B191" s="106" t="e">
        <f t="array" aca="1" ref="B191" ca="1">_xludf.XLOOKUP(A191,Batch_Data!$A$2:$A$438,Batch_Data!$B$2:$B$438)</f>
        <v>#NAME?</v>
      </c>
    </row>
    <row r="192" spans="1:2" ht="13">
      <c r="A192" s="105"/>
      <c r="B192" s="106" t="e">
        <f t="array" aca="1" ref="B192" ca="1">_xludf.XLOOKUP(A192,Batch_Data!$A$2:$A$438,Batch_Data!$B$2:$B$438)</f>
        <v>#NAME?</v>
      </c>
    </row>
    <row r="193" spans="1:2" ht="13">
      <c r="A193" s="105"/>
      <c r="B193" s="106" t="e">
        <f t="array" aca="1" ref="B193" ca="1">_xludf.XLOOKUP(A193,Batch_Data!$A$2:$A$438,Batch_Data!$B$2:$B$438)</f>
        <v>#NAME?</v>
      </c>
    </row>
    <row r="194" spans="1:2" ht="13">
      <c r="A194" s="105"/>
      <c r="B194" s="106" t="e">
        <f t="array" aca="1" ref="B194" ca="1">_xludf.XLOOKUP(A194,Batch_Data!$A$2:$A$438,Batch_Data!$B$2:$B$438)</f>
        <v>#NAME?</v>
      </c>
    </row>
    <row r="195" spans="1:2" ht="13">
      <c r="A195" s="105"/>
      <c r="B195" s="106" t="e">
        <f t="array" aca="1" ref="B195" ca="1">_xludf.XLOOKUP(A195,Batch_Data!$A$2:$A$438,Batch_Data!$B$2:$B$438)</f>
        <v>#NAME?</v>
      </c>
    </row>
    <row r="196" spans="1:2" ht="13">
      <c r="A196" s="105"/>
      <c r="B196" s="106" t="e">
        <f t="array" aca="1" ref="B196" ca="1">_xludf.XLOOKUP(A196,Batch_Data!$A$2:$A$438,Batch_Data!$B$2:$B$438)</f>
        <v>#NAME?</v>
      </c>
    </row>
    <row r="197" spans="1:2" ht="13">
      <c r="A197" s="105"/>
      <c r="B197" s="106" t="e">
        <f t="array" aca="1" ref="B197" ca="1">_xludf.XLOOKUP(A197,Batch_Data!$A$2:$A$438,Batch_Data!$B$2:$B$438)</f>
        <v>#NAME?</v>
      </c>
    </row>
    <row r="198" spans="1:2" ht="13">
      <c r="A198" s="105"/>
      <c r="B198" s="106" t="e">
        <f t="array" aca="1" ref="B198" ca="1">_xludf.XLOOKUP(A198,Batch_Data!$A$2:$A$438,Batch_Data!$B$2:$B$438)</f>
        <v>#NAME?</v>
      </c>
    </row>
    <row r="199" spans="1:2" ht="13">
      <c r="A199" s="105"/>
      <c r="B199" s="106" t="e">
        <f t="array" aca="1" ref="B199" ca="1">_xludf.XLOOKUP(A199,Batch_Data!$A$2:$A$438,Batch_Data!$B$2:$B$438)</f>
        <v>#NAME?</v>
      </c>
    </row>
    <row r="200" spans="1:2" ht="13">
      <c r="A200" s="105"/>
      <c r="B200" s="106" t="e">
        <f t="array" aca="1" ref="B200" ca="1">_xludf.XLOOKUP(A200,Batch_Data!$A$2:$A$438,Batch_Data!$B$2:$B$438)</f>
        <v>#NAME?</v>
      </c>
    </row>
    <row r="201" spans="1:2" ht="13">
      <c r="A201" s="105"/>
      <c r="B201" s="106" t="e">
        <f t="array" aca="1" ref="B201" ca="1">_xludf.XLOOKUP(A201,Batch_Data!$A$2:$A$438,Batch_Data!$B$2:$B$438)</f>
        <v>#NAME?</v>
      </c>
    </row>
    <row r="202" spans="1:2" ht="13">
      <c r="A202" s="105"/>
      <c r="B202" s="106" t="e">
        <f t="array" aca="1" ref="B202" ca="1">_xludf.XLOOKUP(A202,Batch_Data!$A$2:$A$438,Batch_Data!$B$2:$B$438)</f>
        <v>#NAME?</v>
      </c>
    </row>
    <row r="203" spans="1:2" ht="13">
      <c r="A203" s="105"/>
      <c r="B203" s="106" t="e">
        <f t="array" aca="1" ref="B203" ca="1">_xludf.XLOOKUP(A203,Batch_Data!$A$2:$A$438,Batch_Data!$B$2:$B$438)</f>
        <v>#NAME?</v>
      </c>
    </row>
    <row r="204" spans="1:2" ht="13">
      <c r="A204" s="105"/>
      <c r="B204" s="106" t="e">
        <f t="array" aca="1" ref="B204" ca="1">_xludf.XLOOKUP(A204,Batch_Data!$A$2:$A$438,Batch_Data!$B$2:$B$438)</f>
        <v>#NAME?</v>
      </c>
    </row>
    <row r="205" spans="1:2" ht="13">
      <c r="A205" s="105"/>
      <c r="B205" s="106" t="e">
        <f t="array" aca="1" ref="B205" ca="1">_xludf.XLOOKUP(A205,Batch_Data!$A$2:$A$438,Batch_Data!$B$2:$B$438)</f>
        <v>#NAME?</v>
      </c>
    </row>
    <row r="206" spans="1:2" ht="13">
      <c r="A206" s="105"/>
      <c r="B206" s="106" t="e">
        <f t="array" aca="1" ref="B206" ca="1">_xludf.XLOOKUP(A206,Batch_Data!$A$2:$A$438,Batch_Data!$B$2:$B$438)</f>
        <v>#NAME?</v>
      </c>
    </row>
    <row r="207" spans="1:2" ht="13">
      <c r="A207" s="105"/>
      <c r="B207" s="106" t="e">
        <f t="array" aca="1" ref="B207" ca="1">_xludf.XLOOKUP(A207,Batch_Data!$A$2:$A$438,Batch_Data!$B$2:$B$438)</f>
        <v>#NAME?</v>
      </c>
    </row>
    <row r="208" spans="1:2" ht="13">
      <c r="A208" s="105"/>
      <c r="B208" s="106" t="e">
        <f t="array" aca="1" ref="B208" ca="1">_xludf.XLOOKUP(A208,Batch_Data!$A$2:$A$438,Batch_Data!$B$2:$B$438)</f>
        <v>#NAME?</v>
      </c>
    </row>
    <row r="209" spans="1:2" ht="13">
      <c r="A209" s="105"/>
      <c r="B209" s="106" t="e">
        <f t="array" aca="1" ref="B209" ca="1">_xludf.XLOOKUP(A209,Batch_Data!$A$2:$A$438,Batch_Data!$B$2:$B$438)</f>
        <v>#NAME?</v>
      </c>
    </row>
    <row r="210" spans="1:2" ht="13">
      <c r="A210" s="105"/>
      <c r="B210" s="106" t="e">
        <f t="array" aca="1" ref="B210" ca="1">_xludf.XLOOKUP(A210,Batch_Data!$A$2:$A$438,Batch_Data!$B$2:$B$438)</f>
        <v>#NAME?</v>
      </c>
    </row>
    <row r="211" spans="1:2" ht="13">
      <c r="A211" s="105"/>
      <c r="B211" s="106" t="e">
        <f t="array" aca="1" ref="B211" ca="1">_xludf.XLOOKUP(A211,Batch_Data!$A$2:$A$438,Batch_Data!$B$2:$B$438)</f>
        <v>#NAME?</v>
      </c>
    </row>
    <row r="212" spans="1:2" ht="13">
      <c r="A212" s="105"/>
      <c r="B212" s="106" t="e">
        <f t="array" aca="1" ref="B212" ca="1">_xludf.XLOOKUP(A212,Batch_Data!$A$2:$A$438,Batch_Data!$B$2:$B$438)</f>
        <v>#NAME?</v>
      </c>
    </row>
    <row r="213" spans="1:2" ht="13">
      <c r="A213" s="105"/>
      <c r="B213" s="106" t="e">
        <f t="array" aca="1" ref="B213" ca="1">_xludf.XLOOKUP(A213,Batch_Data!$A$2:$A$438,Batch_Data!$B$2:$B$438)</f>
        <v>#NAME?</v>
      </c>
    </row>
    <row r="214" spans="1:2" ht="13">
      <c r="A214" s="105"/>
      <c r="B214" s="106" t="e">
        <f t="array" aca="1" ref="B214" ca="1">_xludf.XLOOKUP(A214,Batch_Data!$A$2:$A$438,Batch_Data!$B$2:$B$438)</f>
        <v>#NAME?</v>
      </c>
    </row>
    <row r="215" spans="1:2" ht="13">
      <c r="A215" s="105"/>
      <c r="B215" s="106" t="e">
        <f t="array" aca="1" ref="B215" ca="1">_xludf.XLOOKUP(A215,Batch_Data!$A$2:$A$438,Batch_Data!$B$2:$B$438)</f>
        <v>#NAME?</v>
      </c>
    </row>
    <row r="216" spans="1:2" ht="13">
      <c r="A216" s="105"/>
      <c r="B216" s="106" t="e">
        <f t="array" aca="1" ref="B216" ca="1">_xludf.XLOOKUP(A216,Batch_Data!$A$2:$A$438,Batch_Data!$B$2:$B$438)</f>
        <v>#NAME?</v>
      </c>
    </row>
    <row r="217" spans="1:2" ht="13">
      <c r="A217" s="105"/>
      <c r="B217" s="106" t="e">
        <f t="array" aca="1" ref="B217" ca="1">_xludf.XLOOKUP(A217,Batch_Data!$A$2:$A$438,Batch_Data!$B$2:$B$438)</f>
        <v>#NAME?</v>
      </c>
    </row>
    <row r="218" spans="1:2" ht="13">
      <c r="A218" s="105"/>
      <c r="B218" s="106" t="e">
        <f t="array" aca="1" ref="B218" ca="1">_xludf.XLOOKUP(A218,Batch_Data!$A$2:$A$438,Batch_Data!$B$2:$B$438)</f>
        <v>#NAME?</v>
      </c>
    </row>
    <row r="219" spans="1:2" ht="13">
      <c r="A219" s="105"/>
      <c r="B219" s="106" t="e">
        <f t="array" aca="1" ref="B219" ca="1">_xludf.XLOOKUP(A219,Batch_Data!$A$2:$A$438,Batch_Data!$B$2:$B$438)</f>
        <v>#NAME?</v>
      </c>
    </row>
    <row r="220" spans="1:2" ht="13">
      <c r="A220" s="105"/>
      <c r="B220" s="106" t="e">
        <f t="array" aca="1" ref="B220" ca="1">_xludf.XLOOKUP(A220,Batch_Data!$A$2:$A$438,Batch_Data!$B$2:$B$438)</f>
        <v>#NAME?</v>
      </c>
    </row>
    <row r="221" spans="1:2" ht="13">
      <c r="A221" s="105"/>
      <c r="B221" s="106" t="e">
        <f t="array" aca="1" ref="B221" ca="1">_xludf.XLOOKUP(A221,Batch_Data!$A$2:$A$438,Batch_Data!$B$2:$B$438)</f>
        <v>#NAME?</v>
      </c>
    </row>
    <row r="222" spans="1:2" ht="13">
      <c r="A222" s="105"/>
      <c r="B222" s="106" t="e">
        <f t="array" aca="1" ref="B222" ca="1">_xludf.XLOOKUP(A222,Batch_Data!$A$2:$A$438,Batch_Data!$B$2:$B$438)</f>
        <v>#NAME?</v>
      </c>
    </row>
    <row r="223" spans="1:2" ht="13">
      <c r="A223" s="105"/>
      <c r="B223" s="106" t="e">
        <f t="array" aca="1" ref="B223" ca="1">_xludf.XLOOKUP(A223,Batch_Data!$A$2:$A$438,Batch_Data!$B$2:$B$438)</f>
        <v>#NAME?</v>
      </c>
    </row>
    <row r="224" spans="1:2" ht="13">
      <c r="A224" s="105"/>
      <c r="B224" s="106" t="e">
        <f t="array" aca="1" ref="B224" ca="1">_xludf.XLOOKUP(A224,Batch_Data!$A$2:$A$438,Batch_Data!$B$2:$B$438)</f>
        <v>#NAME?</v>
      </c>
    </row>
    <row r="225" spans="1:2" ht="13">
      <c r="A225" s="105"/>
      <c r="B225" s="106" t="e">
        <f t="array" aca="1" ref="B225" ca="1">_xludf.XLOOKUP(A225,Batch_Data!$A$2:$A$438,Batch_Data!$B$2:$B$438)</f>
        <v>#NAME?</v>
      </c>
    </row>
    <row r="226" spans="1:2" ht="13">
      <c r="A226" s="105"/>
      <c r="B226" s="106" t="e">
        <f t="array" aca="1" ref="B226" ca="1">_xludf.XLOOKUP(A226,Batch_Data!$A$2:$A$438,Batch_Data!$B$2:$B$438)</f>
        <v>#NAME?</v>
      </c>
    </row>
    <row r="227" spans="1:2" ht="13">
      <c r="A227" s="105"/>
      <c r="B227" s="106" t="e">
        <f t="array" aca="1" ref="B227" ca="1">_xludf.XLOOKUP(A227,Batch_Data!$A$2:$A$438,Batch_Data!$B$2:$B$438)</f>
        <v>#NAME?</v>
      </c>
    </row>
    <row r="228" spans="1:2" ht="13">
      <c r="A228" s="105"/>
      <c r="B228" s="106" t="e">
        <f t="array" aca="1" ref="B228" ca="1">_xludf.XLOOKUP(A228,Batch_Data!$A$2:$A$438,Batch_Data!$B$2:$B$438)</f>
        <v>#NAME?</v>
      </c>
    </row>
    <row r="229" spans="1:2" ht="13">
      <c r="A229" s="105"/>
      <c r="B229" s="106" t="e">
        <f t="array" aca="1" ref="B229" ca="1">_xludf.XLOOKUP(A229,Batch_Data!$A$2:$A$438,Batch_Data!$B$2:$B$438)</f>
        <v>#NAME?</v>
      </c>
    </row>
    <row r="230" spans="1:2" ht="13">
      <c r="A230" s="105"/>
      <c r="B230" s="106" t="e">
        <f t="array" aca="1" ref="B230" ca="1">_xludf.XLOOKUP(A230,Batch_Data!$A$2:$A$438,Batch_Data!$B$2:$B$438)</f>
        <v>#NAME?</v>
      </c>
    </row>
    <row r="231" spans="1:2" ht="13">
      <c r="A231" s="105"/>
      <c r="B231" s="106" t="e">
        <f t="array" aca="1" ref="B231" ca="1">_xludf.XLOOKUP(A231,Batch_Data!$A$2:$A$438,Batch_Data!$B$2:$B$438)</f>
        <v>#NAME?</v>
      </c>
    </row>
    <row r="232" spans="1:2" ht="13">
      <c r="A232" s="105"/>
      <c r="B232" s="106" t="e">
        <f t="array" aca="1" ref="B232" ca="1">_xludf.XLOOKUP(A232,Batch_Data!$A$2:$A$438,Batch_Data!$B$2:$B$438)</f>
        <v>#NAME?</v>
      </c>
    </row>
    <row r="233" spans="1:2" ht="13">
      <c r="A233" s="105"/>
      <c r="B233" s="106" t="e">
        <f t="array" aca="1" ref="B233" ca="1">_xludf.XLOOKUP(A233,Batch_Data!$A$2:$A$438,Batch_Data!$B$2:$B$438)</f>
        <v>#NAME?</v>
      </c>
    </row>
    <row r="234" spans="1:2" ht="13">
      <c r="A234" s="105"/>
      <c r="B234" s="106" t="e">
        <f t="array" aca="1" ref="B234" ca="1">_xludf.XLOOKUP(A234,Batch_Data!$A$2:$A$438,Batch_Data!$B$2:$B$438)</f>
        <v>#NAME?</v>
      </c>
    </row>
    <row r="235" spans="1:2" ht="13">
      <c r="A235" s="105"/>
      <c r="B235" s="106" t="e">
        <f t="array" aca="1" ref="B235" ca="1">_xludf.XLOOKUP(A235,Batch_Data!$A$2:$A$438,Batch_Data!$B$2:$B$438)</f>
        <v>#NAME?</v>
      </c>
    </row>
    <row r="236" spans="1:2" ht="13">
      <c r="A236" s="105"/>
      <c r="B236" s="106" t="e">
        <f t="array" aca="1" ref="B236" ca="1">_xludf.XLOOKUP(A236,Batch_Data!$A$2:$A$438,Batch_Data!$B$2:$B$438)</f>
        <v>#NAME?</v>
      </c>
    </row>
    <row r="237" spans="1:2" ht="13">
      <c r="A237" s="105"/>
      <c r="B237" s="106" t="e">
        <f t="array" aca="1" ref="B237" ca="1">_xludf.XLOOKUP(A237,Batch_Data!$A$2:$A$438,Batch_Data!$B$2:$B$438)</f>
        <v>#NAME?</v>
      </c>
    </row>
    <row r="238" spans="1:2" ht="13">
      <c r="A238" s="105"/>
      <c r="B238" s="106" t="e">
        <f t="array" aca="1" ref="B238" ca="1">_xludf.XLOOKUP(A238,Batch_Data!$A$2:$A$438,Batch_Data!$B$2:$B$438)</f>
        <v>#NAME?</v>
      </c>
    </row>
    <row r="239" spans="1:2" ht="13">
      <c r="A239" s="105"/>
      <c r="B239" s="106" t="e">
        <f t="array" aca="1" ref="B239" ca="1">_xludf.XLOOKUP(A239,Batch_Data!$A$2:$A$438,Batch_Data!$B$2:$B$438)</f>
        <v>#NAME?</v>
      </c>
    </row>
    <row r="240" spans="1:2" ht="13">
      <c r="A240" s="105"/>
      <c r="B240" s="106" t="e">
        <f t="array" aca="1" ref="B240" ca="1">_xludf.XLOOKUP(A240,Batch_Data!$A$2:$A$438,Batch_Data!$B$2:$B$438)</f>
        <v>#NAME?</v>
      </c>
    </row>
    <row r="241" spans="1:2" ht="13">
      <c r="A241" s="105"/>
      <c r="B241" s="106" t="e">
        <f t="array" aca="1" ref="B241" ca="1">_xludf.XLOOKUP(A241,Batch_Data!$A$2:$A$438,Batch_Data!$B$2:$B$438)</f>
        <v>#NAME?</v>
      </c>
    </row>
    <row r="242" spans="1:2" ht="13">
      <c r="A242" s="105"/>
      <c r="B242" s="106" t="e">
        <f t="array" aca="1" ref="B242" ca="1">_xludf.XLOOKUP(A242,Batch_Data!$A$2:$A$438,Batch_Data!$B$2:$B$438)</f>
        <v>#NAME?</v>
      </c>
    </row>
    <row r="243" spans="1:2" ht="13">
      <c r="A243" s="105"/>
      <c r="B243" s="106" t="e">
        <f t="array" aca="1" ref="B243" ca="1">_xludf.XLOOKUP(A243,Batch_Data!$A$2:$A$438,Batch_Data!$B$2:$B$438)</f>
        <v>#NAME?</v>
      </c>
    </row>
    <row r="244" spans="1:2" ht="13">
      <c r="A244" s="105"/>
      <c r="B244" s="106" t="e">
        <f t="array" aca="1" ref="B244" ca="1">_xludf.XLOOKUP(A244,Batch_Data!$A$2:$A$438,Batch_Data!$B$2:$B$438)</f>
        <v>#NAME?</v>
      </c>
    </row>
    <row r="245" spans="1:2" ht="13">
      <c r="A245" s="105"/>
      <c r="B245" s="106" t="e">
        <f t="array" aca="1" ref="B245" ca="1">_xludf.XLOOKUP(A245,Batch_Data!$A$2:$A$438,Batch_Data!$B$2:$B$438)</f>
        <v>#NAME?</v>
      </c>
    </row>
    <row r="246" spans="1:2" ht="13">
      <c r="A246" s="105"/>
      <c r="B246" s="106" t="e">
        <f t="array" aca="1" ref="B246" ca="1">_xludf.XLOOKUP(A246,Batch_Data!$A$2:$A$438,Batch_Data!$B$2:$B$438)</f>
        <v>#NAME?</v>
      </c>
    </row>
    <row r="247" spans="1:2" ht="13">
      <c r="A247" s="105"/>
      <c r="B247" s="106" t="e">
        <f t="array" aca="1" ref="B247" ca="1">_xludf.XLOOKUP(A247,Batch_Data!$A$2:$A$438,Batch_Data!$B$2:$B$438)</f>
        <v>#NAME?</v>
      </c>
    </row>
    <row r="248" spans="1:2" ht="13">
      <c r="A248" s="105"/>
      <c r="B248" s="106" t="e">
        <f t="array" aca="1" ref="B248" ca="1">_xludf.XLOOKUP(A248,Batch_Data!$A$2:$A$438,Batch_Data!$B$2:$B$438)</f>
        <v>#NAME?</v>
      </c>
    </row>
    <row r="249" spans="1:2" ht="13">
      <c r="A249" s="105"/>
      <c r="B249" s="106" t="e">
        <f t="array" aca="1" ref="B249" ca="1">_xludf.XLOOKUP(A249,Batch_Data!$A$2:$A$438,Batch_Data!$B$2:$B$438)</f>
        <v>#NAME?</v>
      </c>
    </row>
    <row r="250" spans="1:2" ht="13">
      <c r="A250" s="105"/>
      <c r="B250" s="106" t="e">
        <f t="array" aca="1" ref="B250" ca="1">_xludf.XLOOKUP(A250,Batch_Data!$A$2:$A$438,Batch_Data!$B$2:$B$438)</f>
        <v>#NAME?</v>
      </c>
    </row>
    <row r="251" spans="1:2" ht="13">
      <c r="A251" s="105"/>
      <c r="B251" s="106" t="e">
        <f t="array" aca="1" ref="B251" ca="1">_xludf.XLOOKUP(A251,Batch_Data!$A$2:$A$438,Batch_Data!$B$2:$B$438)</f>
        <v>#NAME?</v>
      </c>
    </row>
    <row r="252" spans="1:2" ht="13">
      <c r="A252" s="105"/>
      <c r="B252" s="106" t="e">
        <f t="array" aca="1" ref="B252" ca="1">_xludf.XLOOKUP(A252,Batch_Data!$A$2:$A$438,Batch_Data!$B$2:$B$438)</f>
        <v>#NAME?</v>
      </c>
    </row>
    <row r="253" spans="1:2" ht="13">
      <c r="A253" s="105"/>
      <c r="B253" s="106" t="e">
        <f t="array" aca="1" ref="B253" ca="1">_xludf.XLOOKUP(A253,Batch_Data!$A$2:$A$438,Batch_Data!$B$2:$B$438)</f>
        <v>#NAME?</v>
      </c>
    </row>
    <row r="254" spans="1:2" ht="13">
      <c r="A254" s="105"/>
      <c r="B254" s="106" t="e">
        <f t="array" aca="1" ref="B254" ca="1">_xludf.XLOOKUP(A254,Batch_Data!$A$2:$A$438,Batch_Data!$B$2:$B$438)</f>
        <v>#NAME?</v>
      </c>
    </row>
    <row r="255" spans="1:2" ht="13">
      <c r="A255" s="105"/>
      <c r="B255" s="106" t="e">
        <f t="array" aca="1" ref="B255" ca="1">_xludf.XLOOKUP(A255,Batch_Data!$A$2:$A$438,Batch_Data!$B$2:$B$438)</f>
        <v>#NAME?</v>
      </c>
    </row>
    <row r="256" spans="1:2" ht="13">
      <c r="A256" s="105"/>
      <c r="B256" s="106" t="e">
        <f t="array" aca="1" ref="B256" ca="1">_xludf.XLOOKUP(A256,Batch_Data!$A$2:$A$438,Batch_Data!$B$2:$B$438)</f>
        <v>#NAME?</v>
      </c>
    </row>
    <row r="257" spans="1:2" ht="13">
      <c r="A257" s="105"/>
      <c r="B257" s="106" t="e">
        <f t="array" aca="1" ref="B257" ca="1">_xludf.XLOOKUP(A257,Batch_Data!$A$2:$A$438,Batch_Data!$B$2:$B$438)</f>
        <v>#NAME?</v>
      </c>
    </row>
    <row r="258" spans="1:2" ht="13">
      <c r="A258" s="105"/>
      <c r="B258" s="106" t="e">
        <f t="array" aca="1" ref="B258" ca="1">_xludf.XLOOKUP(A258,Batch_Data!$A$2:$A$438,Batch_Data!$B$2:$B$438)</f>
        <v>#NAME?</v>
      </c>
    </row>
    <row r="259" spans="1:2" ht="13">
      <c r="A259" s="105"/>
      <c r="B259" s="106" t="e">
        <f t="array" aca="1" ref="B259" ca="1">_xludf.XLOOKUP(A259,Batch_Data!$A$2:$A$438,Batch_Data!$B$2:$B$438)</f>
        <v>#NAME?</v>
      </c>
    </row>
    <row r="260" spans="1:2" ht="13">
      <c r="A260" s="105"/>
      <c r="B260" s="106" t="e">
        <f t="array" aca="1" ref="B260" ca="1">_xludf.XLOOKUP(A260,Batch_Data!$A$2:$A$438,Batch_Data!$B$2:$B$438)</f>
        <v>#NAME?</v>
      </c>
    </row>
    <row r="261" spans="1:2" ht="13">
      <c r="A261" s="105"/>
      <c r="B261" s="106" t="e">
        <f t="array" aca="1" ref="B261" ca="1">_xludf.XLOOKUP(A261,Batch_Data!$A$2:$A$438,Batch_Data!$B$2:$B$438)</f>
        <v>#NAME?</v>
      </c>
    </row>
    <row r="262" spans="1:2" ht="13">
      <c r="A262" s="105"/>
      <c r="B262" s="106" t="e">
        <f t="array" aca="1" ref="B262" ca="1">_xludf.XLOOKUP(A262,Batch_Data!$A$2:$A$438,Batch_Data!$B$2:$B$438)</f>
        <v>#NAME?</v>
      </c>
    </row>
    <row r="263" spans="1:2" ht="13">
      <c r="A263" s="105"/>
      <c r="B263" s="106" t="e">
        <f t="array" aca="1" ref="B263" ca="1">_xludf.XLOOKUP(A263,Batch_Data!$A$2:$A$438,Batch_Data!$B$2:$B$438)</f>
        <v>#NAME?</v>
      </c>
    </row>
    <row r="264" spans="1:2" ht="13">
      <c r="A264" s="105"/>
      <c r="B264" s="106" t="e">
        <f t="array" aca="1" ref="B264" ca="1">_xludf.XLOOKUP(A264,Batch_Data!$A$2:$A$438,Batch_Data!$B$2:$B$438)</f>
        <v>#NAME?</v>
      </c>
    </row>
    <row r="265" spans="1:2" ht="13">
      <c r="A265" s="105"/>
      <c r="B265" s="106" t="e">
        <f t="array" aca="1" ref="B265" ca="1">_xludf.XLOOKUP(A265,Batch_Data!$A$2:$A$438,Batch_Data!$B$2:$B$438)</f>
        <v>#NAME?</v>
      </c>
    </row>
    <row r="266" spans="1:2" ht="13">
      <c r="A266" s="105"/>
      <c r="B266" s="106" t="e">
        <f t="array" aca="1" ref="B266" ca="1">_xludf.XLOOKUP(A266,Batch_Data!$A$2:$A$438,Batch_Data!$B$2:$B$438)</f>
        <v>#NAME?</v>
      </c>
    </row>
    <row r="267" spans="1:2" ht="13">
      <c r="A267" s="108"/>
      <c r="B267" s="107"/>
    </row>
    <row r="268" spans="1:2" ht="13">
      <c r="A268" s="108"/>
      <c r="B268" s="107"/>
    </row>
    <row r="269" spans="1:2" ht="13">
      <c r="A269" s="108"/>
      <c r="B269" s="107"/>
    </row>
    <row r="270" spans="1:2" ht="13">
      <c r="A270" s="108"/>
      <c r="B270" s="107"/>
    </row>
    <row r="271" spans="1:2" ht="13">
      <c r="A271" s="108"/>
      <c r="B271" s="107"/>
    </row>
    <row r="272" spans="1:2" ht="13">
      <c r="A272" s="108"/>
      <c r="B272" s="107"/>
    </row>
    <row r="273" spans="1:2" ht="13">
      <c r="A273" s="108"/>
      <c r="B273" s="107"/>
    </row>
    <row r="274" spans="1:2" ht="13">
      <c r="A274" s="108"/>
      <c r="B274" s="107"/>
    </row>
    <row r="275" spans="1:2" ht="13">
      <c r="A275" s="108"/>
      <c r="B275" s="107"/>
    </row>
    <row r="276" spans="1:2" ht="13">
      <c r="A276" s="108"/>
      <c r="B276" s="107"/>
    </row>
    <row r="277" spans="1:2" ht="13">
      <c r="A277" s="108"/>
      <c r="B277" s="107"/>
    </row>
    <row r="278" spans="1:2" ht="13">
      <c r="A278" s="108"/>
      <c r="B278" s="107"/>
    </row>
    <row r="279" spans="1:2" ht="13">
      <c r="A279" s="108"/>
      <c r="B279" s="107"/>
    </row>
    <row r="280" spans="1:2" ht="13">
      <c r="A280" s="108"/>
      <c r="B280" s="107"/>
    </row>
    <row r="281" spans="1:2" ht="13">
      <c r="A281" s="108"/>
      <c r="B281" s="107"/>
    </row>
    <row r="282" spans="1:2" ht="13">
      <c r="A282" s="108"/>
      <c r="B282" s="107"/>
    </row>
    <row r="283" spans="1:2" ht="13">
      <c r="A283" s="108"/>
      <c r="B283" s="107"/>
    </row>
    <row r="284" spans="1:2" ht="13">
      <c r="A284" s="108"/>
      <c r="B284" s="107"/>
    </row>
    <row r="285" spans="1:2" ht="13">
      <c r="A285" s="108"/>
      <c r="B285" s="107"/>
    </row>
    <row r="286" spans="1:2" ht="13">
      <c r="A286" s="108"/>
      <c r="B286" s="107"/>
    </row>
    <row r="287" spans="1:2" ht="13">
      <c r="A287" s="108"/>
      <c r="B287" s="107"/>
    </row>
    <row r="288" spans="1:2" ht="13">
      <c r="A288" s="108"/>
      <c r="B288" s="107"/>
    </row>
    <row r="289" spans="1:2" ht="13">
      <c r="A289" s="108"/>
      <c r="B289" s="107"/>
    </row>
    <row r="290" spans="1:2" ht="13">
      <c r="A290" s="108"/>
      <c r="B290" s="107"/>
    </row>
    <row r="291" spans="1:2" ht="13">
      <c r="A291" s="108"/>
      <c r="B291" s="107"/>
    </row>
    <row r="292" spans="1:2" ht="13">
      <c r="A292" s="108"/>
      <c r="B292" s="107"/>
    </row>
    <row r="293" spans="1:2" ht="13">
      <c r="A293" s="108"/>
      <c r="B293" s="107"/>
    </row>
    <row r="294" spans="1:2" ht="13">
      <c r="A294" s="108"/>
      <c r="B294" s="107"/>
    </row>
    <row r="295" spans="1:2" ht="13">
      <c r="A295" s="108"/>
      <c r="B295" s="107"/>
    </row>
    <row r="296" spans="1:2" ht="13">
      <c r="A296" s="108"/>
      <c r="B296" s="107"/>
    </row>
    <row r="297" spans="1:2" ht="13">
      <c r="A297" s="108"/>
      <c r="B297" s="107"/>
    </row>
    <row r="298" spans="1:2" ht="13">
      <c r="A298" s="108"/>
      <c r="B298" s="107"/>
    </row>
    <row r="299" spans="1:2" ht="13">
      <c r="A299" s="108"/>
      <c r="B299" s="107"/>
    </row>
    <row r="300" spans="1:2" ht="13">
      <c r="A300" s="108"/>
      <c r="B300" s="107"/>
    </row>
    <row r="301" spans="1:2" ht="13">
      <c r="A301" s="108"/>
      <c r="B301" s="107"/>
    </row>
    <row r="302" spans="1:2" ht="13">
      <c r="A302" s="108"/>
      <c r="B302" s="107"/>
    </row>
    <row r="303" spans="1:2" ht="13">
      <c r="A303" s="108"/>
      <c r="B303" s="107"/>
    </row>
    <row r="304" spans="1:2" ht="13">
      <c r="A304" s="108"/>
      <c r="B304" s="107"/>
    </row>
    <row r="305" spans="1:2" ht="13">
      <c r="A305" s="108"/>
      <c r="B305" s="107"/>
    </row>
    <row r="306" spans="1:2" ht="13">
      <c r="A306" s="108"/>
      <c r="B306" s="107"/>
    </row>
    <row r="307" spans="1:2" ht="13">
      <c r="A307" s="108"/>
      <c r="B307" s="107"/>
    </row>
    <row r="308" spans="1:2" ht="13">
      <c r="A308" s="108"/>
      <c r="B308" s="107"/>
    </row>
    <row r="309" spans="1:2" ht="13">
      <c r="A309" s="108"/>
      <c r="B309" s="107"/>
    </row>
    <row r="310" spans="1:2" ht="13">
      <c r="A310" s="108"/>
      <c r="B310" s="107"/>
    </row>
    <row r="311" spans="1:2" ht="13">
      <c r="A311" s="108"/>
      <c r="B311" s="107"/>
    </row>
    <row r="312" spans="1:2" ht="13">
      <c r="A312" s="108"/>
      <c r="B312" s="107"/>
    </row>
    <row r="313" spans="1:2" ht="13">
      <c r="A313" s="108"/>
      <c r="B313" s="107"/>
    </row>
    <row r="314" spans="1:2" ht="13">
      <c r="A314" s="108"/>
      <c r="B314" s="107"/>
    </row>
    <row r="315" spans="1:2" ht="13">
      <c r="A315" s="108"/>
      <c r="B315" s="107"/>
    </row>
    <row r="316" spans="1:2" ht="13">
      <c r="A316" s="108"/>
      <c r="B316" s="107"/>
    </row>
    <row r="317" spans="1:2" ht="13">
      <c r="A317" s="103"/>
    </row>
    <row r="318" spans="1:2" ht="13">
      <c r="A318" s="103"/>
    </row>
    <row r="319" spans="1:2" ht="13">
      <c r="A319" s="103"/>
    </row>
    <row r="320" spans="1:2" ht="13">
      <c r="A320" s="103"/>
    </row>
    <row r="321" spans="1:1" ht="13">
      <c r="A321" s="103"/>
    </row>
    <row r="322" spans="1:1" ht="13">
      <c r="A322" s="103"/>
    </row>
    <row r="323" spans="1:1" ht="13">
      <c r="A323" s="103"/>
    </row>
    <row r="324" spans="1:1" ht="13">
      <c r="A324" s="103"/>
    </row>
    <row r="325" spans="1:1" ht="13">
      <c r="A325" s="103"/>
    </row>
    <row r="326" spans="1:1" ht="13">
      <c r="A326" s="103"/>
    </row>
    <row r="327" spans="1:1" ht="13">
      <c r="A327" s="103"/>
    </row>
    <row r="328" spans="1:1" ht="13">
      <c r="A328" s="103"/>
    </row>
    <row r="329" spans="1:1" ht="13">
      <c r="A329" s="103"/>
    </row>
    <row r="330" spans="1:1" ht="13">
      <c r="A330" s="103"/>
    </row>
    <row r="331" spans="1:1" ht="13">
      <c r="A331" s="103"/>
    </row>
    <row r="332" spans="1:1" ht="13">
      <c r="A332" s="103"/>
    </row>
    <row r="333" spans="1:1" ht="13">
      <c r="A333" s="103"/>
    </row>
    <row r="334" spans="1:1" ht="13">
      <c r="A334" s="103"/>
    </row>
    <row r="335" spans="1:1" ht="13">
      <c r="A335" s="103"/>
    </row>
    <row r="336" spans="1:1" ht="13">
      <c r="A336" s="103"/>
    </row>
    <row r="337" spans="1:1" ht="13">
      <c r="A337" s="103"/>
    </row>
    <row r="338" spans="1:1" ht="13">
      <c r="A338" s="103"/>
    </row>
    <row r="339" spans="1:1" ht="13">
      <c r="A339" s="103"/>
    </row>
    <row r="340" spans="1:1" ht="13">
      <c r="A340" s="103"/>
    </row>
    <row r="341" spans="1:1" ht="13">
      <c r="A341" s="103"/>
    </row>
    <row r="342" spans="1:1" ht="13">
      <c r="A342" s="103"/>
    </row>
    <row r="343" spans="1:1" ht="13">
      <c r="A343" s="103"/>
    </row>
    <row r="344" spans="1:1" ht="13">
      <c r="A344" s="103"/>
    </row>
    <row r="345" spans="1:1" ht="13">
      <c r="A345" s="103"/>
    </row>
    <row r="346" spans="1:1" ht="13">
      <c r="A346" s="103"/>
    </row>
    <row r="347" spans="1:1" ht="13">
      <c r="A347" s="103"/>
    </row>
    <row r="348" spans="1:1" ht="13">
      <c r="A348" s="103"/>
    </row>
    <row r="349" spans="1:1" ht="13">
      <c r="A349" s="103"/>
    </row>
    <row r="350" spans="1:1" ht="13">
      <c r="A350" s="103"/>
    </row>
    <row r="351" spans="1:1" ht="13">
      <c r="A351" s="103"/>
    </row>
    <row r="352" spans="1:1" ht="13">
      <c r="A352" s="103"/>
    </row>
    <row r="353" spans="1:1" ht="13">
      <c r="A353" s="103"/>
    </row>
    <row r="354" spans="1:1" ht="13">
      <c r="A354" s="103"/>
    </row>
    <row r="355" spans="1:1" ht="13">
      <c r="A355" s="103"/>
    </row>
    <row r="356" spans="1:1" ht="13">
      <c r="A356" s="103"/>
    </row>
    <row r="357" spans="1:1" ht="13">
      <c r="A357" s="103"/>
    </row>
    <row r="358" spans="1:1" ht="13">
      <c r="A358" s="103"/>
    </row>
    <row r="359" spans="1:1" ht="13">
      <c r="A359" s="103"/>
    </row>
    <row r="360" spans="1:1" ht="13">
      <c r="A360" s="103"/>
    </row>
    <row r="361" spans="1:1" ht="13">
      <c r="A361" s="103"/>
    </row>
    <row r="362" spans="1:1" ht="13">
      <c r="A362" s="103"/>
    </row>
    <row r="363" spans="1:1" ht="13">
      <c r="A363" s="103"/>
    </row>
    <row r="364" spans="1:1" ht="13">
      <c r="A364" s="103"/>
    </row>
    <row r="365" spans="1:1" ht="13">
      <c r="A365" s="103"/>
    </row>
    <row r="366" spans="1:1" ht="13">
      <c r="A366" s="103"/>
    </row>
    <row r="367" spans="1:1" ht="13">
      <c r="A367" s="103"/>
    </row>
    <row r="368" spans="1:1" ht="13">
      <c r="A368" s="103"/>
    </row>
    <row r="369" spans="1:1" ht="13">
      <c r="A369" s="103"/>
    </row>
  </sheetData>
  <autoFilter ref="A1:B26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94"/>
  <sheetViews>
    <sheetView workbookViewId="0">
      <pane xSplit="2" topLeftCell="C1" activePane="topRight" state="frozen"/>
      <selection pane="topRight" activeCell="D2" sqref="D2"/>
    </sheetView>
  </sheetViews>
  <sheetFormatPr defaultColWidth="14.3984375" defaultRowHeight="15.75" customHeight="1"/>
  <cols>
    <col min="1" max="1" width="11" customWidth="1"/>
    <col min="2" max="2" width="30.59765625" customWidth="1"/>
    <col min="3" max="3" width="32.8984375" customWidth="1"/>
    <col min="4" max="4" width="9.59765625" customWidth="1"/>
    <col min="5" max="5" width="39.296875" customWidth="1"/>
    <col min="6" max="6" width="8" customWidth="1"/>
  </cols>
  <sheetData>
    <row r="1" spans="1:28" ht="15.75" customHeight="1">
      <c r="A1" s="109" t="s">
        <v>82</v>
      </c>
      <c r="B1" s="110" t="s">
        <v>83</v>
      </c>
      <c r="C1" s="110" t="s">
        <v>318</v>
      </c>
      <c r="D1" s="109" t="s">
        <v>319</v>
      </c>
      <c r="E1" s="109" t="s">
        <v>320</v>
      </c>
      <c r="F1" s="109" t="s">
        <v>321</v>
      </c>
      <c r="G1" s="109" t="s">
        <v>322</v>
      </c>
    </row>
    <row r="2" spans="1:28" ht="15.75" customHeight="1">
      <c r="A2" s="111" t="s">
        <v>323</v>
      </c>
      <c r="B2" s="112" t="s">
        <v>324</v>
      </c>
      <c r="C2" s="112" t="s">
        <v>86</v>
      </c>
      <c r="D2" s="111"/>
      <c r="E2" s="111" t="s">
        <v>325</v>
      </c>
      <c r="F2" s="111">
        <v>2</v>
      </c>
      <c r="G2" s="111">
        <v>129</v>
      </c>
    </row>
    <row r="3" spans="1:28" ht="15.75" customHeight="1">
      <c r="A3" s="113" t="s">
        <v>326</v>
      </c>
      <c r="B3" s="114" t="s">
        <v>327</v>
      </c>
      <c r="C3" s="114" t="s">
        <v>328</v>
      </c>
      <c r="D3" s="113" t="s">
        <v>329</v>
      </c>
      <c r="E3" s="113" t="s">
        <v>330</v>
      </c>
      <c r="F3" s="113">
        <v>2</v>
      </c>
      <c r="G3" s="113">
        <v>92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 spans="1:28" ht="15.75" customHeight="1">
      <c r="A4" s="111" t="s">
        <v>331</v>
      </c>
      <c r="B4" s="112" t="s">
        <v>332</v>
      </c>
      <c r="C4" s="112" t="s">
        <v>92</v>
      </c>
      <c r="D4" s="111"/>
      <c r="E4" s="116" t="s">
        <v>333</v>
      </c>
      <c r="F4" s="111">
        <v>2</v>
      </c>
      <c r="G4" s="111">
        <v>106</v>
      </c>
    </row>
    <row r="5" spans="1:28" ht="15.75" customHeight="1">
      <c r="A5" s="111" t="s">
        <v>334</v>
      </c>
      <c r="B5" s="112" t="s">
        <v>335</v>
      </c>
      <c r="C5" s="112" t="s">
        <v>95</v>
      </c>
      <c r="D5" s="111"/>
      <c r="E5" s="111" t="s">
        <v>336</v>
      </c>
      <c r="F5" s="111">
        <v>2</v>
      </c>
      <c r="G5" s="111">
        <v>117</v>
      </c>
    </row>
    <row r="6" spans="1:28" ht="15.75" customHeight="1">
      <c r="A6" s="117" t="s">
        <v>97</v>
      </c>
      <c r="B6" s="118" t="s">
        <v>8</v>
      </c>
      <c r="C6" s="118" t="s">
        <v>98</v>
      </c>
      <c r="D6" s="117" t="s">
        <v>337</v>
      </c>
      <c r="E6" s="117" t="s">
        <v>338</v>
      </c>
      <c r="F6" s="117">
        <v>1</v>
      </c>
      <c r="G6" s="117">
        <v>61</v>
      </c>
    </row>
    <row r="7" spans="1:28" ht="15.75" customHeight="1">
      <c r="A7" s="111" t="s">
        <v>339</v>
      </c>
      <c r="B7" s="112" t="s">
        <v>340</v>
      </c>
      <c r="C7" s="112" t="s">
        <v>99</v>
      </c>
      <c r="D7" s="111" t="s">
        <v>341</v>
      </c>
      <c r="E7" s="111" t="s">
        <v>342</v>
      </c>
      <c r="F7" s="111">
        <v>2</v>
      </c>
      <c r="G7" s="111">
        <v>140</v>
      </c>
    </row>
    <row r="8" spans="1:28" ht="15.75" customHeight="1">
      <c r="A8" s="117" t="s">
        <v>100</v>
      </c>
      <c r="B8" s="118" t="s">
        <v>11</v>
      </c>
      <c r="C8" s="118" t="s">
        <v>101</v>
      </c>
      <c r="D8" s="117" t="s">
        <v>343</v>
      </c>
      <c r="E8" s="117" t="s">
        <v>344</v>
      </c>
      <c r="F8" s="117">
        <v>1</v>
      </c>
      <c r="G8" s="117">
        <v>72</v>
      </c>
    </row>
    <row r="9" spans="1:28" ht="15.75" customHeight="1">
      <c r="A9" s="111" t="s">
        <v>345</v>
      </c>
      <c r="B9" s="112" t="s">
        <v>346</v>
      </c>
      <c r="C9" s="112" t="s">
        <v>103</v>
      </c>
      <c r="D9" s="111"/>
      <c r="E9" s="111" t="s">
        <v>347</v>
      </c>
      <c r="F9" s="111">
        <v>2</v>
      </c>
      <c r="G9" s="111">
        <v>133</v>
      </c>
    </row>
    <row r="10" spans="1:28" ht="15.75" customHeight="1">
      <c r="A10" s="117" t="s">
        <v>105</v>
      </c>
      <c r="B10" s="118" t="s">
        <v>14</v>
      </c>
      <c r="C10" s="118" t="s">
        <v>106</v>
      </c>
      <c r="D10" s="119">
        <v>45881</v>
      </c>
      <c r="E10" s="117" t="s">
        <v>348</v>
      </c>
      <c r="F10" s="117">
        <v>1</v>
      </c>
      <c r="G10" s="117">
        <v>70</v>
      </c>
    </row>
    <row r="11" spans="1:28" ht="15.75" customHeight="1">
      <c r="A11" s="111" t="s">
        <v>107</v>
      </c>
      <c r="B11" s="112" t="s">
        <v>15</v>
      </c>
      <c r="C11" s="112" t="s">
        <v>108</v>
      </c>
      <c r="D11" s="111"/>
      <c r="E11" s="111" t="s">
        <v>349</v>
      </c>
      <c r="F11" s="111">
        <v>1</v>
      </c>
      <c r="G11" s="111">
        <v>71</v>
      </c>
    </row>
    <row r="12" spans="1:28" ht="15.75" customHeight="1">
      <c r="A12" s="117" t="s">
        <v>350</v>
      </c>
      <c r="B12" s="118" t="s">
        <v>351</v>
      </c>
      <c r="C12" s="118" t="s">
        <v>110</v>
      </c>
      <c r="D12" s="120" t="s">
        <v>352</v>
      </c>
      <c r="E12" s="117" t="s">
        <v>353</v>
      </c>
      <c r="F12" s="117">
        <v>2</v>
      </c>
      <c r="G12" s="117">
        <v>140</v>
      </c>
    </row>
    <row r="13" spans="1:28" ht="15.75" customHeight="1">
      <c r="A13" s="117" t="s">
        <v>354</v>
      </c>
      <c r="B13" s="118" t="s">
        <v>355</v>
      </c>
      <c r="C13" s="118" t="s">
        <v>113</v>
      </c>
      <c r="D13" s="119">
        <v>45792</v>
      </c>
      <c r="E13" s="117" t="s">
        <v>356</v>
      </c>
      <c r="F13" s="117">
        <v>2</v>
      </c>
      <c r="G13" s="117">
        <v>140</v>
      </c>
    </row>
    <row r="14" spans="1:28" ht="15.75" customHeight="1">
      <c r="A14" s="117" t="s">
        <v>115</v>
      </c>
      <c r="B14" s="118" t="s">
        <v>20</v>
      </c>
      <c r="C14" s="118" t="s">
        <v>116</v>
      </c>
      <c r="D14" s="117" t="s">
        <v>343</v>
      </c>
      <c r="E14" s="117" t="s">
        <v>357</v>
      </c>
      <c r="F14" s="117">
        <v>1</v>
      </c>
      <c r="G14" s="117">
        <v>70</v>
      </c>
    </row>
    <row r="15" spans="1:28" ht="15.75" customHeight="1">
      <c r="A15" s="117" t="s">
        <v>117</v>
      </c>
      <c r="B15" s="118" t="s">
        <v>21</v>
      </c>
      <c r="C15" s="118" t="s">
        <v>118</v>
      </c>
      <c r="D15" s="117" t="s">
        <v>343</v>
      </c>
      <c r="E15" s="117" t="s">
        <v>358</v>
      </c>
      <c r="F15" s="117">
        <v>1</v>
      </c>
      <c r="G15" s="117">
        <v>70</v>
      </c>
    </row>
    <row r="16" spans="1:28" ht="15.75" customHeight="1">
      <c r="A16" s="117" t="s">
        <v>119</v>
      </c>
      <c r="B16" s="118" t="s">
        <v>22</v>
      </c>
      <c r="C16" s="118" t="s">
        <v>120</v>
      </c>
      <c r="D16" s="117" t="s">
        <v>359</v>
      </c>
      <c r="E16" s="117" t="s">
        <v>360</v>
      </c>
      <c r="F16" s="117">
        <v>1</v>
      </c>
      <c r="G16" s="117">
        <v>70</v>
      </c>
    </row>
    <row r="17" spans="1:6" ht="15.75" customHeight="1">
      <c r="A17" s="121"/>
      <c r="B17" s="122"/>
      <c r="C17" s="123"/>
      <c r="D17" s="124"/>
      <c r="E17" s="117"/>
      <c r="F17" s="117">
        <f>SUM(F2:F16)</f>
        <v>23</v>
      </c>
    </row>
    <row r="18" spans="1:6" ht="15.75" customHeight="1">
      <c r="A18" s="102"/>
      <c r="B18" s="7"/>
      <c r="C18" s="7"/>
      <c r="D18" s="102"/>
      <c r="E18" s="102"/>
      <c r="F18" s="102"/>
    </row>
    <row r="19" spans="1:6" ht="15.75" customHeight="1">
      <c r="A19" s="102"/>
      <c r="B19" s="7"/>
      <c r="C19" s="7"/>
      <c r="D19" s="102"/>
      <c r="E19" s="102"/>
      <c r="F19" s="102"/>
    </row>
    <row r="20" spans="1:6" ht="15.75" customHeight="1">
      <c r="A20" s="102"/>
      <c r="B20" s="125"/>
      <c r="C20" s="7"/>
    </row>
    <row r="21" spans="1:6" ht="15.75" customHeight="1">
      <c r="A21" s="102"/>
      <c r="B21" s="125"/>
      <c r="C21" s="7"/>
    </row>
    <row r="22" spans="1:6" ht="15.75" customHeight="1">
      <c r="A22" s="102"/>
      <c r="B22" s="125"/>
      <c r="C22" s="7"/>
    </row>
    <row r="23" spans="1:6" ht="15.75" customHeight="1">
      <c r="A23" s="102"/>
      <c r="B23" s="125"/>
      <c r="C23" s="7"/>
    </row>
    <row r="24" spans="1:6" ht="15.75" customHeight="1">
      <c r="A24" s="102"/>
      <c r="B24" s="7"/>
      <c r="C24" s="7"/>
      <c r="D24" s="102"/>
      <c r="E24" s="102"/>
      <c r="F24" s="102"/>
    </row>
    <row r="25" spans="1:6" ht="15.75" customHeight="1">
      <c r="A25" s="102"/>
      <c r="B25" s="7"/>
      <c r="C25" s="7"/>
      <c r="D25" s="102"/>
      <c r="E25" s="102"/>
      <c r="F25" s="102"/>
    </row>
    <row r="26" spans="1:6" ht="15.75" customHeight="1">
      <c r="A26" s="102"/>
      <c r="B26" s="7"/>
      <c r="C26" s="7"/>
      <c r="D26" s="102"/>
      <c r="E26" s="102"/>
      <c r="F26" s="102"/>
    </row>
    <row r="27" spans="1:6" ht="15.75" customHeight="1">
      <c r="A27" s="102"/>
      <c r="B27" s="7"/>
      <c r="C27" s="7"/>
      <c r="D27" s="102"/>
      <c r="E27" s="102"/>
      <c r="F27" s="102"/>
    </row>
    <row r="28" spans="1:6" ht="15.75" customHeight="1">
      <c r="A28" s="102"/>
      <c r="B28" s="7"/>
      <c r="C28" s="7"/>
      <c r="D28" s="102"/>
      <c r="E28" s="102"/>
      <c r="F28" s="102"/>
    </row>
    <row r="29" spans="1:6" ht="15.75" customHeight="1">
      <c r="A29" s="102"/>
      <c r="B29" s="7"/>
      <c r="C29" s="7"/>
      <c r="D29" s="102"/>
      <c r="E29" s="102"/>
      <c r="F29" s="102"/>
    </row>
    <row r="30" spans="1:6" ht="15.75" customHeight="1">
      <c r="A30" s="102"/>
      <c r="B30" s="7"/>
      <c r="C30" s="7"/>
      <c r="D30" s="102"/>
      <c r="E30" s="102"/>
      <c r="F30" s="102"/>
    </row>
    <row r="31" spans="1:6" ht="15.75" customHeight="1">
      <c r="B31" s="7"/>
      <c r="C31" s="7"/>
      <c r="D31" s="102"/>
      <c r="E31" s="102"/>
      <c r="F31" s="102"/>
    </row>
    <row r="32" spans="1:6" ht="15.75" customHeight="1">
      <c r="A32" s="102"/>
      <c r="B32" s="7"/>
      <c r="C32" s="7"/>
      <c r="D32" s="102"/>
      <c r="E32" s="102"/>
      <c r="F32" s="102"/>
    </row>
    <row r="33" spans="1:6" ht="15.75" customHeight="1">
      <c r="A33" s="102"/>
      <c r="B33" s="7"/>
      <c r="C33" s="7"/>
      <c r="D33" s="102"/>
      <c r="E33" s="102"/>
      <c r="F33" s="102"/>
    </row>
    <row r="34" spans="1:6" ht="15.75" customHeight="1">
      <c r="A34" s="102"/>
      <c r="B34" s="7"/>
      <c r="C34" s="7"/>
      <c r="D34" s="102"/>
      <c r="E34" s="102"/>
      <c r="F34" s="102"/>
    </row>
    <row r="35" spans="1:6" ht="15.75" customHeight="1">
      <c r="A35" s="102"/>
      <c r="B35" s="7"/>
      <c r="C35" s="7"/>
      <c r="D35" s="102"/>
      <c r="E35" s="102"/>
      <c r="F35" s="102"/>
    </row>
    <row r="36" spans="1:6" ht="15.75" customHeight="1">
      <c r="A36" s="102"/>
      <c r="B36" s="7"/>
      <c r="C36" s="7"/>
      <c r="D36" s="102"/>
      <c r="E36" s="102"/>
      <c r="F36" s="102"/>
    </row>
    <row r="37" spans="1:6" ht="13">
      <c r="A37" s="102"/>
      <c r="B37" s="7"/>
      <c r="C37" s="7"/>
      <c r="D37" s="102"/>
      <c r="E37" s="102"/>
      <c r="F37" s="102"/>
    </row>
    <row r="38" spans="1:6" ht="13">
      <c r="A38" s="102"/>
      <c r="B38" s="7"/>
      <c r="C38" s="7"/>
      <c r="D38" s="102"/>
      <c r="E38" s="102"/>
      <c r="F38" s="102"/>
    </row>
    <row r="39" spans="1:6" ht="13">
      <c r="A39" s="102"/>
      <c r="B39" s="7"/>
      <c r="C39" s="7"/>
      <c r="D39" s="102"/>
      <c r="E39" s="102"/>
      <c r="F39" s="102"/>
    </row>
    <row r="40" spans="1:6" ht="13">
      <c r="A40" s="102"/>
      <c r="B40" s="7"/>
      <c r="C40" s="7"/>
      <c r="D40" s="102"/>
      <c r="E40" s="102"/>
      <c r="F40" s="102"/>
    </row>
    <row r="41" spans="1:6" ht="13">
      <c r="A41" s="102"/>
      <c r="B41" s="7"/>
      <c r="C41" s="7"/>
      <c r="D41" s="102"/>
      <c r="E41" s="102"/>
      <c r="F41" s="102"/>
    </row>
    <row r="42" spans="1:6" ht="13">
      <c r="A42" s="102"/>
      <c r="B42" s="7"/>
      <c r="C42" s="7"/>
      <c r="D42" s="102"/>
      <c r="E42" s="102"/>
      <c r="F42" s="102"/>
    </row>
    <row r="43" spans="1:6" ht="13">
      <c r="A43" s="102"/>
      <c r="B43" s="7"/>
      <c r="C43" s="7"/>
      <c r="D43" s="102"/>
      <c r="E43" s="102"/>
      <c r="F43" s="102"/>
    </row>
    <row r="44" spans="1:6" ht="13">
      <c r="A44" s="102"/>
      <c r="B44" s="7"/>
      <c r="C44" s="7"/>
      <c r="D44" s="102"/>
      <c r="E44" s="102"/>
      <c r="F44" s="102"/>
    </row>
    <row r="45" spans="1:6" ht="13">
      <c r="A45" s="102"/>
      <c r="B45" s="7"/>
      <c r="C45" s="7"/>
      <c r="D45" s="102"/>
      <c r="E45" s="102"/>
      <c r="F45" s="102"/>
    </row>
    <row r="46" spans="1:6" ht="13">
      <c r="A46" s="102"/>
      <c r="B46" s="7"/>
      <c r="C46" s="7"/>
      <c r="D46" s="102"/>
      <c r="E46" s="102"/>
      <c r="F46" s="102"/>
    </row>
    <row r="47" spans="1:6" ht="13">
      <c r="A47" s="102"/>
      <c r="B47" s="7"/>
      <c r="C47" s="7"/>
      <c r="D47" s="102"/>
      <c r="E47" s="102"/>
      <c r="F47" s="102"/>
    </row>
    <row r="48" spans="1:6" ht="13">
      <c r="A48" s="102"/>
      <c r="B48" s="7"/>
      <c r="C48" s="7"/>
      <c r="D48" s="102"/>
      <c r="E48" s="102"/>
      <c r="F48" s="102"/>
    </row>
    <row r="49" spans="1:6" ht="13">
      <c r="A49" s="102"/>
      <c r="B49" s="7"/>
      <c r="C49" s="7"/>
      <c r="D49" s="102"/>
      <c r="E49" s="102"/>
      <c r="F49" s="102"/>
    </row>
    <row r="50" spans="1:6" ht="13">
      <c r="A50" s="102"/>
      <c r="B50" s="7"/>
      <c r="C50" s="7"/>
      <c r="D50" s="102"/>
      <c r="E50" s="102"/>
      <c r="F50" s="102"/>
    </row>
    <row r="51" spans="1:6" ht="13">
      <c r="A51" s="102"/>
      <c r="B51" s="7"/>
      <c r="C51" s="7"/>
      <c r="D51" s="102"/>
      <c r="E51" s="102"/>
      <c r="F51" s="102"/>
    </row>
    <row r="52" spans="1:6" ht="13">
      <c r="A52" s="102"/>
      <c r="B52" s="7"/>
      <c r="C52" s="7"/>
      <c r="D52" s="102"/>
      <c r="E52" s="102"/>
      <c r="F52" s="102"/>
    </row>
    <row r="53" spans="1:6" ht="13">
      <c r="A53" s="102"/>
      <c r="B53" s="7"/>
      <c r="C53" s="7"/>
      <c r="D53" s="102"/>
      <c r="E53" s="102"/>
      <c r="F53" s="102"/>
    </row>
    <row r="54" spans="1:6" ht="13">
      <c r="A54" s="102"/>
      <c r="B54" s="7"/>
      <c r="C54" s="7"/>
      <c r="D54" s="102"/>
      <c r="E54" s="102"/>
      <c r="F54" s="102"/>
    </row>
    <row r="55" spans="1:6" ht="13">
      <c r="A55" s="102"/>
      <c r="B55" s="7"/>
      <c r="C55" s="7"/>
      <c r="D55" s="102"/>
      <c r="E55" s="102"/>
      <c r="F55" s="102"/>
    </row>
    <row r="56" spans="1:6" ht="13">
      <c r="A56" s="102"/>
      <c r="B56" s="7"/>
      <c r="C56" s="7"/>
      <c r="D56" s="102"/>
      <c r="E56" s="102"/>
      <c r="F56" s="102"/>
    </row>
    <row r="57" spans="1:6" ht="13">
      <c r="A57" s="102"/>
      <c r="B57" s="7"/>
      <c r="C57" s="7"/>
      <c r="D57" s="102"/>
      <c r="E57" s="102"/>
      <c r="F57" s="102"/>
    </row>
    <row r="58" spans="1:6" ht="13">
      <c r="A58" s="102"/>
      <c r="B58" s="7"/>
      <c r="C58" s="7"/>
      <c r="D58" s="102"/>
      <c r="E58" s="102"/>
      <c r="F58" s="102"/>
    </row>
    <row r="59" spans="1:6" ht="13">
      <c r="A59" s="102"/>
      <c r="B59" s="7"/>
      <c r="C59" s="7"/>
      <c r="D59" s="102"/>
      <c r="E59" s="102"/>
      <c r="F59" s="102"/>
    </row>
    <row r="60" spans="1:6" ht="13">
      <c r="A60" s="102"/>
      <c r="B60" s="7"/>
      <c r="C60" s="7"/>
      <c r="D60" s="102"/>
      <c r="E60" s="102"/>
      <c r="F60" s="102"/>
    </row>
    <row r="61" spans="1:6" ht="13">
      <c r="A61" s="102"/>
      <c r="B61" s="7"/>
      <c r="C61" s="7"/>
      <c r="D61" s="102"/>
      <c r="E61" s="102"/>
      <c r="F61" s="102"/>
    </row>
    <row r="62" spans="1:6" ht="13">
      <c r="A62" s="102"/>
      <c r="B62" s="7"/>
      <c r="C62" s="7"/>
      <c r="D62" s="102"/>
      <c r="E62" s="102"/>
      <c r="F62" s="102"/>
    </row>
    <row r="63" spans="1:6" ht="13">
      <c r="A63" s="102"/>
      <c r="B63" s="7"/>
      <c r="C63" s="7"/>
      <c r="D63" s="102"/>
      <c r="E63" s="102"/>
      <c r="F63" s="102"/>
    </row>
    <row r="64" spans="1:6" ht="13">
      <c r="A64" s="102"/>
      <c r="B64" s="7"/>
      <c r="C64" s="7"/>
      <c r="D64" s="102"/>
      <c r="E64" s="102"/>
      <c r="F64" s="102"/>
    </row>
    <row r="65" spans="1:6" ht="13">
      <c r="A65" s="102"/>
      <c r="B65" s="7"/>
      <c r="C65" s="7"/>
      <c r="D65" s="102"/>
      <c r="E65" s="102"/>
      <c r="F65" s="102"/>
    </row>
    <row r="66" spans="1:6" ht="13">
      <c r="A66" s="102"/>
      <c r="B66" s="7"/>
      <c r="C66" s="7"/>
      <c r="D66" s="102"/>
      <c r="E66" s="102"/>
      <c r="F66" s="102"/>
    </row>
    <row r="67" spans="1:6" ht="13">
      <c r="A67" s="102"/>
      <c r="B67" s="7"/>
      <c r="C67" s="7"/>
      <c r="D67" s="102"/>
      <c r="E67" s="102"/>
      <c r="F67" s="102"/>
    </row>
    <row r="68" spans="1:6" ht="13">
      <c r="A68" s="102"/>
      <c r="B68" s="7"/>
      <c r="C68" s="7"/>
      <c r="D68" s="102"/>
      <c r="E68" s="102"/>
      <c r="F68" s="102"/>
    </row>
    <row r="69" spans="1:6" ht="13">
      <c r="A69" s="102"/>
      <c r="B69" s="7"/>
      <c r="C69" s="7"/>
      <c r="D69" s="102"/>
      <c r="E69" s="102"/>
      <c r="F69" s="102"/>
    </row>
    <row r="70" spans="1:6" ht="13">
      <c r="A70" s="102"/>
      <c r="B70" s="7"/>
      <c r="C70" s="7"/>
      <c r="D70" s="102"/>
      <c r="E70" s="102"/>
      <c r="F70" s="102"/>
    </row>
    <row r="71" spans="1:6" ht="13">
      <c r="A71" s="102"/>
      <c r="B71" s="7"/>
      <c r="C71" s="7"/>
      <c r="D71" s="102"/>
      <c r="E71" s="102"/>
      <c r="F71" s="102"/>
    </row>
    <row r="72" spans="1:6" ht="13">
      <c r="A72" s="102"/>
      <c r="B72" s="7"/>
      <c r="C72" s="7"/>
      <c r="D72" s="102"/>
      <c r="E72" s="102"/>
      <c r="F72" s="102"/>
    </row>
    <row r="73" spans="1:6" ht="13">
      <c r="A73" s="102"/>
      <c r="B73" s="7"/>
      <c r="C73" s="7"/>
      <c r="D73" s="102"/>
      <c r="E73" s="102"/>
      <c r="F73" s="102"/>
    </row>
    <row r="74" spans="1:6" ht="13">
      <c r="A74" s="102"/>
      <c r="B74" s="7"/>
      <c r="C74" s="7"/>
      <c r="D74" s="102"/>
      <c r="E74" s="102"/>
      <c r="F74" s="102"/>
    </row>
    <row r="75" spans="1:6" ht="13">
      <c r="A75" s="102"/>
      <c r="B75" s="7"/>
      <c r="C75" s="7"/>
      <c r="D75" s="102"/>
      <c r="E75" s="102"/>
      <c r="F75" s="102"/>
    </row>
    <row r="76" spans="1:6" ht="13">
      <c r="A76" s="102"/>
      <c r="B76" s="7"/>
      <c r="C76" s="7"/>
      <c r="D76" s="102"/>
      <c r="E76" s="102"/>
      <c r="F76" s="102"/>
    </row>
    <row r="77" spans="1:6" ht="13">
      <c r="A77" s="102"/>
      <c r="B77" s="7"/>
      <c r="C77" s="7"/>
      <c r="D77" s="102"/>
      <c r="E77" s="102"/>
      <c r="F77" s="102"/>
    </row>
    <row r="78" spans="1:6" ht="13">
      <c r="A78" s="102"/>
      <c r="B78" s="7"/>
      <c r="C78" s="7"/>
      <c r="D78" s="102"/>
      <c r="E78" s="102"/>
      <c r="F78" s="102"/>
    </row>
    <row r="79" spans="1:6" ht="13">
      <c r="A79" s="102"/>
      <c r="B79" s="7"/>
      <c r="C79" s="7"/>
      <c r="D79" s="102"/>
      <c r="E79" s="102"/>
      <c r="F79" s="102"/>
    </row>
    <row r="80" spans="1:6" ht="13">
      <c r="A80" s="102"/>
      <c r="B80" s="7"/>
      <c r="C80" s="7"/>
      <c r="D80" s="102"/>
      <c r="E80" s="102"/>
      <c r="F80" s="102"/>
    </row>
    <row r="81" spans="1:6" ht="13">
      <c r="A81" s="102"/>
      <c r="B81" s="7"/>
      <c r="C81" s="7"/>
      <c r="D81" s="102"/>
      <c r="E81" s="102"/>
      <c r="F81" s="102"/>
    </row>
    <row r="82" spans="1:6" ht="13">
      <c r="A82" s="102"/>
      <c r="B82" s="7"/>
      <c r="C82" s="7"/>
      <c r="D82" s="102"/>
      <c r="E82" s="102"/>
      <c r="F82" s="102"/>
    </row>
    <row r="83" spans="1:6" ht="13">
      <c r="A83" s="102"/>
      <c r="B83" s="7"/>
      <c r="C83" s="7"/>
      <c r="D83" s="102"/>
      <c r="E83" s="102"/>
      <c r="F83" s="102"/>
    </row>
    <row r="84" spans="1:6" ht="13">
      <c r="A84" s="102"/>
      <c r="B84" s="7"/>
      <c r="C84" s="7"/>
      <c r="D84" s="102"/>
      <c r="E84" s="102"/>
      <c r="F84" s="102"/>
    </row>
    <row r="85" spans="1:6" ht="13">
      <c r="A85" s="102"/>
      <c r="B85" s="7"/>
      <c r="C85" s="7"/>
      <c r="D85" s="102"/>
      <c r="E85" s="102"/>
      <c r="F85" s="102"/>
    </row>
    <row r="86" spans="1:6" ht="13">
      <c r="A86" s="102"/>
      <c r="B86" s="7"/>
      <c r="C86" s="7"/>
      <c r="D86" s="102"/>
      <c r="E86" s="102"/>
      <c r="F86" s="102"/>
    </row>
    <row r="87" spans="1:6" ht="13">
      <c r="A87" s="102"/>
      <c r="B87" s="7"/>
      <c r="C87" s="7"/>
      <c r="D87" s="102"/>
      <c r="E87" s="102"/>
      <c r="F87" s="102"/>
    </row>
    <row r="88" spans="1:6" ht="13">
      <c r="A88" s="102"/>
      <c r="B88" s="7"/>
      <c r="C88" s="7"/>
      <c r="D88" s="102"/>
      <c r="E88" s="102"/>
      <c r="F88" s="102"/>
    </row>
    <row r="89" spans="1:6" ht="13">
      <c r="A89" s="102"/>
      <c r="B89" s="7"/>
      <c r="C89" s="7"/>
      <c r="D89" s="102"/>
      <c r="E89" s="102"/>
      <c r="F89" s="102"/>
    </row>
    <row r="90" spans="1:6" ht="13">
      <c r="A90" s="102"/>
      <c r="B90" s="7"/>
      <c r="C90" s="7"/>
      <c r="D90" s="102"/>
      <c r="E90" s="102"/>
      <c r="F90" s="102"/>
    </row>
    <row r="91" spans="1:6" ht="13">
      <c r="A91" s="102"/>
      <c r="B91" s="7"/>
      <c r="C91" s="7"/>
      <c r="D91" s="102"/>
      <c r="E91" s="102"/>
      <c r="F91" s="102"/>
    </row>
    <row r="92" spans="1:6" ht="13">
      <c r="A92" s="102"/>
      <c r="B92" s="7"/>
      <c r="C92" s="7"/>
      <c r="D92" s="102"/>
      <c r="E92" s="102"/>
      <c r="F92" s="102"/>
    </row>
    <row r="93" spans="1:6" ht="13">
      <c r="A93" s="102"/>
      <c r="B93" s="7"/>
      <c r="C93" s="7"/>
      <c r="D93" s="102"/>
      <c r="E93" s="102"/>
      <c r="F93" s="102"/>
    </row>
    <row r="94" spans="1:6" ht="13">
      <c r="A94" s="102"/>
      <c r="B94" s="7"/>
      <c r="C94" s="7"/>
      <c r="D94" s="102"/>
      <c r="E94" s="102"/>
      <c r="F94" s="102"/>
    </row>
    <row r="95" spans="1:6" ht="13">
      <c r="A95" s="102"/>
      <c r="B95" s="7"/>
      <c r="C95" s="7"/>
      <c r="D95" s="102"/>
      <c r="E95" s="102"/>
      <c r="F95" s="102"/>
    </row>
    <row r="96" spans="1:6" ht="13">
      <c r="A96" s="102"/>
      <c r="B96" s="7"/>
      <c r="C96" s="7"/>
      <c r="D96" s="102"/>
      <c r="E96" s="102"/>
      <c r="F96" s="102"/>
    </row>
    <row r="97" spans="1:6" ht="13">
      <c r="A97" s="102"/>
      <c r="B97" s="7"/>
      <c r="C97" s="7"/>
      <c r="D97" s="102"/>
      <c r="E97" s="102"/>
      <c r="F97" s="102"/>
    </row>
    <row r="98" spans="1:6" ht="13">
      <c r="A98" s="102"/>
      <c r="B98" s="7"/>
      <c r="C98" s="7"/>
      <c r="D98" s="102"/>
      <c r="E98" s="102"/>
      <c r="F98" s="102"/>
    </row>
    <row r="99" spans="1:6" ht="13">
      <c r="A99" s="102"/>
      <c r="B99" s="7"/>
      <c r="C99" s="7"/>
      <c r="D99" s="102"/>
      <c r="E99" s="102"/>
      <c r="F99" s="102"/>
    </row>
    <row r="100" spans="1:6" ht="13">
      <c r="A100" s="102"/>
      <c r="B100" s="7"/>
      <c r="C100" s="7"/>
      <c r="D100" s="102"/>
      <c r="E100" s="102"/>
      <c r="F100" s="102"/>
    </row>
    <row r="101" spans="1:6" ht="13">
      <c r="A101" s="102"/>
      <c r="B101" s="7"/>
      <c r="C101" s="7"/>
      <c r="D101" s="102"/>
      <c r="E101" s="102"/>
      <c r="F101" s="102"/>
    </row>
    <row r="102" spans="1:6" ht="13">
      <c r="A102" s="102"/>
      <c r="B102" s="7"/>
      <c r="C102" s="7"/>
      <c r="D102" s="102"/>
      <c r="E102" s="102"/>
      <c r="F102" s="102"/>
    </row>
    <row r="103" spans="1:6" ht="13">
      <c r="A103" s="102"/>
      <c r="B103" s="7"/>
      <c r="C103" s="7"/>
      <c r="D103" s="102"/>
      <c r="E103" s="102"/>
      <c r="F103" s="102"/>
    </row>
    <row r="104" spans="1:6" ht="13">
      <c r="A104" s="102"/>
      <c r="B104" s="7"/>
      <c r="C104" s="7"/>
      <c r="D104" s="102"/>
      <c r="E104" s="102"/>
      <c r="F104" s="102"/>
    </row>
    <row r="105" spans="1:6" ht="13">
      <c r="A105" s="102"/>
      <c r="B105" s="7"/>
      <c r="C105" s="7"/>
      <c r="D105" s="102"/>
      <c r="E105" s="102"/>
      <c r="F105" s="102"/>
    </row>
    <row r="106" spans="1:6" ht="13">
      <c r="A106" s="102"/>
      <c r="B106" s="7"/>
      <c r="C106" s="7"/>
      <c r="D106" s="102"/>
      <c r="E106" s="102"/>
      <c r="F106" s="102"/>
    </row>
    <row r="107" spans="1:6" ht="13">
      <c r="A107" s="102"/>
      <c r="B107" s="7"/>
      <c r="C107" s="7"/>
      <c r="D107" s="102"/>
      <c r="E107" s="102"/>
      <c r="F107" s="102"/>
    </row>
    <row r="108" spans="1:6" ht="13">
      <c r="A108" s="102"/>
      <c r="B108" s="7"/>
      <c r="C108" s="7"/>
      <c r="D108" s="102"/>
      <c r="E108" s="102"/>
      <c r="F108" s="102"/>
    </row>
    <row r="109" spans="1:6" ht="13">
      <c r="A109" s="102"/>
      <c r="B109" s="7"/>
      <c r="C109" s="7"/>
      <c r="D109" s="102"/>
      <c r="E109" s="102"/>
      <c r="F109" s="102"/>
    </row>
    <row r="110" spans="1:6" ht="13">
      <c r="A110" s="102"/>
      <c r="B110" s="7"/>
      <c r="C110" s="7"/>
      <c r="D110" s="102"/>
      <c r="E110" s="102"/>
      <c r="F110" s="102"/>
    </row>
    <row r="111" spans="1:6" ht="13">
      <c r="A111" s="102"/>
      <c r="B111" s="7"/>
      <c r="C111" s="7"/>
      <c r="D111" s="102"/>
      <c r="E111" s="102"/>
      <c r="F111" s="102"/>
    </row>
    <row r="112" spans="1:6" ht="13">
      <c r="A112" s="102"/>
      <c r="B112" s="7"/>
      <c r="C112" s="7"/>
      <c r="D112" s="102"/>
      <c r="E112" s="102"/>
      <c r="F112" s="102"/>
    </row>
    <row r="113" spans="1:6" ht="13">
      <c r="A113" s="102"/>
      <c r="B113" s="7"/>
      <c r="C113" s="7"/>
      <c r="D113" s="102"/>
      <c r="E113" s="102"/>
      <c r="F113" s="102"/>
    </row>
    <row r="114" spans="1:6" ht="13">
      <c r="A114" s="102"/>
      <c r="B114" s="7"/>
      <c r="C114" s="7"/>
      <c r="D114" s="102"/>
      <c r="E114" s="102"/>
      <c r="F114" s="102"/>
    </row>
    <row r="115" spans="1:6" ht="13">
      <c r="A115" s="102"/>
      <c r="B115" s="7"/>
      <c r="C115" s="7"/>
      <c r="D115" s="102"/>
      <c r="E115" s="102"/>
      <c r="F115" s="102"/>
    </row>
    <row r="116" spans="1:6" ht="13">
      <c r="A116" s="102"/>
      <c r="B116" s="7"/>
      <c r="C116" s="7"/>
      <c r="D116" s="102"/>
      <c r="E116" s="102"/>
      <c r="F116" s="102"/>
    </row>
    <row r="117" spans="1:6" ht="13">
      <c r="A117" s="102"/>
      <c r="B117" s="7"/>
      <c r="C117" s="7"/>
      <c r="D117" s="102"/>
      <c r="E117" s="102"/>
      <c r="F117" s="102"/>
    </row>
    <row r="118" spans="1:6" ht="13">
      <c r="A118" s="102"/>
      <c r="B118" s="7"/>
      <c r="C118" s="7"/>
      <c r="D118" s="102"/>
      <c r="E118" s="102"/>
      <c r="F118" s="102"/>
    </row>
    <row r="119" spans="1:6" ht="13">
      <c r="A119" s="102"/>
      <c r="B119" s="7"/>
      <c r="C119" s="7"/>
      <c r="D119" s="102"/>
      <c r="E119" s="102"/>
      <c r="F119" s="102"/>
    </row>
    <row r="120" spans="1:6" ht="13">
      <c r="A120" s="102"/>
      <c r="B120" s="7"/>
      <c r="C120" s="7"/>
      <c r="D120" s="102"/>
      <c r="E120" s="102"/>
      <c r="F120" s="102"/>
    </row>
    <row r="121" spans="1:6" ht="13">
      <c r="A121" s="102"/>
      <c r="B121" s="7"/>
      <c r="C121" s="7"/>
      <c r="D121" s="102"/>
      <c r="E121" s="102"/>
      <c r="F121" s="102"/>
    </row>
    <row r="122" spans="1:6" ht="13">
      <c r="A122" s="102"/>
      <c r="B122" s="7"/>
      <c r="C122" s="7"/>
      <c r="D122" s="102"/>
      <c r="E122" s="102"/>
      <c r="F122" s="102"/>
    </row>
    <row r="123" spans="1:6" ht="13">
      <c r="A123" s="102"/>
      <c r="B123" s="7"/>
      <c r="C123" s="7"/>
      <c r="D123" s="102"/>
      <c r="E123" s="102"/>
      <c r="F123" s="102"/>
    </row>
    <row r="124" spans="1:6" ht="13">
      <c r="A124" s="102"/>
      <c r="B124" s="7"/>
      <c r="C124" s="7"/>
      <c r="D124" s="102"/>
      <c r="E124" s="102"/>
      <c r="F124" s="102"/>
    </row>
    <row r="125" spans="1:6" ht="13">
      <c r="A125" s="102"/>
      <c r="B125" s="7"/>
      <c r="C125" s="7"/>
      <c r="D125" s="102"/>
      <c r="E125" s="102"/>
      <c r="F125" s="102"/>
    </row>
    <row r="126" spans="1:6" ht="13">
      <c r="A126" s="102"/>
      <c r="B126" s="7"/>
      <c r="C126" s="7"/>
      <c r="D126" s="102"/>
      <c r="E126" s="102"/>
      <c r="F126" s="102"/>
    </row>
    <row r="127" spans="1:6" ht="13">
      <c r="A127" s="102"/>
      <c r="B127" s="7"/>
      <c r="C127" s="7"/>
      <c r="D127" s="102"/>
      <c r="E127" s="102"/>
      <c r="F127" s="102"/>
    </row>
    <row r="128" spans="1:6" ht="13">
      <c r="A128" s="102"/>
      <c r="B128" s="7"/>
      <c r="C128" s="7"/>
      <c r="D128" s="102"/>
      <c r="E128" s="102"/>
      <c r="F128" s="102"/>
    </row>
    <row r="129" spans="1:6" ht="13">
      <c r="A129" s="102"/>
      <c r="B129" s="7"/>
      <c r="C129" s="7"/>
      <c r="D129" s="102"/>
      <c r="E129" s="102"/>
      <c r="F129" s="102"/>
    </row>
    <row r="130" spans="1:6" ht="13">
      <c r="A130" s="102"/>
      <c r="B130" s="7"/>
      <c r="C130" s="7"/>
      <c r="D130" s="102"/>
      <c r="E130" s="102"/>
      <c r="F130" s="102"/>
    </row>
    <row r="131" spans="1:6" ht="13">
      <c r="A131" s="102"/>
      <c r="B131" s="7"/>
      <c r="C131" s="7"/>
      <c r="D131" s="102"/>
      <c r="E131" s="102"/>
      <c r="F131" s="102"/>
    </row>
    <row r="132" spans="1:6" ht="13">
      <c r="A132" s="102"/>
      <c r="B132" s="7"/>
      <c r="C132" s="7"/>
      <c r="D132" s="102"/>
      <c r="E132" s="102"/>
      <c r="F132" s="102"/>
    </row>
    <row r="133" spans="1:6" ht="13">
      <c r="A133" s="102"/>
      <c r="B133" s="7"/>
      <c r="C133" s="7"/>
      <c r="D133" s="102"/>
      <c r="E133" s="102"/>
      <c r="F133" s="102"/>
    </row>
    <row r="134" spans="1:6" ht="13">
      <c r="A134" s="102"/>
      <c r="B134" s="7"/>
      <c r="C134" s="7"/>
      <c r="D134" s="102"/>
      <c r="E134" s="102"/>
      <c r="F134" s="102"/>
    </row>
    <row r="135" spans="1:6" ht="13">
      <c r="A135" s="102"/>
      <c r="B135" s="7"/>
      <c r="C135" s="7"/>
      <c r="D135" s="102"/>
      <c r="E135" s="102"/>
      <c r="F135" s="102"/>
    </row>
    <row r="136" spans="1:6" ht="13">
      <c r="A136" s="102"/>
      <c r="B136" s="7"/>
      <c r="C136" s="7"/>
      <c r="D136" s="102"/>
      <c r="E136" s="102"/>
      <c r="F136" s="102"/>
    </row>
    <row r="137" spans="1:6" ht="13">
      <c r="A137" s="102"/>
      <c r="B137" s="7"/>
      <c r="C137" s="7"/>
      <c r="D137" s="102"/>
      <c r="E137" s="102"/>
      <c r="F137" s="102"/>
    </row>
    <row r="138" spans="1:6" ht="13">
      <c r="A138" s="102"/>
      <c r="B138" s="7"/>
      <c r="C138" s="7"/>
      <c r="D138" s="102"/>
      <c r="E138" s="102"/>
      <c r="F138" s="102"/>
    </row>
    <row r="139" spans="1:6" ht="13">
      <c r="A139" s="102"/>
      <c r="B139" s="7"/>
      <c r="C139" s="7"/>
      <c r="D139" s="102"/>
      <c r="E139" s="102"/>
      <c r="F139" s="102"/>
    </row>
    <row r="140" spans="1:6" ht="13">
      <c r="A140" s="102"/>
      <c r="B140" s="7"/>
      <c r="C140" s="7"/>
      <c r="D140" s="102"/>
      <c r="E140" s="102"/>
      <c r="F140" s="102"/>
    </row>
    <row r="141" spans="1:6" ht="13">
      <c r="A141" s="102"/>
      <c r="B141" s="7"/>
      <c r="C141" s="7"/>
      <c r="D141" s="102"/>
      <c r="E141" s="102"/>
      <c r="F141" s="102"/>
    </row>
    <row r="142" spans="1:6" ht="13">
      <c r="A142" s="102"/>
      <c r="B142" s="7"/>
      <c r="C142" s="7"/>
      <c r="D142" s="102"/>
      <c r="E142" s="102"/>
      <c r="F142" s="102"/>
    </row>
    <row r="143" spans="1:6" ht="13">
      <c r="A143" s="102"/>
      <c r="B143" s="7"/>
      <c r="C143" s="7"/>
      <c r="D143" s="102"/>
      <c r="E143" s="102"/>
      <c r="F143" s="102"/>
    </row>
    <row r="144" spans="1:6" ht="13">
      <c r="A144" s="102"/>
      <c r="B144" s="7"/>
      <c r="C144" s="7"/>
      <c r="D144" s="102"/>
      <c r="E144" s="102"/>
      <c r="F144" s="102"/>
    </row>
    <row r="145" spans="1:6" ht="13">
      <c r="A145" s="102"/>
      <c r="B145" s="7"/>
      <c r="C145" s="7"/>
      <c r="D145" s="102"/>
      <c r="E145" s="102"/>
      <c r="F145" s="102"/>
    </row>
    <row r="146" spans="1:6" ht="13">
      <c r="A146" s="102"/>
      <c r="B146" s="7"/>
      <c r="C146" s="7"/>
      <c r="D146" s="102"/>
      <c r="E146" s="102"/>
      <c r="F146" s="102"/>
    </row>
    <row r="147" spans="1:6" ht="13">
      <c r="A147" s="102"/>
      <c r="B147" s="7"/>
      <c r="C147" s="7"/>
      <c r="D147" s="102"/>
      <c r="E147" s="102"/>
      <c r="F147" s="102"/>
    </row>
    <row r="148" spans="1:6" ht="13">
      <c r="A148" s="102"/>
      <c r="B148" s="7"/>
      <c r="C148" s="7"/>
      <c r="D148" s="102"/>
      <c r="E148" s="102"/>
      <c r="F148" s="102"/>
    </row>
    <row r="149" spans="1:6" ht="13">
      <c r="A149" s="102"/>
      <c r="B149" s="7"/>
      <c r="C149" s="7"/>
      <c r="D149" s="102"/>
      <c r="E149" s="102"/>
      <c r="F149" s="102"/>
    </row>
    <row r="150" spans="1:6" ht="13">
      <c r="A150" s="102"/>
      <c r="B150" s="7"/>
      <c r="C150" s="7"/>
      <c r="D150" s="102"/>
      <c r="E150" s="102"/>
      <c r="F150" s="102"/>
    </row>
    <row r="151" spans="1:6" ht="13">
      <c r="A151" s="102"/>
      <c r="B151" s="7"/>
      <c r="C151" s="7"/>
      <c r="D151" s="102"/>
      <c r="E151" s="102"/>
      <c r="F151" s="102"/>
    </row>
    <row r="152" spans="1:6" ht="13">
      <c r="A152" s="102"/>
      <c r="B152" s="7"/>
      <c r="C152" s="7"/>
      <c r="D152" s="102"/>
      <c r="E152" s="102"/>
      <c r="F152" s="102"/>
    </row>
    <row r="153" spans="1:6" ht="13">
      <c r="A153" s="102"/>
      <c r="B153" s="7"/>
      <c r="C153" s="7"/>
      <c r="D153" s="102"/>
      <c r="E153" s="102"/>
      <c r="F153" s="102"/>
    </row>
    <row r="154" spans="1:6" ht="13">
      <c r="A154" s="102"/>
      <c r="B154" s="7"/>
      <c r="C154" s="7"/>
      <c r="D154" s="102"/>
      <c r="E154" s="102"/>
      <c r="F154" s="102"/>
    </row>
    <row r="155" spans="1:6" ht="13">
      <c r="A155" s="102"/>
      <c r="B155" s="7"/>
      <c r="C155" s="7"/>
      <c r="D155" s="102"/>
      <c r="E155" s="102"/>
      <c r="F155" s="102"/>
    </row>
    <row r="156" spans="1:6" ht="13">
      <c r="A156" s="102"/>
      <c r="B156" s="7"/>
      <c r="C156" s="7"/>
      <c r="D156" s="102"/>
      <c r="E156" s="102"/>
      <c r="F156" s="102"/>
    </row>
    <row r="157" spans="1:6" ht="13">
      <c r="A157" s="102"/>
      <c r="B157" s="7"/>
      <c r="C157" s="7"/>
      <c r="D157" s="102"/>
      <c r="E157" s="102"/>
      <c r="F157" s="102"/>
    </row>
    <row r="158" spans="1:6" ht="13">
      <c r="A158" s="102"/>
      <c r="B158" s="7"/>
      <c r="C158" s="7"/>
      <c r="D158" s="102"/>
      <c r="E158" s="102"/>
      <c r="F158" s="102"/>
    </row>
    <row r="159" spans="1:6" ht="13">
      <c r="A159" s="102"/>
      <c r="B159" s="7"/>
      <c r="C159" s="7"/>
      <c r="D159" s="102"/>
      <c r="E159" s="102"/>
      <c r="F159" s="102"/>
    </row>
    <row r="160" spans="1:6" ht="13">
      <c r="A160" s="102"/>
      <c r="B160" s="7"/>
      <c r="C160" s="7"/>
      <c r="D160" s="102"/>
      <c r="E160" s="102"/>
      <c r="F160" s="102"/>
    </row>
    <row r="161" spans="1:6" ht="13">
      <c r="A161" s="102"/>
      <c r="B161" s="7"/>
      <c r="C161" s="7"/>
      <c r="D161" s="102"/>
      <c r="E161" s="102"/>
      <c r="F161" s="102"/>
    </row>
    <row r="162" spans="1:6" ht="13">
      <c r="A162" s="102"/>
      <c r="B162" s="7"/>
      <c r="C162" s="7"/>
      <c r="D162" s="102"/>
      <c r="E162" s="102"/>
      <c r="F162" s="102"/>
    </row>
    <row r="163" spans="1:6" ht="13">
      <c r="A163" s="102"/>
      <c r="B163" s="7"/>
      <c r="C163" s="7"/>
      <c r="D163" s="102"/>
      <c r="E163" s="102"/>
      <c r="F163" s="102"/>
    </row>
    <row r="164" spans="1:6" ht="13">
      <c r="A164" s="102"/>
      <c r="B164" s="7"/>
      <c r="C164" s="7"/>
      <c r="D164" s="102"/>
      <c r="E164" s="102"/>
      <c r="F164" s="102"/>
    </row>
    <row r="165" spans="1:6" ht="13">
      <c r="A165" s="102"/>
      <c r="B165" s="7"/>
      <c r="C165" s="7"/>
      <c r="D165" s="102"/>
      <c r="E165" s="102"/>
      <c r="F165" s="102"/>
    </row>
    <row r="166" spans="1:6" ht="13">
      <c r="A166" s="102"/>
      <c r="B166" s="7"/>
      <c r="C166" s="7"/>
      <c r="D166" s="102"/>
      <c r="E166" s="102"/>
      <c r="F166" s="102"/>
    </row>
    <row r="167" spans="1:6" ht="13">
      <c r="A167" s="102"/>
      <c r="B167" s="7"/>
      <c r="C167" s="7"/>
      <c r="D167" s="102"/>
      <c r="E167" s="102"/>
      <c r="F167" s="102"/>
    </row>
    <row r="168" spans="1:6" ht="13">
      <c r="A168" s="102"/>
      <c r="B168" s="7"/>
      <c r="C168" s="7"/>
      <c r="D168" s="102"/>
      <c r="E168" s="102"/>
      <c r="F168" s="102"/>
    </row>
    <row r="169" spans="1:6" ht="13">
      <c r="A169" s="102"/>
      <c r="B169" s="7"/>
      <c r="C169" s="7"/>
      <c r="D169" s="102"/>
      <c r="E169" s="102"/>
      <c r="F169" s="102"/>
    </row>
    <row r="170" spans="1:6" ht="13">
      <c r="A170" s="102"/>
      <c r="B170" s="7"/>
      <c r="C170" s="7"/>
      <c r="D170" s="102"/>
      <c r="E170" s="102"/>
      <c r="F170" s="102"/>
    </row>
    <row r="171" spans="1:6" ht="13">
      <c r="A171" s="102"/>
      <c r="B171" s="7"/>
      <c r="C171" s="7"/>
      <c r="D171" s="102"/>
      <c r="E171" s="102"/>
      <c r="F171" s="102"/>
    </row>
    <row r="172" spans="1:6" ht="13">
      <c r="A172" s="102"/>
      <c r="B172" s="7"/>
      <c r="C172" s="7"/>
      <c r="D172" s="102"/>
      <c r="E172" s="102"/>
      <c r="F172" s="102"/>
    </row>
    <row r="173" spans="1:6" ht="13">
      <c r="A173" s="102"/>
      <c r="B173" s="7"/>
      <c r="C173" s="7"/>
      <c r="D173" s="102"/>
      <c r="E173" s="102"/>
      <c r="F173" s="102"/>
    </row>
    <row r="174" spans="1:6" ht="13">
      <c r="A174" s="102"/>
      <c r="B174" s="7"/>
      <c r="C174" s="7"/>
      <c r="D174" s="102"/>
      <c r="E174" s="102"/>
      <c r="F174" s="102"/>
    </row>
    <row r="175" spans="1:6" ht="13">
      <c r="A175" s="102"/>
      <c r="B175" s="7"/>
      <c r="C175" s="7"/>
      <c r="D175" s="102"/>
      <c r="E175" s="102"/>
      <c r="F175" s="102"/>
    </row>
    <row r="176" spans="1:6" ht="13">
      <c r="A176" s="102"/>
      <c r="B176" s="7"/>
      <c r="C176" s="7"/>
      <c r="D176" s="102"/>
      <c r="E176" s="102"/>
      <c r="F176" s="102"/>
    </row>
    <row r="177" spans="1:6" ht="13">
      <c r="A177" s="102"/>
      <c r="B177" s="7"/>
      <c r="C177" s="7"/>
      <c r="D177" s="102"/>
      <c r="E177" s="102"/>
      <c r="F177" s="102"/>
    </row>
    <row r="178" spans="1:6" ht="13">
      <c r="A178" s="102"/>
      <c r="B178" s="7"/>
      <c r="C178" s="7"/>
      <c r="D178" s="102"/>
      <c r="E178" s="102"/>
      <c r="F178" s="102"/>
    </row>
    <row r="179" spans="1:6" ht="13">
      <c r="A179" s="102"/>
      <c r="B179" s="7"/>
      <c r="C179" s="7"/>
      <c r="D179" s="102"/>
      <c r="E179" s="102"/>
      <c r="F179" s="102"/>
    </row>
    <row r="180" spans="1:6" ht="13">
      <c r="A180" s="102"/>
      <c r="B180" s="7"/>
      <c r="C180" s="7"/>
      <c r="D180" s="102"/>
      <c r="E180" s="102"/>
      <c r="F180" s="102"/>
    </row>
    <row r="181" spans="1:6" ht="13">
      <c r="A181" s="102"/>
      <c r="B181" s="7"/>
      <c r="C181" s="7"/>
      <c r="D181" s="102"/>
      <c r="E181" s="102"/>
      <c r="F181" s="102"/>
    </row>
    <row r="182" spans="1:6" ht="13">
      <c r="A182" s="102"/>
      <c r="B182" s="7"/>
      <c r="C182" s="7"/>
      <c r="D182" s="102"/>
      <c r="E182" s="102"/>
      <c r="F182" s="102"/>
    </row>
    <row r="183" spans="1:6" ht="13">
      <c r="A183" s="102"/>
      <c r="B183" s="7"/>
      <c r="C183" s="7"/>
      <c r="D183" s="102"/>
      <c r="E183" s="102"/>
      <c r="F183" s="102"/>
    </row>
    <row r="184" spans="1:6" ht="13">
      <c r="A184" s="102"/>
      <c r="B184" s="7"/>
      <c r="C184" s="7"/>
      <c r="D184" s="102"/>
      <c r="E184" s="102"/>
      <c r="F184" s="102"/>
    </row>
    <row r="185" spans="1:6" ht="13">
      <c r="A185" s="102"/>
      <c r="B185" s="7"/>
      <c r="C185" s="7"/>
      <c r="D185" s="102"/>
      <c r="E185" s="102"/>
      <c r="F185" s="102"/>
    </row>
    <row r="186" spans="1:6" ht="13">
      <c r="A186" s="102"/>
      <c r="B186" s="7"/>
      <c r="C186" s="7"/>
      <c r="D186" s="102"/>
      <c r="E186" s="102"/>
      <c r="F186" s="102"/>
    </row>
    <row r="187" spans="1:6" ht="13">
      <c r="A187" s="102"/>
      <c r="B187" s="7"/>
      <c r="C187" s="7"/>
      <c r="D187" s="102"/>
      <c r="E187" s="102"/>
      <c r="F187" s="102"/>
    </row>
    <row r="188" spans="1:6" ht="13">
      <c r="A188" s="102"/>
      <c r="B188" s="7"/>
      <c r="C188" s="7"/>
      <c r="D188" s="102"/>
      <c r="E188" s="102"/>
      <c r="F188" s="102"/>
    </row>
    <row r="189" spans="1:6" ht="13">
      <c r="A189" s="102"/>
      <c r="B189" s="7"/>
      <c r="C189" s="7"/>
      <c r="D189" s="102"/>
      <c r="E189" s="102"/>
      <c r="F189" s="102"/>
    </row>
    <row r="190" spans="1:6" ht="13">
      <c r="A190" s="102"/>
      <c r="B190" s="7"/>
      <c r="C190" s="7"/>
      <c r="D190" s="102"/>
      <c r="E190" s="102"/>
      <c r="F190" s="102"/>
    </row>
    <row r="191" spans="1:6" ht="13">
      <c r="A191" s="102"/>
      <c r="B191" s="7"/>
      <c r="C191" s="7"/>
      <c r="D191" s="102"/>
      <c r="E191" s="102"/>
      <c r="F191" s="102"/>
    </row>
    <row r="192" spans="1:6" ht="13">
      <c r="A192" s="102"/>
      <c r="B192" s="7"/>
      <c r="C192" s="7"/>
      <c r="D192" s="102"/>
      <c r="E192" s="102"/>
      <c r="F192" s="102"/>
    </row>
    <row r="193" spans="1:6" ht="13">
      <c r="A193" s="102"/>
      <c r="B193" s="7"/>
      <c r="C193" s="7"/>
      <c r="D193" s="102"/>
      <c r="E193" s="102"/>
      <c r="F193" s="102"/>
    </row>
    <row r="194" spans="1:6" ht="13">
      <c r="A194" s="102"/>
      <c r="B194" s="7"/>
      <c r="C194" s="7"/>
      <c r="D194" s="102"/>
      <c r="E194" s="102"/>
      <c r="F194" s="102"/>
    </row>
    <row r="195" spans="1:6" ht="13">
      <c r="A195" s="102"/>
      <c r="B195" s="7"/>
      <c r="C195" s="7"/>
      <c r="D195" s="102"/>
      <c r="E195" s="102"/>
      <c r="F195" s="102"/>
    </row>
    <row r="196" spans="1:6" ht="13">
      <c r="A196" s="102"/>
      <c r="B196" s="7"/>
      <c r="C196" s="7"/>
      <c r="D196" s="102"/>
      <c r="E196" s="102"/>
      <c r="F196" s="102"/>
    </row>
    <row r="197" spans="1:6" ht="13">
      <c r="A197" s="102"/>
      <c r="B197" s="7"/>
      <c r="C197" s="7"/>
      <c r="D197" s="102"/>
      <c r="E197" s="102"/>
      <c r="F197" s="102"/>
    </row>
    <row r="198" spans="1:6" ht="13">
      <c r="A198" s="102"/>
      <c r="B198" s="7"/>
      <c r="C198" s="7"/>
      <c r="D198" s="102"/>
      <c r="E198" s="102"/>
      <c r="F198" s="102"/>
    </row>
    <row r="199" spans="1:6" ht="13">
      <c r="A199" s="102"/>
      <c r="B199" s="7"/>
      <c r="C199" s="7"/>
      <c r="D199" s="102"/>
      <c r="E199" s="102"/>
      <c r="F199" s="102"/>
    </row>
    <row r="200" spans="1:6" ht="13">
      <c r="A200" s="102"/>
      <c r="B200" s="7"/>
      <c r="C200" s="7"/>
      <c r="D200" s="102"/>
      <c r="E200" s="102"/>
      <c r="F200" s="102"/>
    </row>
    <row r="201" spans="1:6" ht="13">
      <c r="A201" s="102"/>
      <c r="B201" s="7"/>
      <c r="C201" s="7"/>
      <c r="D201" s="102"/>
      <c r="E201" s="102"/>
      <c r="F201" s="102"/>
    </row>
    <row r="202" spans="1:6" ht="13">
      <c r="A202" s="102"/>
      <c r="B202" s="7"/>
      <c r="C202" s="7"/>
      <c r="D202" s="102"/>
      <c r="E202" s="102"/>
      <c r="F202" s="102"/>
    </row>
    <row r="203" spans="1:6" ht="13">
      <c r="A203" s="102"/>
      <c r="B203" s="7"/>
      <c r="C203" s="7"/>
      <c r="D203" s="102"/>
      <c r="E203" s="102"/>
      <c r="F203" s="102"/>
    </row>
    <row r="204" spans="1:6" ht="13">
      <c r="A204" s="102"/>
      <c r="B204" s="7"/>
      <c r="C204" s="7"/>
      <c r="D204" s="102"/>
      <c r="E204" s="102"/>
      <c r="F204" s="102"/>
    </row>
    <row r="205" spans="1:6" ht="13">
      <c r="A205" s="102"/>
      <c r="B205" s="7"/>
      <c r="C205" s="7"/>
      <c r="D205" s="102"/>
      <c r="E205" s="102"/>
      <c r="F205" s="102"/>
    </row>
    <row r="206" spans="1:6" ht="13">
      <c r="A206" s="102"/>
      <c r="B206" s="7"/>
      <c r="C206" s="7"/>
      <c r="D206" s="102"/>
      <c r="E206" s="102"/>
      <c r="F206" s="102"/>
    </row>
    <row r="207" spans="1:6" ht="13">
      <c r="A207" s="102"/>
      <c r="B207" s="7"/>
      <c r="C207" s="7"/>
      <c r="D207" s="102"/>
      <c r="E207" s="102"/>
      <c r="F207" s="102"/>
    </row>
    <row r="208" spans="1:6" ht="13">
      <c r="A208" s="102"/>
      <c r="B208" s="7"/>
      <c r="C208" s="7"/>
      <c r="D208" s="102"/>
      <c r="E208" s="102"/>
      <c r="F208" s="102"/>
    </row>
    <row r="209" spans="1:6" ht="13">
      <c r="A209" s="102"/>
      <c r="B209" s="7"/>
      <c r="C209" s="7"/>
      <c r="D209" s="102"/>
      <c r="E209" s="102"/>
      <c r="F209" s="102"/>
    </row>
    <row r="210" spans="1:6" ht="13">
      <c r="A210" s="102"/>
      <c r="B210" s="7"/>
      <c r="C210" s="7"/>
      <c r="D210" s="102"/>
      <c r="E210" s="102"/>
      <c r="F210" s="102"/>
    </row>
    <row r="211" spans="1:6" ht="13">
      <c r="A211" s="102"/>
      <c r="B211" s="7"/>
      <c r="C211" s="7"/>
      <c r="D211" s="102"/>
      <c r="E211" s="102"/>
      <c r="F211" s="102"/>
    </row>
    <row r="212" spans="1:6" ht="13">
      <c r="A212" s="102"/>
      <c r="B212" s="7"/>
      <c r="C212" s="7"/>
      <c r="D212" s="102"/>
      <c r="E212" s="102"/>
      <c r="F212" s="102"/>
    </row>
    <row r="213" spans="1:6" ht="13">
      <c r="A213" s="102"/>
      <c r="B213" s="7"/>
      <c r="C213" s="7"/>
      <c r="D213" s="102"/>
      <c r="E213" s="102"/>
      <c r="F213" s="102"/>
    </row>
    <row r="214" spans="1:6" ht="13">
      <c r="A214" s="102"/>
      <c r="B214" s="7"/>
      <c r="C214" s="7"/>
      <c r="D214" s="102"/>
      <c r="E214" s="102"/>
      <c r="F214" s="102"/>
    </row>
    <row r="215" spans="1:6" ht="13">
      <c r="A215" s="102"/>
      <c r="B215" s="7"/>
      <c r="C215" s="7"/>
      <c r="D215" s="102"/>
      <c r="E215" s="102"/>
      <c r="F215" s="102"/>
    </row>
    <row r="216" spans="1:6" ht="13">
      <c r="A216" s="102"/>
      <c r="B216" s="7"/>
      <c r="C216" s="7"/>
      <c r="D216" s="102"/>
      <c r="E216" s="102"/>
      <c r="F216" s="102"/>
    </row>
    <row r="217" spans="1:6" ht="13">
      <c r="A217" s="102"/>
      <c r="B217" s="7"/>
      <c r="C217" s="7"/>
      <c r="D217" s="102"/>
      <c r="E217" s="102"/>
      <c r="F217" s="102"/>
    </row>
    <row r="218" spans="1:6" ht="13">
      <c r="A218" s="102"/>
      <c r="B218" s="7"/>
      <c r="C218" s="7"/>
      <c r="D218" s="102"/>
      <c r="E218" s="102"/>
      <c r="F218" s="102"/>
    </row>
    <row r="219" spans="1:6" ht="13">
      <c r="A219" s="102"/>
      <c r="B219" s="7"/>
      <c r="C219" s="7"/>
      <c r="D219" s="102"/>
      <c r="E219" s="102"/>
      <c r="F219" s="102"/>
    </row>
    <row r="220" spans="1:6" ht="13">
      <c r="A220" s="102"/>
      <c r="B220" s="7"/>
      <c r="C220" s="7"/>
      <c r="D220" s="102"/>
      <c r="E220" s="102"/>
      <c r="F220" s="102"/>
    </row>
    <row r="221" spans="1:6" ht="13">
      <c r="A221" s="102"/>
      <c r="B221" s="7"/>
      <c r="C221" s="7"/>
      <c r="D221" s="102"/>
      <c r="E221" s="102"/>
      <c r="F221" s="102"/>
    </row>
    <row r="222" spans="1:6" ht="13">
      <c r="A222" s="102"/>
      <c r="B222" s="7"/>
      <c r="C222" s="7"/>
      <c r="D222" s="102"/>
      <c r="E222" s="102"/>
      <c r="F222" s="102"/>
    </row>
    <row r="223" spans="1:6" ht="13">
      <c r="A223" s="102"/>
      <c r="B223" s="7"/>
      <c r="C223" s="7"/>
      <c r="D223" s="102"/>
      <c r="E223" s="102"/>
      <c r="F223" s="102"/>
    </row>
    <row r="224" spans="1:6" ht="13">
      <c r="A224" s="102"/>
      <c r="B224" s="7"/>
      <c r="C224" s="7"/>
      <c r="D224" s="102"/>
      <c r="E224" s="102"/>
      <c r="F224" s="102"/>
    </row>
    <row r="225" spans="1:6" ht="13">
      <c r="A225" s="102"/>
      <c r="B225" s="7"/>
      <c r="C225" s="7"/>
      <c r="D225" s="102"/>
      <c r="E225" s="102"/>
      <c r="F225" s="102"/>
    </row>
    <row r="226" spans="1:6" ht="13">
      <c r="A226" s="102"/>
      <c r="B226" s="7"/>
      <c r="C226" s="7"/>
      <c r="D226" s="102"/>
      <c r="E226" s="102"/>
      <c r="F226" s="102"/>
    </row>
    <row r="227" spans="1:6" ht="13">
      <c r="A227" s="102"/>
      <c r="B227" s="7"/>
      <c r="C227" s="7"/>
      <c r="D227" s="102"/>
      <c r="E227" s="102"/>
      <c r="F227" s="102"/>
    </row>
    <row r="228" spans="1:6" ht="13">
      <c r="A228" s="102"/>
      <c r="B228" s="7"/>
      <c r="C228" s="7"/>
      <c r="D228" s="102"/>
      <c r="E228" s="102"/>
      <c r="F228" s="102"/>
    </row>
    <row r="229" spans="1:6" ht="13">
      <c r="A229" s="102"/>
      <c r="B229" s="7"/>
      <c r="C229" s="7"/>
      <c r="D229" s="102"/>
      <c r="E229" s="102"/>
      <c r="F229" s="102"/>
    </row>
    <row r="230" spans="1:6" ht="13">
      <c r="A230" s="102"/>
      <c r="B230" s="7"/>
      <c r="C230" s="7"/>
      <c r="D230" s="102"/>
      <c r="E230" s="102"/>
      <c r="F230" s="102"/>
    </row>
    <row r="231" spans="1:6" ht="13">
      <c r="A231" s="102"/>
      <c r="B231" s="7"/>
      <c r="C231" s="7"/>
      <c r="D231" s="102"/>
      <c r="E231" s="102"/>
      <c r="F231" s="102"/>
    </row>
    <row r="232" spans="1:6" ht="13">
      <c r="A232" s="102"/>
      <c r="B232" s="7"/>
      <c r="C232" s="7"/>
      <c r="D232" s="102"/>
      <c r="E232" s="102"/>
      <c r="F232" s="102"/>
    </row>
    <row r="233" spans="1:6" ht="13">
      <c r="A233" s="102"/>
      <c r="B233" s="7"/>
      <c r="C233" s="7"/>
      <c r="D233" s="102"/>
      <c r="E233" s="102"/>
      <c r="F233" s="102"/>
    </row>
    <row r="234" spans="1:6" ht="13">
      <c r="A234" s="102"/>
      <c r="B234" s="7"/>
      <c r="C234" s="7"/>
      <c r="D234" s="102"/>
      <c r="E234" s="102"/>
      <c r="F234" s="102"/>
    </row>
    <row r="235" spans="1:6" ht="13">
      <c r="A235" s="102"/>
      <c r="B235" s="7"/>
      <c r="C235" s="7"/>
      <c r="D235" s="102"/>
      <c r="E235" s="102"/>
      <c r="F235" s="102"/>
    </row>
    <row r="236" spans="1:6" ht="13">
      <c r="A236" s="102"/>
      <c r="B236" s="7"/>
      <c r="C236" s="7"/>
      <c r="D236" s="102"/>
      <c r="E236" s="102"/>
      <c r="F236" s="102"/>
    </row>
    <row r="237" spans="1:6" ht="13">
      <c r="A237" s="102"/>
      <c r="B237" s="7"/>
      <c r="C237" s="7"/>
      <c r="D237" s="102"/>
      <c r="E237" s="102"/>
      <c r="F237" s="102"/>
    </row>
    <row r="238" spans="1:6" ht="13">
      <c r="A238" s="102"/>
      <c r="B238" s="7"/>
      <c r="C238" s="7"/>
      <c r="D238" s="102"/>
      <c r="E238" s="102"/>
      <c r="F238" s="102"/>
    </row>
    <row r="239" spans="1:6" ht="13">
      <c r="A239" s="102"/>
      <c r="B239" s="7"/>
      <c r="C239" s="7"/>
      <c r="D239" s="102"/>
      <c r="E239" s="102"/>
      <c r="F239" s="102"/>
    </row>
    <row r="240" spans="1:6" ht="13">
      <c r="A240" s="102"/>
      <c r="B240" s="7"/>
      <c r="C240" s="7"/>
      <c r="D240" s="102"/>
      <c r="E240" s="102"/>
      <c r="F240" s="102"/>
    </row>
    <row r="241" spans="1:6" ht="13">
      <c r="A241" s="102"/>
      <c r="B241" s="7"/>
      <c r="C241" s="7"/>
      <c r="D241" s="102"/>
      <c r="E241" s="102"/>
      <c r="F241" s="102"/>
    </row>
    <row r="242" spans="1:6" ht="13">
      <c r="A242" s="102"/>
      <c r="B242" s="7"/>
      <c r="C242" s="7"/>
      <c r="D242" s="102"/>
      <c r="E242" s="102"/>
      <c r="F242" s="102"/>
    </row>
    <row r="243" spans="1:6" ht="13">
      <c r="A243" s="102"/>
      <c r="B243" s="7"/>
      <c r="C243" s="7"/>
      <c r="D243" s="102"/>
      <c r="E243" s="102"/>
      <c r="F243" s="102"/>
    </row>
    <row r="244" spans="1:6" ht="13">
      <c r="A244" s="102"/>
      <c r="B244" s="7"/>
      <c r="C244" s="7"/>
      <c r="D244" s="102"/>
      <c r="E244" s="102"/>
      <c r="F244" s="102"/>
    </row>
    <row r="245" spans="1:6" ht="13">
      <c r="A245" s="102"/>
      <c r="B245" s="7"/>
      <c r="C245" s="7"/>
      <c r="D245" s="102"/>
      <c r="E245" s="102"/>
      <c r="F245" s="102"/>
    </row>
    <row r="246" spans="1:6" ht="13">
      <c r="A246" s="102"/>
      <c r="B246" s="7"/>
      <c r="C246" s="7"/>
      <c r="D246" s="102"/>
      <c r="E246" s="102"/>
      <c r="F246" s="102"/>
    </row>
    <row r="247" spans="1:6" ht="13">
      <c r="A247" s="102"/>
      <c r="B247" s="7"/>
      <c r="C247" s="7"/>
      <c r="D247" s="102"/>
      <c r="E247" s="102"/>
      <c r="F247" s="102"/>
    </row>
    <row r="248" spans="1:6" ht="13">
      <c r="A248" s="102"/>
      <c r="B248" s="7"/>
      <c r="C248" s="7"/>
      <c r="D248" s="102"/>
      <c r="E248" s="102"/>
      <c r="F248" s="102"/>
    </row>
    <row r="249" spans="1:6" ht="13">
      <c r="A249" s="102"/>
      <c r="B249" s="7"/>
      <c r="C249" s="7"/>
      <c r="D249" s="102"/>
      <c r="E249" s="102"/>
      <c r="F249" s="102"/>
    </row>
    <row r="250" spans="1:6" ht="13">
      <c r="A250" s="102"/>
      <c r="B250" s="7"/>
      <c r="C250" s="7"/>
      <c r="D250" s="102"/>
      <c r="E250" s="102"/>
      <c r="F250" s="102"/>
    </row>
    <row r="251" spans="1:6" ht="13">
      <c r="A251" s="102"/>
      <c r="B251" s="7"/>
      <c r="C251" s="7"/>
      <c r="D251" s="102"/>
      <c r="E251" s="102"/>
      <c r="F251" s="102"/>
    </row>
    <row r="252" spans="1:6" ht="13">
      <c r="A252" s="102"/>
      <c r="B252" s="7"/>
      <c r="C252" s="7"/>
      <c r="D252" s="102"/>
      <c r="E252" s="102"/>
      <c r="F252" s="102"/>
    </row>
    <row r="253" spans="1:6" ht="13">
      <c r="A253" s="102"/>
      <c r="B253" s="7"/>
      <c r="C253" s="7"/>
      <c r="D253" s="102"/>
      <c r="E253" s="102"/>
      <c r="F253" s="102"/>
    </row>
    <row r="254" spans="1:6" ht="13">
      <c r="A254" s="102"/>
      <c r="B254" s="7"/>
      <c r="C254" s="7"/>
      <c r="D254" s="102"/>
      <c r="E254" s="102"/>
      <c r="F254" s="102"/>
    </row>
    <row r="255" spans="1:6" ht="13">
      <c r="A255" s="102"/>
      <c r="B255" s="7"/>
      <c r="C255" s="7"/>
      <c r="D255" s="102"/>
      <c r="E255" s="102"/>
      <c r="F255" s="102"/>
    </row>
    <row r="256" spans="1:6" ht="13">
      <c r="A256" s="102"/>
      <c r="B256" s="7"/>
      <c r="C256" s="7"/>
      <c r="D256" s="102"/>
      <c r="E256" s="102"/>
      <c r="F256" s="102"/>
    </row>
    <row r="257" spans="1:6" ht="13">
      <c r="A257" s="102"/>
      <c r="B257" s="7"/>
      <c r="C257" s="7"/>
      <c r="D257" s="102"/>
      <c r="E257" s="102"/>
      <c r="F257" s="102"/>
    </row>
    <row r="258" spans="1:6" ht="13">
      <c r="A258" s="102"/>
      <c r="B258" s="7"/>
      <c r="C258" s="7"/>
      <c r="D258" s="102"/>
      <c r="E258" s="102"/>
      <c r="F258" s="102"/>
    </row>
    <row r="259" spans="1:6" ht="13">
      <c r="A259" s="102"/>
      <c r="B259" s="7"/>
      <c r="C259" s="7"/>
      <c r="D259" s="102"/>
      <c r="E259" s="102"/>
      <c r="F259" s="102"/>
    </row>
    <row r="260" spans="1:6" ht="13">
      <c r="A260" s="102"/>
      <c r="B260" s="7"/>
      <c r="C260" s="7"/>
      <c r="D260" s="102"/>
      <c r="E260" s="102"/>
      <c r="F260" s="102"/>
    </row>
    <row r="261" spans="1:6" ht="13">
      <c r="A261" s="102"/>
      <c r="B261" s="7"/>
      <c r="C261" s="7"/>
      <c r="D261" s="102"/>
      <c r="E261" s="102"/>
      <c r="F261" s="102"/>
    </row>
    <row r="262" spans="1:6" ht="13">
      <c r="A262" s="102"/>
      <c r="B262" s="7"/>
      <c r="C262" s="7"/>
      <c r="D262" s="102"/>
      <c r="E262" s="102"/>
      <c r="F262" s="102"/>
    </row>
    <row r="263" spans="1:6" ht="13">
      <c r="A263" s="102"/>
      <c r="B263" s="7"/>
      <c r="C263" s="7"/>
      <c r="D263" s="102"/>
      <c r="E263" s="102"/>
      <c r="F263" s="102"/>
    </row>
    <row r="264" spans="1:6" ht="13">
      <c r="A264" s="102"/>
      <c r="B264" s="7"/>
      <c r="C264" s="7"/>
      <c r="D264" s="102"/>
      <c r="E264" s="102"/>
      <c r="F264" s="102"/>
    </row>
    <row r="265" spans="1:6" ht="13">
      <c r="A265" s="102"/>
      <c r="B265" s="7"/>
      <c r="C265" s="7"/>
      <c r="D265" s="102"/>
      <c r="E265" s="102"/>
      <c r="F265" s="102"/>
    </row>
    <row r="266" spans="1:6" ht="13">
      <c r="A266" s="102"/>
      <c r="B266" s="7"/>
      <c r="C266" s="7"/>
      <c r="D266" s="102"/>
      <c r="E266" s="102"/>
      <c r="F266" s="102"/>
    </row>
    <row r="267" spans="1:6" ht="13">
      <c r="A267" s="102"/>
      <c r="B267" s="7"/>
      <c r="C267" s="7"/>
      <c r="D267" s="102"/>
      <c r="E267" s="102"/>
      <c r="F267" s="102"/>
    </row>
    <row r="268" spans="1:6" ht="13">
      <c r="A268" s="102"/>
      <c r="B268" s="7"/>
      <c r="C268" s="7"/>
      <c r="D268" s="102"/>
      <c r="E268" s="102"/>
      <c r="F268" s="102"/>
    </row>
    <row r="269" spans="1:6" ht="13">
      <c r="A269" s="102"/>
      <c r="B269" s="7"/>
      <c r="C269" s="7"/>
      <c r="D269" s="102"/>
      <c r="E269" s="102"/>
      <c r="F269" s="102"/>
    </row>
    <row r="270" spans="1:6" ht="13">
      <c r="A270" s="102"/>
      <c r="B270" s="7"/>
      <c r="C270" s="7"/>
      <c r="D270" s="102"/>
      <c r="E270" s="102"/>
      <c r="F270" s="102"/>
    </row>
    <row r="271" spans="1:6" ht="13">
      <c r="A271" s="102"/>
      <c r="B271" s="7"/>
      <c r="C271" s="7"/>
      <c r="D271" s="102"/>
      <c r="E271" s="102"/>
      <c r="F271" s="102"/>
    </row>
    <row r="272" spans="1:6" ht="13">
      <c r="A272" s="102"/>
      <c r="B272" s="7"/>
      <c r="C272" s="7"/>
      <c r="D272" s="102"/>
      <c r="E272" s="102"/>
      <c r="F272" s="102"/>
    </row>
    <row r="273" spans="1:6" ht="13">
      <c r="A273" s="102"/>
      <c r="B273" s="7"/>
      <c r="C273" s="7"/>
      <c r="D273" s="102"/>
      <c r="E273" s="102"/>
      <c r="F273" s="102"/>
    </row>
    <row r="274" spans="1:6" ht="13">
      <c r="A274" s="102"/>
      <c r="B274" s="7"/>
      <c r="C274" s="7"/>
      <c r="D274" s="102"/>
      <c r="E274" s="102"/>
      <c r="F274" s="102"/>
    </row>
    <row r="275" spans="1:6" ht="13">
      <c r="A275" s="102"/>
      <c r="B275" s="7"/>
      <c r="C275" s="7"/>
      <c r="D275" s="102"/>
      <c r="E275" s="102"/>
      <c r="F275" s="102"/>
    </row>
    <row r="276" spans="1:6" ht="13">
      <c r="A276" s="102"/>
      <c r="B276" s="7"/>
      <c r="C276" s="7"/>
      <c r="D276" s="102"/>
      <c r="E276" s="102"/>
      <c r="F276" s="102"/>
    </row>
    <row r="277" spans="1:6" ht="13">
      <c r="A277" s="102"/>
      <c r="B277" s="7"/>
      <c r="C277" s="7"/>
      <c r="D277" s="102"/>
      <c r="E277" s="102"/>
      <c r="F277" s="102"/>
    </row>
    <row r="278" spans="1:6" ht="13">
      <c r="A278" s="102"/>
      <c r="B278" s="7"/>
      <c r="C278" s="7"/>
      <c r="D278" s="102"/>
      <c r="E278" s="102"/>
      <c r="F278" s="102"/>
    </row>
    <row r="279" spans="1:6" ht="13">
      <c r="A279" s="102"/>
      <c r="B279" s="7"/>
      <c r="C279" s="7"/>
      <c r="D279" s="102"/>
      <c r="E279" s="102"/>
      <c r="F279" s="102"/>
    </row>
    <row r="280" spans="1:6" ht="13">
      <c r="A280" s="102"/>
      <c r="B280" s="7"/>
      <c r="C280" s="7"/>
      <c r="D280" s="102"/>
      <c r="E280" s="102"/>
      <c r="F280" s="102"/>
    </row>
    <row r="281" spans="1:6" ht="13">
      <c r="A281" s="102"/>
      <c r="B281" s="7"/>
      <c r="C281" s="7"/>
      <c r="D281" s="102"/>
      <c r="E281" s="102"/>
      <c r="F281" s="102"/>
    </row>
    <row r="282" spans="1:6" ht="13">
      <c r="A282" s="102"/>
      <c r="B282" s="7"/>
      <c r="C282" s="7"/>
      <c r="D282" s="102"/>
      <c r="E282" s="102"/>
      <c r="F282" s="102"/>
    </row>
    <row r="283" spans="1:6" ht="13">
      <c r="A283" s="102"/>
      <c r="B283" s="7"/>
      <c r="C283" s="7"/>
      <c r="D283" s="102"/>
      <c r="E283" s="102"/>
      <c r="F283" s="102"/>
    </row>
    <row r="284" spans="1:6" ht="13">
      <c r="A284" s="102"/>
      <c r="B284" s="7"/>
      <c r="C284" s="7"/>
      <c r="D284" s="102"/>
      <c r="E284" s="102"/>
      <c r="F284" s="102"/>
    </row>
    <row r="285" spans="1:6" ht="13">
      <c r="A285" s="102"/>
      <c r="B285" s="7"/>
      <c r="C285" s="7"/>
      <c r="D285" s="102"/>
      <c r="E285" s="102"/>
      <c r="F285" s="102"/>
    </row>
    <row r="286" spans="1:6" ht="13">
      <c r="A286" s="102"/>
      <c r="B286" s="7"/>
      <c r="C286" s="7"/>
      <c r="D286" s="102"/>
      <c r="E286" s="102"/>
      <c r="F286" s="102"/>
    </row>
    <row r="287" spans="1:6" ht="13">
      <c r="A287" s="102"/>
      <c r="B287" s="7"/>
      <c r="C287" s="7"/>
      <c r="D287" s="102"/>
      <c r="E287" s="102"/>
      <c r="F287" s="102"/>
    </row>
    <row r="288" spans="1:6" ht="13">
      <c r="A288" s="102"/>
      <c r="B288" s="7"/>
      <c r="C288" s="7"/>
      <c r="D288" s="102"/>
      <c r="E288" s="102"/>
      <c r="F288" s="102"/>
    </row>
    <row r="289" spans="1:6" ht="13">
      <c r="A289" s="102"/>
      <c r="B289" s="7"/>
      <c r="C289" s="7"/>
      <c r="D289" s="102"/>
      <c r="E289" s="102"/>
      <c r="F289" s="102"/>
    </row>
    <row r="290" spans="1:6" ht="13">
      <c r="A290" s="102"/>
      <c r="B290" s="7"/>
      <c r="C290" s="7"/>
      <c r="D290" s="102"/>
      <c r="E290" s="102"/>
      <c r="F290" s="102"/>
    </row>
    <row r="291" spans="1:6" ht="13">
      <c r="A291" s="102"/>
      <c r="B291" s="7"/>
      <c r="C291" s="7"/>
      <c r="D291" s="102"/>
      <c r="E291" s="102"/>
      <c r="F291" s="102"/>
    </row>
    <row r="292" spans="1:6" ht="13">
      <c r="A292" s="102"/>
      <c r="B292" s="7"/>
      <c r="C292" s="7"/>
      <c r="D292" s="102"/>
      <c r="E292" s="102"/>
      <c r="F292" s="102"/>
    </row>
    <row r="293" spans="1:6" ht="13">
      <c r="A293" s="102"/>
      <c r="B293" s="7"/>
      <c r="C293" s="7"/>
      <c r="D293" s="102"/>
      <c r="E293" s="102"/>
      <c r="F293" s="102"/>
    </row>
    <row r="294" spans="1:6" ht="13">
      <c r="A294" s="102"/>
      <c r="B294" s="7"/>
      <c r="C294" s="7"/>
      <c r="D294" s="102"/>
      <c r="E294" s="102"/>
      <c r="F294" s="102"/>
    </row>
    <row r="295" spans="1:6" ht="13">
      <c r="A295" s="102"/>
      <c r="B295" s="7"/>
      <c r="C295" s="7"/>
      <c r="D295" s="102"/>
      <c r="E295" s="102"/>
      <c r="F295" s="102"/>
    </row>
    <row r="296" spans="1:6" ht="13">
      <c r="A296" s="102"/>
      <c r="B296" s="7"/>
      <c r="C296" s="7"/>
      <c r="D296" s="102"/>
      <c r="E296" s="102"/>
      <c r="F296" s="102"/>
    </row>
    <row r="297" spans="1:6" ht="13">
      <c r="A297" s="102"/>
      <c r="B297" s="7"/>
      <c r="C297" s="7"/>
      <c r="D297" s="102"/>
      <c r="E297" s="102"/>
      <c r="F297" s="102"/>
    </row>
    <row r="298" spans="1:6" ht="13">
      <c r="A298" s="102"/>
      <c r="B298" s="7"/>
      <c r="C298" s="7"/>
      <c r="D298" s="102"/>
      <c r="E298" s="102"/>
      <c r="F298" s="102"/>
    </row>
    <row r="299" spans="1:6" ht="13">
      <c r="A299" s="102"/>
      <c r="B299" s="7"/>
      <c r="C299" s="7"/>
      <c r="D299" s="102"/>
      <c r="E299" s="102"/>
      <c r="F299" s="102"/>
    </row>
    <row r="300" spans="1:6" ht="13">
      <c r="A300" s="102"/>
      <c r="B300" s="7"/>
      <c r="C300" s="7"/>
      <c r="D300" s="102"/>
      <c r="E300" s="102"/>
      <c r="F300" s="102"/>
    </row>
    <row r="301" spans="1:6" ht="13">
      <c r="A301" s="102"/>
      <c r="B301" s="7"/>
      <c r="C301" s="7"/>
      <c r="D301" s="102"/>
      <c r="E301" s="102"/>
      <c r="F301" s="102"/>
    </row>
    <row r="302" spans="1:6" ht="13">
      <c r="A302" s="102"/>
      <c r="B302" s="7"/>
      <c r="C302" s="7"/>
      <c r="D302" s="102"/>
      <c r="E302" s="102"/>
      <c r="F302" s="102"/>
    </row>
    <row r="303" spans="1:6" ht="13">
      <c r="A303" s="102"/>
      <c r="B303" s="7"/>
      <c r="C303" s="7"/>
      <c r="D303" s="102"/>
      <c r="E303" s="102"/>
      <c r="F303" s="102"/>
    </row>
    <row r="304" spans="1:6" ht="13">
      <c r="A304" s="102"/>
      <c r="B304" s="7"/>
      <c r="C304" s="7"/>
      <c r="D304" s="102"/>
      <c r="E304" s="102"/>
      <c r="F304" s="102"/>
    </row>
    <row r="305" spans="1:6" ht="13">
      <c r="A305" s="102"/>
      <c r="B305" s="7"/>
      <c r="C305" s="7"/>
      <c r="D305" s="102"/>
      <c r="E305" s="102"/>
      <c r="F305" s="102"/>
    </row>
    <row r="306" spans="1:6" ht="13">
      <c r="A306" s="102"/>
      <c r="B306" s="7"/>
      <c r="C306" s="7"/>
      <c r="D306" s="102"/>
      <c r="E306" s="102"/>
      <c r="F306" s="102"/>
    </row>
    <row r="307" spans="1:6" ht="13">
      <c r="A307" s="102"/>
      <c r="B307" s="7"/>
      <c r="C307" s="7"/>
      <c r="D307" s="102"/>
      <c r="E307" s="102"/>
      <c r="F307" s="102"/>
    </row>
    <row r="308" spans="1:6" ht="13">
      <c r="A308" s="102"/>
      <c r="B308" s="7"/>
      <c r="C308" s="7"/>
      <c r="D308" s="102"/>
      <c r="E308" s="102"/>
      <c r="F308" s="102"/>
    </row>
    <row r="309" spans="1:6" ht="13">
      <c r="A309" s="102"/>
      <c r="B309" s="7"/>
      <c r="C309" s="7"/>
      <c r="D309" s="102"/>
      <c r="E309" s="102"/>
      <c r="F309" s="102"/>
    </row>
    <row r="310" spans="1:6" ht="13">
      <c r="A310" s="102"/>
      <c r="B310" s="7"/>
      <c r="C310" s="7"/>
      <c r="D310" s="102"/>
      <c r="E310" s="102"/>
      <c r="F310" s="102"/>
    </row>
    <row r="311" spans="1:6" ht="13">
      <c r="A311" s="102"/>
      <c r="B311" s="7"/>
      <c r="C311" s="7"/>
      <c r="D311" s="102"/>
      <c r="E311" s="102"/>
      <c r="F311" s="102"/>
    </row>
    <row r="312" spans="1:6" ht="13">
      <c r="A312" s="102"/>
      <c r="B312" s="7"/>
      <c r="C312" s="7"/>
      <c r="D312" s="102"/>
      <c r="E312" s="102"/>
      <c r="F312" s="102"/>
    </row>
    <row r="313" spans="1:6" ht="13">
      <c r="A313" s="102"/>
      <c r="B313" s="7"/>
      <c r="C313" s="7"/>
      <c r="D313" s="102"/>
      <c r="E313" s="102"/>
      <c r="F313" s="102"/>
    </row>
    <row r="314" spans="1:6" ht="13">
      <c r="A314" s="102"/>
      <c r="B314" s="7"/>
      <c r="C314" s="7"/>
      <c r="D314" s="102"/>
      <c r="E314" s="102"/>
      <c r="F314" s="102"/>
    </row>
    <row r="315" spans="1:6" ht="13">
      <c r="A315" s="102"/>
      <c r="B315" s="7"/>
      <c r="C315" s="7"/>
      <c r="D315" s="102"/>
      <c r="E315" s="102"/>
      <c r="F315" s="102"/>
    </row>
    <row r="316" spans="1:6" ht="13">
      <c r="A316" s="102"/>
      <c r="B316" s="7"/>
      <c r="C316" s="7"/>
      <c r="D316" s="102"/>
      <c r="E316" s="102"/>
      <c r="F316" s="102"/>
    </row>
    <row r="317" spans="1:6" ht="13">
      <c r="A317" s="102"/>
      <c r="B317" s="7"/>
      <c r="C317" s="7"/>
      <c r="D317" s="102"/>
      <c r="E317" s="102"/>
      <c r="F317" s="102"/>
    </row>
    <row r="318" spans="1:6" ht="13">
      <c r="A318" s="102"/>
      <c r="B318" s="7"/>
      <c r="C318" s="7"/>
      <c r="D318" s="102"/>
      <c r="E318" s="102"/>
      <c r="F318" s="102"/>
    </row>
    <row r="319" spans="1:6" ht="13">
      <c r="A319" s="102"/>
      <c r="B319" s="7"/>
      <c r="C319" s="7"/>
      <c r="D319" s="102"/>
      <c r="E319" s="102"/>
      <c r="F319" s="102"/>
    </row>
    <row r="320" spans="1:6" ht="13">
      <c r="A320" s="102"/>
      <c r="B320" s="7"/>
      <c r="C320" s="7"/>
      <c r="D320" s="102"/>
      <c r="E320" s="102"/>
      <c r="F320" s="102"/>
    </row>
    <row r="321" spans="1:6" ht="13">
      <c r="A321" s="102"/>
      <c r="B321" s="7"/>
      <c r="C321" s="7"/>
      <c r="D321" s="102"/>
      <c r="E321" s="102"/>
      <c r="F321" s="102"/>
    </row>
    <row r="322" spans="1:6" ht="13">
      <c r="A322" s="102"/>
      <c r="B322" s="7"/>
      <c r="C322" s="7"/>
      <c r="D322" s="102"/>
      <c r="E322" s="102"/>
      <c r="F322" s="102"/>
    </row>
    <row r="323" spans="1:6" ht="13">
      <c r="A323" s="102"/>
      <c r="B323" s="7"/>
      <c r="C323" s="7"/>
      <c r="D323" s="102"/>
      <c r="E323" s="102"/>
      <c r="F323" s="102"/>
    </row>
    <row r="324" spans="1:6" ht="13">
      <c r="A324" s="102"/>
      <c r="B324" s="7"/>
      <c r="C324" s="7"/>
      <c r="D324" s="102"/>
      <c r="E324" s="102"/>
      <c r="F324" s="102"/>
    </row>
    <row r="325" spans="1:6" ht="13">
      <c r="A325" s="102"/>
      <c r="B325" s="7"/>
      <c r="C325" s="7"/>
      <c r="D325" s="102"/>
      <c r="E325" s="102"/>
      <c r="F325" s="102"/>
    </row>
    <row r="326" spans="1:6" ht="13">
      <c r="A326" s="102"/>
      <c r="B326" s="7"/>
      <c r="C326" s="7"/>
      <c r="D326" s="102"/>
      <c r="E326" s="102"/>
      <c r="F326" s="102"/>
    </row>
    <row r="327" spans="1:6" ht="13">
      <c r="A327" s="102"/>
      <c r="B327" s="7"/>
      <c r="C327" s="7"/>
      <c r="D327" s="102"/>
      <c r="E327" s="102"/>
      <c r="F327" s="102"/>
    </row>
    <row r="328" spans="1:6" ht="13">
      <c r="A328" s="102"/>
      <c r="B328" s="7"/>
      <c r="C328" s="7"/>
      <c r="D328" s="102"/>
      <c r="E328" s="102"/>
      <c r="F328" s="102"/>
    </row>
    <row r="329" spans="1:6" ht="13">
      <c r="A329" s="102"/>
      <c r="B329" s="7"/>
      <c r="C329" s="7"/>
      <c r="D329" s="102"/>
      <c r="E329" s="102"/>
      <c r="F329" s="102"/>
    </row>
    <row r="330" spans="1:6" ht="13">
      <c r="A330" s="102"/>
      <c r="B330" s="7"/>
      <c r="C330" s="7"/>
      <c r="D330" s="102"/>
      <c r="E330" s="102"/>
      <c r="F330" s="102"/>
    </row>
    <row r="331" spans="1:6" ht="13">
      <c r="A331" s="102"/>
      <c r="B331" s="7"/>
      <c r="C331" s="7"/>
      <c r="D331" s="102"/>
      <c r="E331" s="102"/>
      <c r="F331" s="102"/>
    </row>
    <row r="332" spans="1:6" ht="13">
      <c r="A332" s="102"/>
      <c r="B332" s="7"/>
      <c r="C332" s="7"/>
      <c r="D332" s="102"/>
      <c r="E332" s="102"/>
      <c r="F332" s="102"/>
    </row>
    <row r="333" spans="1:6" ht="13">
      <c r="A333" s="102"/>
      <c r="B333" s="7"/>
      <c r="C333" s="7"/>
      <c r="D333" s="102"/>
      <c r="E333" s="102"/>
      <c r="F333" s="102"/>
    </row>
    <row r="334" spans="1:6" ht="13">
      <c r="A334" s="102"/>
      <c r="B334" s="7"/>
      <c r="C334" s="7"/>
      <c r="D334" s="102"/>
      <c r="E334" s="102"/>
      <c r="F334" s="102"/>
    </row>
    <row r="335" spans="1:6" ht="13">
      <c r="A335" s="102"/>
      <c r="B335" s="7"/>
      <c r="C335" s="7"/>
      <c r="D335" s="102"/>
      <c r="E335" s="102"/>
      <c r="F335" s="102"/>
    </row>
    <row r="336" spans="1:6" ht="13">
      <c r="A336" s="102"/>
      <c r="B336" s="7"/>
      <c r="C336" s="7"/>
      <c r="D336" s="102"/>
      <c r="E336" s="102"/>
      <c r="F336" s="102"/>
    </row>
    <row r="337" spans="1:6" ht="13">
      <c r="A337" s="102"/>
      <c r="B337" s="7"/>
      <c r="C337" s="7"/>
      <c r="D337" s="102"/>
      <c r="E337" s="102"/>
      <c r="F337" s="102"/>
    </row>
    <row r="338" spans="1:6" ht="13">
      <c r="A338" s="102"/>
      <c r="B338" s="7"/>
      <c r="C338" s="7"/>
      <c r="D338" s="102"/>
      <c r="E338" s="102"/>
      <c r="F338" s="102"/>
    </row>
    <row r="339" spans="1:6" ht="13">
      <c r="A339" s="102"/>
      <c r="B339" s="7"/>
      <c r="C339" s="7"/>
      <c r="D339" s="102"/>
      <c r="E339" s="102"/>
      <c r="F339" s="102"/>
    </row>
    <row r="340" spans="1:6" ht="13">
      <c r="A340" s="102"/>
      <c r="B340" s="7"/>
      <c r="C340" s="7"/>
      <c r="D340" s="102"/>
      <c r="E340" s="102"/>
      <c r="F340" s="102"/>
    </row>
    <row r="341" spans="1:6" ht="13">
      <c r="A341" s="102"/>
      <c r="B341" s="7"/>
      <c r="C341" s="7"/>
      <c r="D341" s="102"/>
      <c r="E341" s="102"/>
      <c r="F341" s="102"/>
    </row>
    <row r="342" spans="1:6" ht="13">
      <c r="A342" s="102"/>
      <c r="B342" s="7"/>
      <c r="C342" s="7"/>
      <c r="D342" s="102"/>
      <c r="E342" s="102"/>
      <c r="F342" s="102"/>
    </row>
    <row r="343" spans="1:6" ht="13">
      <c r="A343" s="102"/>
      <c r="B343" s="7"/>
      <c r="C343" s="7"/>
      <c r="D343" s="102"/>
      <c r="E343" s="102"/>
      <c r="F343" s="102"/>
    </row>
    <row r="344" spans="1:6" ht="13">
      <c r="A344" s="102"/>
      <c r="B344" s="7"/>
      <c r="C344" s="7"/>
      <c r="D344" s="102"/>
      <c r="E344" s="102"/>
      <c r="F344" s="102"/>
    </row>
    <row r="345" spans="1:6" ht="13">
      <c r="A345" s="102"/>
      <c r="B345" s="7"/>
      <c r="C345" s="7"/>
      <c r="D345" s="102"/>
      <c r="E345" s="102"/>
      <c r="F345" s="102"/>
    </row>
    <row r="346" spans="1:6" ht="13">
      <c r="A346" s="102"/>
      <c r="B346" s="7"/>
      <c r="C346" s="7"/>
      <c r="D346" s="102"/>
      <c r="E346" s="102"/>
      <c r="F346" s="102"/>
    </row>
    <row r="347" spans="1:6" ht="13">
      <c r="A347" s="102"/>
      <c r="B347" s="7"/>
      <c r="C347" s="7"/>
      <c r="D347" s="102"/>
      <c r="E347" s="102"/>
      <c r="F347" s="102"/>
    </row>
    <row r="348" spans="1:6" ht="13">
      <c r="A348" s="102"/>
      <c r="B348" s="7"/>
      <c r="C348" s="7"/>
      <c r="D348" s="102"/>
      <c r="E348" s="102"/>
      <c r="F348" s="102"/>
    </row>
    <row r="349" spans="1:6" ht="13">
      <c r="A349" s="102"/>
      <c r="B349" s="7"/>
      <c r="C349" s="7"/>
      <c r="D349" s="102"/>
      <c r="E349" s="102"/>
      <c r="F349" s="102"/>
    </row>
    <row r="350" spans="1:6" ht="13">
      <c r="A350" s="102"/>
      <c r="B350" s="7"/>
      <c r="C350" s="7"/>
      <c r="D350" s="102"/>
      <c r="E350" s="102"/>
      <c r="F350" s="102"/>
    </row>
    <row r="351" spans="1:6" ht="13">
      <c r="A351" s="102"/>
      <c r="B351" s="7"/>
      <c r="C351" s="7"/>
      <c r="D351" s="102"/>
      <c r="E351" s="102"/>
      <c r="F351" s="102"/>
    </row>
    <row r="352" spans="1:6" ht="13">
      <c r="A352" s="102"/>
      <c r="B352" s="7"/>
      <c r="C352" s="7"/>
      <c r="D352" s="102"/>
      <c r="E352" s="102"/>
      <c r="F352" s="102"/>
    </row>
    <row r="353" spans="1:6" ht="13">
      <c r="A353" s="102"/>
      <c r="B353" s="7"/>
      <c r="C353" s="7"/>
      <c r="D353" s="102"/>
      <c r="E353" s="102"/>
      <c r="F353" s="102"/>
    </row>
    <row r="354" spans="1:6" ht="13">
      <c r="A354" s="102"/>
      <c r="B354" s="7"/>
      <c r="C354" s="7"/>
      <c r="D354" s="102"/>
      <c r="E354" s="102"/>
      <c r="F354" s="102"/>
    </row>
    <row r="355" spans="1:6" ht="13">
      <c r="A355" s="102"/>
      <c r="B355" s="7"/>
      <c r="C355" s="7"/>
      <c r="D355" s="102"/>
      <c r="E355" s="102"/>
      <c r="F355" s="102"/>
    </row>
    <row r="356" spans="1:6" ht="13">
      <c r="A356" s="102"/>
      <c r="B356" s="7"/>
      <c r="C356" s="7"/>
      <c r="D356" s="102"/>
      <c r="E356" s="102"/>
      <c r="F356" s="102"/>
    </row>
    <row r="357" spans="1:6" ht="13">
      <c r="A357" s="102"/>
      <c r="B357" s="7"/>
      <c r="C357" s="7"/>
      <c r="D357" s="102"/>
      <c r="E357" s="102"/>
      <c r="F357" s="102"/>
    </row>
    <row r="358" spans="1:6" ht="13">
      <c r="A358" s="102"/>
      <c r="B358" s="7"/>
      <c r="C358" s="7"/>
      <c r="D358" s="102"/>
      <c r="E358" s="102"/>
      <c r="F358" s="102"/>
    </row>
    <row r="359" spans="1:6" ht="13">
      <c r="A359" s="102"/>
      <c r="B359" s="7"/>
      <c r="C359" s="7"/>
      <c r="D359" s="102"/>
      <c r="E359" s="102"/>
      <c r="F359" s="102"/>
    </row>
    <row r="360" spans="1:6" ht="13">
      <c r="A360" s="102"/>
      <c r="B360" s="7"/>
      <c r="C360" s="7"/>
      <c r="D360" s="102"/>
      <c r="E360" s="102"/>
      <c r="F360" s="102"/>
    </row>
    <row r="361" spans="1:6" ht="13">
      <c r="A361" s="102"/>
      <c r="B361" s="7"/>
      <c r="C361" s="7"/>
      <c r="D361" s="102"/>
      <c r="E361" s="102"/>
      <c r="F361" s="102"/>
    </row>
    <row r="362" spans="1:6" ht="13">
      <c r="A362" s="102"/>
      <c r="B362" s="7"/>
      <c r="C362" s="7"/>
      <c r="D362" s="102"/>
      <c r="E362" s="102"/>
      <c r="F362" s="102"/>
    </row>
    <row r="363" spans="1:6" ht="13">
      <c r="A363" s="102"/>
      <c r="B363" s="7"/>
      <c r="C363" s="7"/>
      <c r="D363" s="102"/>
      <c r="E363" s="102"/>
      <c r="F363" s="102"/>
    </row>
    <row r="364" spans="1:6" ht="13">
      <c r="A364" s="102"/>
      <c r="B364" s="7"/>
      <c r="C364" s="7"/>
      <c r="D364" s="102"/>
      <c r="E364" s="102"/>
      <c r="F364" s="102"/>
    </row>
    <row r="365" spans="1:6" ht="13">
      <c r="A365" s="102"/>
      <c r="B365" s="7"/>
      <c r="C365" s="7"/>
      <c r="D365" s="102"/>
      <c r="E365" s="102"/>
      <c r="F365" s="102"/>
    </row>
    <row r="366" spans="1:6" ht="13">
      <c r="A366" s="102"/>
      <c r="B366" s="7"/>
      <c r="C366" s="7"/>
      <c r="D366" s="102"/>
      <c r="E366" s="102"/>
      <c r="F366" s="102"/>
    </row>
    <row r="367" spans="1:6" ht="13">
      <c r="A367" s="102"/>
      <c r="B367" s="7"/>
      <c r="C367" s="7"/>
      <c r="D367" s="102"/>
      <c r="E367" s="102"/>
      <c r="F367" s="102"/>
    </row>
    <row r="368" spans="1:6" ht="13">
      <c r="A368" s="102"/>
      <c r="B368" s="7"/>
      <c r="C368" s="7"/>
      <c r="D368" s="102"/>
      <c r="E368" s="102"/>
      <c r="F368" s="102"/>
    </row>
    <row r="369" spans="1:6" ht="13">
      <c r="A369" s="102"/>
      <c r="B369" s="7"/>
      <c r="C369" s="7"/>
      <c r="D369" s="102"/>
      <c r="E369" s="102"/>
      <c r="F369" s="102"/>
    </row>
    <row r="370" spans="1:6" ht="13">
      <c r="A370" s="102"/>
      <c r="B370" s="7"/>
      <c r="C370" s="7"/>
      <c r="D370" s="102"/>
      <c r="E370" s="102"/>
      <c r="F370" s="102"/>
    </row>
    <row r="371" spans="1:6" ht="13">
      <c r="A371" s="102"/>
      <c r="B371" s="7"/>
      <c r="C371" s="7"/>
      <c r="D371" s="102"/>
      <c r="E371" s="102"/>
      <c r="F371" s="102"/>
    </row>
    <row r="372" spans="1:6" ht="13">
      <c r="A372" s="102"/>
      <c r="B372" s="7"/>
      <c r="C372" s="7"/>
      <c r="D372" s="102"/>
      <c r="E372" s="102"/>
      <c r="F372" s="102"/>
    </row>
    <row r="373" spans="1:6" ht="13">
      <c r="A373" s="102"/>
      <c r="B373" s="7"/>
      <c r="C373" s="7"/>
      <c r="D373" s="102"/>
      <c r="E373" s="102"/>
      <c r="F373" s="102"/>
    </row>
    <row r="374" spans="1:6" ht="13">
      <c r="A374" s="102"/>
      <c r="B374" s="7"/>
      <c r="C374" s="7"/>
      <c r="D374" s="102"/>
      <c r="E374" s="102"/>
      <c r="F374" s="102"/>
    </row>
    <row r="375" spans="1:6" ht="13">
      <c r="A375" s="102"/>
      <c r="B375" s="7"/>
      <c r="C375" s="7"/>
      <c r="D375" s="102"/>
      <c r="E375" s="102"/>
      <c r="F375" s="102"/>
    </row>
    <row r="376" spans="1:6" ht="13">
      <c r="A376" s="102"/>
      <c r="B376" s="7"/>
      <c r="C376" s="7"/>
      <c r="D376" s="102"/>
      <c r="E376" s="102"/>
      <c r="F376" s="102"/>
    </row>
    <row r="377" spans="1:6" ht="13">
      <c r="A377" s="102"/>
      <c r="B377" s="7"/>
      <c r="C377" s="7"/>
      <c r="D377" s="102"/>
      <c r="E377" s="102"/>
      <c r="F377" s="102"/>
    </row>
    <row r="378" spans="1:6" ht="13">
      <c r="A378" s="102"/>
      <c r="B378" s="7"/>
      <c r="C378" s="7"/>
      <c r="D378" s="102"/>
      <c r="E378" s="102"/>
      <c r="F378" s="102"/>
    </row>
    <row r="379" spans="1:6" ht="13">
      <c r="A379" s="102"/>
      <c r="B379" s="7"/>
      <c r="C379" s="7"/>
      <c r="D379" s="102"/>
      <c r="E379" s="102"/>
      <c r="F379" s="102"/>
    </row>
    <row r="380" spans="1:6" ht="13">
      <c r="A380" s="102"/>
      <c r="B380" s="7"/>
      <c r="C380" s="7"/>
      <c r="D380" s="102"/>
      <c r="E380" s="102"/>
      <c r="F380" s="102"/>
    </row>
    <row r="381" spans="1:6" ht="13">
      <c r="A381" s="102"/>
      <c r="B381" s="7"/>
      <c r="C381" s="7"/>
      <c r="D381" s="102"/>
      <c r="E381" s="102"/>
      <c r="F381" s="102"/>
    </row>
    <row r="382" spans="1:6" ht="13">
      <c r="A382" s="102"/>
      <c r="B382" s="7"/>
      <c r="C382" s="7"/>
      <c r="D382" s="102"/>
      <c r="E382" s="102"/>
      <c r="F382" s="102"/>
    </row>
    <row r="383" spans="1:6" ht="13">
      <c r="A383" s="102"/>
      <c r="B383" s="7"/>
      <c r="C383" s="7"/>
      <c r="D383" s="102"/>
      <c r="E383" s="102"/>
      <c r="F383" s="102"/>
    </row>
    <row r="384" spans="1:6" ht="13">
      <c r="A384" s="102"/>
      <c r="B384" s="7"/>
      <c r="C384" s="7"/>
      <c r="D384" s="102"/>
      <c r="E384" s="102"/>
      <c r="F384" s="102"/>
    </row>
    <row r="385" spans="1:6" ht="13">
      <c r="A385" s="102"/>
      <c r="B385" s="7"/>
      <c r="C385" s="7"/>
      <c r="D385" s="102"/>
      <c r="E385" s="102"/>
      <c r="F385" s="102"/>
    </row>
    <row r="386" spans="1:6" ht="13">
      <c r="A386" s="102"/>
      <c r="B386" s="7"/>
      <c r="C386" s="7"/>
      <c r="D386" s="102"/>
      <c r="E386" s="102"/>
      <c r="F386" s="102"/>
    </row>
    <row r="387" spans="1:6" ht="13">
      <c r="A387" s="102"/>
      <c r="B387" s="7"/>
      <c r="C387" s="7"/>
      <c r="D387" s="102"/>
      <c r="E387" s="102"/>
      <c r="F387" s="102"/>
    </row>
    <row r="388" spans="1:6" ht="13">
      <c r="A388" s="102"/>
      <c r="B388" s="7"/>
      <c r="C388" s="7"/>
      <c r="D388" s="102"/>
      <c r="E388" s="102"/>
      <c r="F388" s="102"/>
    </row>
    <row r="389" spans="1:6" ht="13">
      <c r="A389" s="102"/>
      <c r="B389" s="7"/>
      <c r="C389" s="7"/>
      <c r="D389" s="102"/>
      <c r="E389" s="102"/>
      <c r="F389" s="102"/>
    </row>
    <row r="390" spans="1:6" ht="13">
      <c r="A390" s="102"/>
      <c r="B390" s="7"/>
      <c r="C390" s="7"/>
      <c r="D390" s="102"/>
      <c r="E390" s="102"/>
      <c r="F390" s="102"/>
    </row>
    <row r="391" spans="1:6" ht="13">
      <c r="A391" s="102"/>
      <c r="B391" s="7"/>
      <c r="C391" s="7"/>
      <c r="D391" s="102"/>
      <c r="E391" s="102"/>
      <c r="F391" s="102"/>
    </row>
    <row r="392" spans="1:6" ht="13">
      <c r="A392" s="102"/>
      <c r="B392" s="7"/>
      <c r="C392" s="7"/>
      <c r="D392" s="102"/>
      <c r="E392" s="102"/>
      <c r="F392" s="102"/>
    </row>
    <row r="393" spans="1:6" ht="13">
      <c r="A393" s="102"/>
      <c r="B393" s="7"/>
      <c r="C393" s="7"/>
      <c r="D393" s="102"/>
      <c r="E393" s="102"/>
      <c r="F393" s="102"/>
    </row>
    <row r="394" spans="1:6" ht="13">
      <c r="A394" s="102"/>
      <c r="B394" s="7"/>
      <c r="C394" s="7"/>
      <c r="D394" s="102"/>
      <c r="E394" s="102"/>
      <c r="F394" s="102"/>
    </row>
    <row r="395" spans="1:6" ht="13">
      <c r="A395" s="102"/>
      <c r="B395" s="7"/>
      <c r="C395" s="7"/>
      <c r="D395" s="102"/>
      <c r="E395" s="102"/>
      <c r="F395" s="102"/>
    </row>
    <row r="396" spans="1:6" ht="13">
      <c r="A396" s="102"/>
      <c r="B396" s="7"/>
      <c r="C396" s="7"/>
      <c r="D396" s="102"/>
      <c r="E396" s="102"/>
      <c r="F396" s="102"/>
    </row>
    <row r="397" spans="1:6" ht="13">
      <c r="A397" s="102"/>
      <c r="B397" s="7"/>
      <c r="C397" s="7"/>
      <c r="D397" s="102"/>
      <c r="E397" s="102"/>
      <c r="F397" s="102"/>
    </row>
    <row r="398" spans="1:6" ht="13">
      <c r="A398" s="102"/>
      <c r="B398" s="7"/>
      <c r="C398" s="7"/>
      <c r="D398" s="102"/>
      <c r="E398" s="102"/>
      <c r="F398" s="102"/>
    </row>
    <row r="399" spans="1:6" ht="13">
      <c r="A399" s="102"/>
      <c r="B399" s="7"/>
      <c r="C399" s="7"/>
      <c r="D399" s="102"/>
      <c r="E399" s="102"/>
      <c r="F399" s="102"/>
    </row>
    <row r="400" spans="1:6" ht="13">
      <c r="A400" s="102"/>
      <c r="B400" s="7"/>
      <c r="C400" s="7"/>
      <c r="D400" s="102"/>
      <c r="E400" s="102"/>
      <c r="F400" s="102"/>
    </row>
    <row r="401" spans="1:6" ht="13">
      <c r="A401" s="102"/>
      <c r="B401" s="7"/>
      <c r="C401" s="7"/>
      <c r="D401" s="102"/>
      <c r="E401" s="102"/>
      <c r="F401" s="102"/>
    </row>
    <row r="402" spans="1:6" ht="13">
      <c r="A402" s="102"/>
      <c r="B402" s="7"/>
      <c r="C402" s="7"/>
      <c r="D402" s="102"/>
      <c r="E402" s="102"/>
      <c r="F402" s="102"/>
    </row>
    <row r="403" spans="1:6" ht="13">
      <c r="A403" s="102"/>
      <c r="B403" s="7"/>
      <c r="C403" s="7"/>
      <c r="D403" s="102"/>
      <c r="E403" s="102"/>
      <c r="F403" s="102"/>
    </row>
    <row r="404" spans="1:6" ht="13">
      <c r="A404" s="102"/>
      <c r="B404" s="7"/>
      <c r="C404" s="7"/>
      <c r="D404" s="102"/>
      <c r="E404" s="102"/>
      <c r="F404" s="102"/>
    </row>
    <row r="405" spans="1:6" ht="13">
      <c r="A405" s="102"/>
      <c r="B405" s="7"/>
      <c r="C405" s="7"/>
      <c r="D405" s="102"/>
      <c r="E405" s="102"/>
      <c r="F405" s="102"/>
    </row>
    <row r="406" spans="1:6" ht="13">
      <c r="A406" s="102"/>
      <c r="B406" s="7"/>
      <c r="C406" s="7"/>
      <c r="D406" s="102"/>
      <c r="E406" s="102"/>
      <c r="F406" s="102"/>
    </row>
    <row r="407" spans="1:6" ht="13">
      <c r="A407" s="102"/>
      <c r="B407" s="7"/>
      <c r="C407" s="7"/>
      <c r="D407" s="102"/>
      <c r="E407" s="102"/>
      <c r="F407" s="102"/>
    </row>
    <row r="408" spans="1:6" ht="13">
      <c r="A408" s="102"/>
      <c r="B408" s="7"/>
      <c r="C408" s="7"/>
      <c r="D408" s="102"/>
      <c r="E408" s="102"/>
      <c r="F408" s="102"/>
    </row>
    <row r="409" spans="1:6" ht="13">
      <c r="A409" s="102"/>
      <c r="B409" s="7"/>
      <c r="C409" s="7"/>
      <c r="D409" s="102"/>
      <c r="E409" s="102"/>
      <c r="F409" s="102"/>
    </row>
    <row r="410" spans="1:6" ht="13">
      <c r="A410" s="102"/>
      <c r="B410" s="7"/>
      <c r="C410" s="7"/>
      <c r="D410" s="102"/>
      <c r="E410" s="102"/>
      <c r="F410" s="102"/>
    </row>
    <row r="411" spans="1:6" ht="13">
      <c r="A411" s="102"/>
      <c r="B411" s="7"/>
      <c r="C411" s="7"/>
      <c r="D411" s="102"/>
      <c r="E411" s="102"/>
      <c r="F411" s="102"/>
    </row>
    <row r="412" spans="1:6" ht="13">
      <c r="A412" s="102"/>
      <c r="B412" s="7"/>
      <c r="C412" s="7"/>
      <c r="D412" s="102"/>
      <c r="E412" s="102"/>
      <c r="F412" s="102"/>
    </row>
    <row r="413" spans="1:6" ht="13">
      <c r="A413" s="102"/>
      <c r="B413" s="7"/>
      <c r="C413" s="7"/>
      <c r="D413" s="102"/>
      <c r="E413" s="102"/>
      <c r="F413" s="102"/>
    </row>
    <row r="414" spans="1:6" ht="13">
      <c r="A414" s="102"/>
      <c r="B414" s="7"/>
      <c r="C414" s="7"/>
      <c r="D414" s="102"/>
      <c r="E414" s="102"/>
      <c r="F414" s="102"/>
    </row>
    <row r="415" spans="1:6" ht="13">
      <c r="A415" s="102"/>
      <c r="B415" s="7"/>
      <c r="C415" s="7"/>
      <c r="D415" s="102"/>
      <c r="E415" s="102"/>
      <c r="F415" s="102"/>
    </row>
    <row r="416" spans="1:6" ht="13">
      <c r="A416" s="102"/>
      <c r="B416" s="7"/>
      <c r="C416" s="7"/>
      <c r="D416" s="102"/>
      <c r="E416" s="102"/>
      <c r="F416" s="102"/>
    </row>
    <row r="417" spans="1:6" ht="13">
      <c r="A417" s="102"/>
      <c r="B417" s="7"/>
      <c r="C417" s="7"/>
      <c r="D417" s="102"/>
      <c r="E417" s="102"/>
      <c r="F417" s="102"/>
    </row>
    <row r="418" spans="1:6" ht="13">
      <c r="A418" s="102"/>
      <c r="B418" s="7"/>
      <c r="C418" s="7"/>
      <c r="D418" s="102"/>
      <c r="E418" s="102"/>
      <c r="F418" s="102"/>
    </row>
    <row r="419" spans="1:6" ht="13">
      <c r="A419" s="102"/>
      <c r="B419" s="7"/>
      <c r="C419" s="7"/>
      <c r="D419" s="102"/>
      <c r="E419" s="102"/>
      <c r="F419" s="102"/>
    </row>
    <row r="420" spans="1:6" ht="13">
      <c r="A420" s="102"/>
      <c r="B420" s="7"/>
      <c r="C420" s="7"/>
      <c r="D420" s="102"/>
      <c r="E420" s="102"/>
      <c r="F420" s="102"/>
    </row>
    <row r="421" spans="1:6" ht="13">
      <c r="A421" s="102"/>
      <c r="B421" s="7"/>
      <c r="C421" s="7"/>
      <c r="D421" s="102"/>
      <c r="E421" s="102"/>
      <c r="F421" s="102"/>
    </row>
    <row r="422" spans="1:6" ht="13">
      <c r="A422" s="102"/>
      <c r="B422" s="7"/>
      <c r="C422" s="7"/>
      <c r="D422" s="102"/>
      <c r="E422" s="102"/>
      <c r="F422" s="102"/>
    </row>
    <row r="423" spans="1:6" ht="13">
      <c r="A423" s="102"/>
      <c r="B423" s="7"/>
      <c r="C423" s="7"/>
      <c r="D423" s="102"/>
      <c r="E423" s="102"/>
      <c r="F423" s="102"/>
    </row>
    <row r="424" spans="1:6" ht="13">
      <c r="A424" s="102"/>
      <c r="B424" s="7"/>
      <c r="C424" s="7"/>
      <c r="D424" s="102"/>
      <c r="E424" s="102"/>
      <c r="F424" s="102"/>
    </row>
    <row r="425" spans="1:6" ht="13">
      <c r="A425" s="102"/>
      <c r="B425" s="7"/>
      <c r="C425" s="7"/>
      <c r="D425" s="102"/>
      <c r="E425" s="102"/>
      <c r="F425" s="102"/>
    </row>
    <row r="426" spans="1:6" ht="13">
      <c r="A426" s="102"/>
      <c r="B426" s="7"/>
      <c r="C426" s="7"/>
      <c r="D426" s="102"/>
      <c r="E426" s="102"/>
      <c r="F426" s="102"/>
    </row>
    <row r="427" spans="1:6" ht="13">
      <c r="A427" s="102"/>
      <c r="B427" s="7"/>
      <c r="C427" s="7"/>
      <c r="D427" s="102"/>
      <c r="E427" s="102"/>
      <c r="F427" s="102"/>
    </row>
    <row r="428" spans="1:6" ht="13">
      <c r="A428" s="102"/>
      <c r="B428" s="7"/>
      <c r="C428" s="7"/>
      <c r="D428" s="102"/>
      <c r="E428" s="102"/>
      <c r="F428" s="102"/>
    </row>
    <row r="429" spans="1:6" ht="13">
      <c r="A429" s="102"/>
      <c r="B429" s="7"/>
      <c r="C429" s="7"/>
      <c r="D429" s="102"/>
      <c r="E429" s="102"/>
      <c r="F429" s="102"/>
    </row>
    <row r="430" spans="1:6" ht="13">
      <c r="A430" s="102"/>
      <c r="B430" s="7"/>
      <c r="C430" s="7"/>
      <c r="D430" s="102"/>
      <c r="E430" s="102"/>
      <c r="F430" s="102"/>
    </row>
    <row r="431" spans="1:6" ht="13">
      <c r="A431" s="102"/>
      <c r="B431" s="7"/>
      <c r="C431" s="7"/>
      <c r="D431" s="102"/>
      <c r="E431" s="102"/>
      <c r="F431" s="102"/>
    </row>
    <row r="432" spans="1:6" ht="13">
      <c r="A432" s="102"/>
      <c r="B432" s="7"/>
      <c r="C432" s="7"/>
      <c r="D432" s="102"/>
      <c r="E432" s="102"/>
      <c r="F432" s="102"/>
    </row>
    <row r="433" spans="1:6" ht="13">
      <c r="A433" s="102"/>
      <c r="B433" s="7"/>
      <c r="C433" s="7"/>
      <c r="D433" s="102"/>
      <c r="E433" s="102"/>
      <c r="F433" s="102"/>
    </row>
    <row r="434" spans="1:6" ht="13">
      <c r="A434" s="102"/>
      <c r="B434" s="7"/>
      <c r="C434" s="7"/>
      <c r="D434" s="102"/>
      <c r="E434" s="102"/>
      <c r="F434" s="102"/>
    </row>
    <row r="435" spans="1:6" ht="13">
      <c r="A435" s="102"/>
      <c r="B435" s="7"/>
      <c r="C435" s="7"/>
      <c r="D435" s="102"/>
      <c r="E435" s="102"/>
      <c r="F435" s="102"/>
    </row>
    <row r="436" spans="1:6" ht="13">
      <c r="A436" s="102"/>
      <c r="B436" s="7"/>
      <c r="C436" s="7"/>
      <c r="D436" s="102"/>
      <c r="E436" s="102"/>
      <c r="F436" s="102"/>
    </row>
    <row r="437" spans="1:6" ht="13">
      <c r="A437" s="102"/>
      <c r="B437" s="7"/>
      <c r="C437" s="7"/>
      <c r="D437" s="102"/>
      <c r="E437" s="102"/>
      <c r="F437" s="102"/>
    </row>
    <row r="438" spans="1:6" ht="13">
      <c r="A438" s="102"/>
      <c r="B438" s="7"/>
      <c r="C438" s="7"/>
      <c r="D438" s="102"/>
      <c r="E438" s="102"/>
      <c r="F438" s="102"/>
    </row>
    <row r="439" spans="1:6" ht="13">
      <c r="A439" s="102"/>
      <c r="B439" s="7"/>
      <c r="C439" s="7"/>
      <c r="D439" s="102"/>
      <c r="E439" s="102"/>
      <c r="F439" s="102"/>
    </row>
    <row r="440" spans="1:6" ht="13">
      <c r="A440" s="102"/>
      <c r="B440" s="7"/>
      <c r="C440" s="7"/>
      <c r="D440" s="102"/>
      <c r="E440" s="102"/>
      <c r="F440" s="102"/>
    </row>
    <row r="441" spans="1:6" ht="13">
      <c r="A441" s="102"/>
      <c r="B441" s="7"/>
      <c r="C441" s="7"/>
      <c r="D441" s="102"/>
      <c r="E441" s="102"/>
      <c r="F441" s="102"/>
    </row>
    <row r="442" spans="1:6" ht="13">
      <c r="A442" s="102"/>
      <c r="B442" s="7"/>
      <c r="C442" s="7"/>
      <c r="D442" s="102"/>
      <c r="E442" s="102"/>
      <c r="F442" s="102"/>
    </row>
    <row r="443" spans="1:6" ht="13">
      <c r="A443" s="102"/>
      <c r="B443" s="7"/>
      <c r="C443" s="7"/>
      <c r="D443" s="102"/>
      <c r="E443" s="102"/>
      <c r="F443" s="102"/>
    </row>
    <row r="444" spans="1:6" ht="13">
      <c r="A444" s="102"/>
      <c r="B444" s="7"/>
      <c r="C444" s="7"/>
      <c r="D444" s="102"/>
      <c r="E444" s="102"/>
      <c r="F444" s="102"/>
    </row>
    <row r="445" spans="1:6" ht="13">
      <c r="A445" s="102"/>
      <c r="B445" s="7"/>
      <c r="C445" s="7"/>
      <c r="D445" s="102"/>
      <c r="E445" s="102"/>
      <c r="F445" s="102"/>
    </row>
    <row r="446" spans="1:6" ht="13">
      <c r="A446" s="102"/>
      <c r="B446" s="7"/>
      <c r="C446" s="7"/>
      <c r="D446" s="102"/>
      <c r="E446" s="102"/>
      <c r="F446" s="102"/>
    </row>
    <row r="447" spans="1:6" ht="13">
      <c r="A447" s="102"/>
      <c r="B447" s="7"/>
      <c r="C447" s="7"/>
      <c r="D447" s="102"/>
      <c r="E447" s="102"/>
      <c r="F447" s="102"/>
    </row>
    <row r="448" spans="1:6" ht="13">
      <c r="A448" s="102"/>
      <c r="B448" s="7"/>
      <c r="C448" s="7"/>
      <c r="D448" s="102"/>
      <c r="E448" s="102"/>
      <c r="F448" s="102"/>
    </row>
    <row r="449" spans="1:6" ht="13">
      <c r="A449" s="102"/>
      <c r="B449" s="7"/>
      <c r="C449" s="7"/>
      <c r="D449" s="102"/>
      <c r="E449" s="102"/>
      <c r="F449" s="102"/>
    </row>
    <row r="450" spans="1:6" ht="13">
      <c r="A450" s="102"/>
      <c r="B450" s="7"/>
      <c r="C450" s="7"/>
      <c r="D450" s="102"/>
      <c r="E450" s="102"/>
      <c r="F450" s="102"/>
    </row>
    <row r="451" spans="1:6" ht="13">
      <c r="A451" s="102"/>
      <c r="B451" s="7"/>
      <c r="C451" s="7"/>
      <c r="D451" s="102"/>
      <c r="E451" s="102"/>
      <c r="F451" s="102"/>
    </row>
    <row r="452" spans="1:6" ht="13">
      <c r="A452" s="102"/>
      <c r="B452" s="7"/>
      <c r="C452" s="7"/>
      <c r="D452" s="102"/>
      <c r="E452" s="102"/>
      <c r="F452" s="102"/>
    </row>
    <row r="453" spans="1:6" ht="13">
      <c r="A453" s="102"/>
      <c r="B453" s="7"/>
      <c r="C453" s="7"/>
      <c r="D453" s="102"/>
      <c r="E453" s="102"/>
      <c r="F453" s="102"/>
    </row>
    <row r="454" spans="1:6" ht="13">
      <c r="A454" s="102"/>
      <c r="B454" s="7"/>
      <c r="C454" s="7"/>
      <c r="D454" s="102"/>
      <c r="E454" s="102"/>
      <c r="F454" s="102"/>
    </row>
    <row r="455" spans="1:6" ht="13">
      <c r="A455" s="102"/>
      <c r="B455" s="7"/>
      <c r="C455" s="7"/>
      <c r="D455" s="102"/>
      <c r="E455" s="102"/>
      <c r="F455" s="102"/>
    </row>
    <row r="456" spans="1:6" ht="13">
      <c r="A456" s="102"/>
      <c r="B456" s="7"/>
      <c r="C456" s="7"/>
      <c r="D456" s="102"/>
      <c r="E456" s="102"/>
      <c r="F456" s="102"/>
    </row>
    <row r="457" spans="1:6" ht="13">
      <c r="A457" s="102"/>
      <c r="B457" s="7"/>
      <c r="C457" s="7"/>
      <c r="D457" s="102"/>
      <c r="E457" s="102"/>
      <c r="F457" s="102"/>
    </row>
    <row r="458" spans="1:6" ht="13">
      <c r="A458" s="102"/>
      <c r="B458" s="7"/>
      <c r="C458" s="7"/>
      <c r="D458" s="102"/>
      <c r="E458" s="102"/>
      <c r="F458" s="102"/>
    </row>
    <row r="459" spans="1:6" ht="13">
      <c r="A459" s="102"/>
      <c r="B459" s="7"/>
      <c r="C459" s="7"/>
      <c r="D459" s="102"/>
      <c r="E459" s="102"/>
      <c r="F459" s="102"/>
    </row>
    <row r="460" spans="1:6" ht="13">
      <c r="A460" s="102"/>
      <c r="B460" s="7"/>
      <c r="C460" s="7"/>
      <c r="D460" s="102"/>
      <c r="E460" s="102"/>
      <c r="F460" s="102"/>
    </row>
    <row r="461" spans="1:6" ht="13">
      <c r="A461" s="102"/>
      <c r="B461" s="7"/>
      <c r="C461" s="7"/>
      <c r="D461" s="102"/>
      <c r="E461" s="102"/>
      <c r="F461" s="102"/>
    </row>
    <row r="462" spans="1:6" ht="13">
      <c r="A462" s="102"/>
      <c r="B462" s="7"/>
      <c r="C462" s="7"/>
      <c r="D462" s="102"/>
      <c r="E462" s="102"/>
      <c r="F462" s="102"/>
    </row>
    <row r="463" spans="1:6" ht="13">
      <c r="A463" s="102"/>
      <c r="B463" s="7"/>
      <c r="C463" s="7"/>
      <c r="D463" s="102"/>
      <c r="E463" s="102"/>
      <c r="F463" s="102"/>
    </row>
    <row r="464" spans="1:6" ht="13">
      <c r="A464" s="102"/>
      <c r="B464" s="7"/>
      <c r="C464" s="7"/>
      <c r="D464" s="102"/>
      <c r="E464" s="102"/>
      <c r="F464" s="102"/>
    </row>
    <row r="465" spans="1:6" ht="13">
      <c r="A465" s="102"/>
      <c r="B465" s="7"/>
      <c r="C465" s="7"/>
      <c r="D465" s="102"/>
      <c r="E465" s="102"/>
      <c r="F465" s="102"/>
    </row>
    <row r="466" spans="1:6" ht="13">
      <c r="A466" s="102"/>
      <c r="B466" s="7"/>
      <c r="C466" s="7"/>
      <c r="D466" s="102"/>
      <c r="E466" s="102"/>
      <c r="F466" s="102"/>
    </row>
    <row r="467" spans="1:6" ht="13">
      <c r="A467" s="102"/>
      <c r="B467" s="7"/>
      <c r="C467" s="7"/>
      <c r="D467" s="102"/>
      <c r="E467" s="102"/>
      <c r="F467" s="102"/>
    </row>
    <row r="468" spans="1:6" ht="13">
      <c r="A468" s="102"/>
      <c r="B468" s="7"/>
      <c r="C468" s="7"/>
      <c r="D468" s="102"/>
      <c r="E468" s="102"/>
      <c r="F468" s="102"/>
    </row>
    <row r="469" spans="1:6" ht="13">
      <c r="A469" s="102"/>
      <c r="B469" s="7"/>
      <c r="C469" s="7"/>
      <c r="D469" s="102"/>
      <c r="E469" s="102"/>
      <c r="F469" s="102"/>
    </row>
    <row r="470" spans="1:6" ht="13">
      <c r="A470" s="102"/>
      <c r="B470" s="7"/>
      <c r="C470" s="7"/>
      <c r="D470" s="102"/>
      <c r="E470" s="102"/>
      <c r="F470" s="102"/>
    </row>
    <row r="471" spans="1:6" ht="13">
      <c r="A471" s="102"/>
      <c r="B471" s="7"/>
      <c r="C471" s="7"/>
      <c r="D471" s="102"/>
      <c r="E471" s="102"/>
      <c r="F471" s="102"/>
    </row>
    <row r="472" spans="1:6" ht="13">
      <c r="A472" s="102"/>
      <c r="B472" s="7"/>
      <c r="C472" s="7"/>
      <c r="D472" s="102"/>
      <c r="E472" s="102"/>
      <c r="F472" s="102"/>
    </row>
    <row r="473" spans="1:6" ht="13">
      <c r="A473" s="102"/>
      <c r="B473" s="7"/>
      <c r="C473" s="7"/>
      <c r="D473" s="102"/>
      <c r="E473" s="102"/>
      <c r="F473" s="102"/>
    </row>
    <row r="474" spans="1:6" ht="13">
      <c r="A474" s="102"/>
      <c r="B474" s="7"/>
      <c r="C474" s="7"/>
      <c r="D474" s="102"/>
      <c r="E474" s="102"/>
      <c r="F474" s="102"/>
    </row>
    <row r="475" spans="1:6" ht="13">
      <c r="A475" s="102"/>
      <c r="B475" s="7"/>
      <c r="C475" s="7"/>
      <c r="D475" s="102"/>
      <c r="E475" s="102"/>
      <c r="F475" s="102"/>
    </row>
    <row r="476" spans="1:6" ht="13">
      <c r="A476" s="102"/>
      <c r="B476" s="7"/>
      <c r="C476" s="7"/>
      <c r="D476" s="102"/>
      <c r="E476" s="102"/>
      <c r="F476" s="102"/>
    </row>
    <row r="477" spans="1:6" ht="13">
      <c r="A477" s="102"/>
      <c r="B477" s="7"/>
      <c r="C477" s="7"/>
      <c r="D477" s="102"/>
      <c r="E477" s="102"/>
      <c r="F477" s="102"/>
    </row>
    <row r="478" spans="1:6" ht="13">
      <c r="A478" s="102"/>
      <c r="B478" s="7"/>
      <c r="C478" s="7"/>
      <c r="D478" s="102"/>
      <c r="E478" s="102"/>
      <c r="F478" s="102"/>
    </row>
    <row r="479" spans="1:6" ht="13">
      <c r="A479" s="102"/>
      <c r="B479" s="7"/>
      <c r="C479" s="7"/>
      <c r="D479" s="102"/>
      <c r="E479" s="102"/>
      <c r="F479" s="102"/>
    </row>
    <row r="480" spans="1:6" ht="13">
      <c r="A480" s="102"/>
      <c r="B480" s="7"/>
      <c r="C480" s="7"/>
      <c r="D480" s="102"/>
      <c r="E480" s="102"/>
      <c r="F480" s="102"/>
    </row>
    <row r="481" spans="1:6" ht="13">
      <c r="A481" s="102"/>
      <c r="B481" s="7"/>
      <c r="C481" s="7"/>
      <c r="D481" s="102"/>
      <c r="E481" s="102"/>
      <c r="F481" s="102"/>
    </row>
    <row r="482" spans="1:6" ht="13">
      <c r="A482" s="102"/>
      <c r="B482" s="7"/>
      <c r="C482" s="7"/>
      <c r="D482" s="102"/>
      <c r="E482" s="102"/>
      <c r="F482" s="102"/>
    </row>
    <row r="483" spans="1:6" ht="13">
      <c r="A483" s="102"/>
      <c r="B483" s="7"/>
      <c r="C483" s="7"/>
      <c r="D483" s="102"/>
      <c r="E483" s="102"/>
      <c r="F483" s="102"/>
    </row>
    <row r="484" spans="1:6" ht="13">
      <c r="A484" s="102"/>
      <c r="B484" s="7"/>
      <c r="C484" s="7"/>
      <c r="D484" s="102"/>
      <c r="E484" s="102"/>
      <c r="F484" s="102"/>
    </row>
    <row r="485" spans="1:6" ht="13">
      <c r="A485" s="102"/>
      <c r="B485" s="7"/>
      <c r="C485" s="7"/>
      <c r="D485" s="102"/>
      <c r="E485" s="102"/>
      <c r="F485" s="102"/>
    </row>
    <row r="486" spans="1:6" ht="13">
      <c r="A486" s="102"/>
      <c r="B486" s="7"/>
      <c r="C486" s="7"/>
      <c r="D486" s="102"/>
      <c r="E486" s="102"/>
      <c r="F486" s="102"/>
    </row>
    <row r="487" spans="1:6" ht="13">
      <c r="A487" s="102"/>
      <c r="B487" s="7"/>
      <c r="C487" s="7"/>
      <c r="D487" s="102"/>
      <c r="E487" s="102"/>
      <c r="F487" s="102"/>
    </row>
    <row r="488" spans="1:6" ht="13">
      <c r="A488" s="102"/>
      <c r="B488" s="7"/>
      <c r="C488" s="7"/>
      <c r="D488" s="102"/>
      <c r="E488" s="102"/>
      <c r="F488" s="102"/>
    </row>
    <row r="489" spans="1:6" ht="13">
      <c r="A489" s="102"/>
      <c r="B489" s="7"/>
      <c r="C489" s="7"/>
      <c r="D489" s="102"/>
      <c r="E489" s="102"/>
      <c r="F489" s="102"/>
    </row>
    <row r="490" spans="1:6" ht="13">
      <c r="A490" s="102"/>
      <c r="B490" s="7"/>
      <c r="C490" s="7"/>
      <c r="D490" s="102"/>
      <c r="E490" s="102"/>
      <c r="F490" s="102"/>
    </row>
    <row r="491" spans="1:6" ht="13">
      <c r="A491" s="102"/>
      <c r="B491" s="7"/>
      <c r="C491" s="7"/>
      <c r="D491" s="102"/>
      <c r="E491" s="102"/>
      <c r="F491" s="102"/>
    </row>
    <row r="492" spans="1:6" ht="13">
      <c r="A492" s="102"/>
      <c r="B492" s="7"/>
      <c r="C492" s="7"/>
      <c r="D492" s="102"/>
      <c r="E492" s="102"/>
      <c r="F492" s="102"/>
    </row>
    <row r="493" spans="1:6" ht="13">
      <c r="A493" s="102"/>
      <c r="B493" s="7"/>
      <c r="C493" s="7"/>
      <c r="D493" s="102"/>
      <c r="E493" s="102"/>
      <c r="F493" s="102"/>
    </row>
    <row r="494" spans="1:6" ht="13">
      <c r="A494" s="102"/>
      <c r="B494" s="7"/>
      <c r="C494" s="7"/>
      <c r="D494" s="102"/>
      <c r="E494" s="102"/>
      <c r="F494" s="102"/>
    </row>
    <row r="495" spans="1:6" ht="13">
      <c r="A495" s="102"/>
      <c r="B495" s="7"/>
      <c r="C495" s="7"/>
      <c r="D495" s="102"/>
      <c r="E495" s="102"/>
      <c r="F495" s="102"/>
    </row>
    <row r="496" spans="1:6" ht="13">
      <c r="A496" s="102"/>
      <c r="B496" s="7"/>
      <c r="C496" s="7"/>
      <c r="D496" s="102"/>
      <c r="E496" s="102"/>
      <c r="F496" s="102"/>
    </row>
    <row r="497" spans="1:6" ht="13">
      <c r="A497" s="102"/>
      <c r="B497" s="7"/>
      <c r="C497" s="7"/>
      <c r="D497" s="102"/>
      <c r="E497" s="102"/>
      <c r="F497" s="102"/>
    </row>
    <row r="498" spans="1:6" ht="13">
      <c r="A498" s="102"/>
      <c r="B498" s="7"/>
      <c r="C498" s="7"/>
      <c r="D498" s="102"/>
      <c r="E498" s="102"/>
      <c r="F498" s="102"/>
    </row>
    <row r="499" spans="1:6" ht="13">
      <c r="A499" s="102"/>
      <c r="B499" s="7"/>
      <c r="C499" s="7"/>
      <c r="D499" s="102"/>
      <c r="E499" s="102"/>
      <c r="F499" s="102"/>
    </row>
    <row r="500" spans="1:6" ht="13">
      <c r="A500" s="102"/>
      <c r="B500" s="7"/>
      <c r="C500" s="7"/>
      <c r="D500" s="102"/>
      <c r="E500" s="102"/>
      <c r="F500" s="102"/>
    </row>
    <row r="501" spans="1:6" ht="13">
      <c r="A501" s="102"/>
      <c r="B501" s="7"/>
      <c r="C501" s="7"/>
      <c r="D501" s="102"/>
      <c r="E501" s="102"/>
      <c r="F501" s="102"/>
    </row>
    <row r="502" spans="1:6" ht="13">
      <c r="A502" s="102"/>
      <c r="B502" s="7"/>
      <c r="C502" s="7"/>
      <c r="D502" s="102"/>
      <c r="E502" s="102"/>
      <c r="F502" s="102"/>
    </row>
    <row r="503" spans="1:6" ht="13">
      <c r="A503" s="102"/>
      <c r="B503" s="7"/>
      <c r="C503" s="7"/>
      <c r="D503" s="102"/>
      <c r="E503" s="102"/>
      <c r="F503" s="102"/>
    </row>
    <row r="504" spans="1:6" ht="13">
      <c r="A504" s="102"/>
      <c r="B504" s="7"/>
      <c r="C504" s="7"/>
      <c r="D504" s="102"/>
      <c r="E504" s="102"/>
      <c r="F504" s="102"/>
    </row>
    <row r="505" spans="1:6" ht="13">
      <c r="A505" s="102"/>
      <c r="B505" s="7"/>
      <c r="C505" s="7"/>
      <c r="D505" s="102"/>
      <c r="E505" s="102"/>
      <c r="F505" s="102"/>
    </row>
    <row r="506" spans="1:6" ht="13">
      <c r="A506" s="102"/>
      <c r="B506" s="7"/>
      <c r="C506" s="7"/>
      <c r="D506" s="102"/>
      <c r="E506" s="102"/>
      <c r="F506" s="102"/>
    </row>
    <row r="507" spans="1:6" ht="13">
      <c r="A507" s="102"/>
      <c r="B507" s="7"/>
      <c r="C507" s="7"/>
      <c r="D507" s="102"/>
      <c r="E507" s="102"/>
      <c r="F507" s="102"/>
    </row>
    <row r="508" spans="1:6" ht="13">
      <c r="A508" s="102"/>
      <c r="B508" s="7"/>
      <c r="C508" s="7"/>
      <c r="D508" s="102"/>
      <c r="E508" s="102"/>
      <c r="F508" s="102"/>
    </row>
    <row r="509" spans="1:6" ht="13">
      <c r="A509" s="102"/>
      <c r="B509" s="7"/>
      <c r="C509" s="7"/>
      <c r="D509" s="102"/>
      <c r="E509" s="102"/>
      <c r="F509" s="102"/>
    </row>
    <row r="510" spans="1:6" ht="13">
      <c r="A510" s="102"/>
      <c r="B510" s="7"/>
      <c r="C510" s="7"/>
      <c r="D510" s="102"/>
      <c r="E510" s="102"/>
      <c r="F510" s="102"/>
    </row>
    <row r="511" spans="1:6" ht="13">
      <c r="A511" s="102"/>
      <c r="B511" s="7"/>
      <c r="C511" s="7"/>
      <c r="D511" s="102"/>
      <c r="E511" s="102"/>
      <c r="F511" s="102"/>
    </row>
    <row r="512" spans="1:6" ht="13">
      <c r="A512" s="102"/>
      <c r="B512" s="7"/>
      <c r="C512" s="7"/>
      <c r="D512" s="102"/>
      <c r="E512" s="102"/>
      <c r="F512" s="102"/>
    </row>
    <row r="513" spans="1:6" ht="13">
      <c r="A513" s="102"/>
      <c r="B513" s="7"/>
      <c r="C513" s="7"/>
      <c r="D513" s="102"/>
      <c r="E513" s="102"/>
      <c r="F513" s="102"/>
    </row>
    <row r="514" spans="1:6" ht="13">
      <c r="A514" s="102"/>
      <c r="B514" s="7"/>
      <c r="C514" s="7"/>
      <c r="D514" s="102"/>
      <c r="E514" s="102"/>
      <c r="F514" s="102"/>
    </row>
    <row r="515" spans="1:6" ht="13">
      <c r="A515" s="102"/>
      <c r="B515" s="7"/>
      <c r="C515" s="7"/>
      <c r="D515" s="102"/>
      <c r="E515" s="102"/>
      <c r="F515" s="102"/>
    </row>
    <row r="516" spans="1:6" ht="13">
      <c r="A516" s="102"/>
      <c r="B516" s="7"/>
      <c r="C516" s="7"/>
      <c r="D516" s="102"/>
      <c r="E516" s="102"/>
      <c r="F516" s="102"/>
    </row>
    <row r="517" spans="1:6" ht="13">
      <c r="A517" s="102"/>
      <c r="B517" s="7"/>
      <c r="C517" s="7"/>
      <c r="D517" s="102"/>
      <c r="E517" s="102"/>
      <c r="F517" s="102"/>
    </row>
    <row r="518" spans="1:6" ht="13">
      <c r="A518" s="102"/>
      <c r="B518" s="7"/>
      <c r="C518" s="7"/>
      <c r="D518" s="102"/>
      <c r="E518" s="102"/>
      <c r="F518" s="102"/>
    </row>
    <row r="519" spans="1:6" ht="13">
      <c r="A519" s="102"/>
      <c r="B519" s="7"/>
      <c r="C519" s="7"/>
      <c r="D519" s="102"/>
      <c r="E519" s="102"/>
      <c r="F519" s="102"/>
    </row>
    <row r="520" spans="1:6" ht="13">
      <c r="A520" s="102"/>
      <c r="B520" s="7"/>
      <c r="C520" s="7"/>
      <c r="D520" s="102"/>
      <c r="E520" s="102"/>
      <c r="F520" s="102"/>
    </row>
    <row r="521" spans="1:6" ht="13">
      <c r="A521" s="102"/>
      <c r="B521" s="7"/>
      <c r="C521" s="7"/>
      <c r="D521" s="102"/>
      <c r="E521" s="102"/>
      <c r="F521" s="102"/>
    </row>
    <row r="522" spans="1:6" ht="13">
      <c r="A522" s="102"/>
      <c r="B522" s="7"/>
      <c r="C522" s="7"/>
      <c r="D522" s="102"/>
      <c r="E522" s="102"/>
      <c r="F522" s="102"/>
    </row>
    <row r="523" spans="1:6" ht="13">
      <c r="A523" s="102"/>
      <c r="B523" s="7"/>
      <c r="C523" s="7"/>
      <c r="D523" s="102"/>
      <c r="E523" s="102"/>
      <c r="F523" s="102"/>
    </row>
    <row r="524" spans="1:6" ht="13">
      <c r="A524" s="102"/>
      <c r="B524" s="7"/>
      <c r="C524" s="7"/>
      <c r="D524" s="102"/>
      <c r="E524" s="102"/>
      <c r="F524" s="102"/>
    </row>
    <row r="525" spans="1:6" ht="13">
      <c r="A525" s="102"/>
      <c r="B525" s="7"/>
      <c r="C525" s="7"/>
      <c r="D525" s="102"/>
      <c r="E525" s="102"/>
      <c r="F525" s="102"/>
    </row>
    <row r="526" spans="1:6" ht="13">
      <c r="A526" s="102"/>
      <c r="B526" s="7"/>
      <c r="C526" s="7"/>
      <c r="D526" s="102"/>
      <c r="E526" s="102"/>
      <c r="F526" s="102"/>
    </row>
    <row r="527" spans="1:6" ht="13">
      <c r="A527" s="102"/>
      <c r="B527" s="7"/>
      <c r="C527" s="7"/>
      <c r="D527" s="102"/>
      <c r="E527" s="102"/>
      <c r="F527" s="102"/>
    </row>
    <row r="528" spans="1:6" ht="13">
      <c r="A528" s="102"/>
      <c r="B528" s="7"/>
      <c r="C528" s="7"/>
      <c r="D528" s="102"/>
      <c r="E528" s="102"/>
      <c r="F528" s="102"/>
    </row>
    <row r="529" spans="1:6" ht="13">
      <c r="A529" s="102"/>
      <c r="B529" s="7"/>
      <c r="C529" s="7"/>
      <c r="D529" s="102"/>
      <c r="E529" s="102"/>
      <c r="F529" s="102"/>
    </row>
    <row r="530" spans="1:6" ht="13">
      <c r="A530" s="102"/>
      <c r="B530" s="7"/>
      <c r="C530" s="7"/>
      <c r="D530" s="102"/>
      <c r="E530" s="102"/>
      <c r="F530" s="102"/>
    </row>
    <row r="531" spans="1:6" ht="13">
      <c r="A531" s="102"/>
      <c r="B531" s="7"/>
      <c r="C531" s="7"/>
      <c r="D531" s="102"/>
      <c r="E531" s="102"/>
      <c r="F531" s="102"/>
    </row>
    <row r="532" spans="1:6" ht="13">
      <c r="A532" s="102"/>
      <c r="B532" s="7"/>
      <c r="C532" s="7"/>
      <c r="D532" s="102"/>
      <c r="E532" s="102"/>
      <c r="F532" s="102"/>
    </row>
    <row r="533" spans="1:6" ht="13">
      <c r="A533" s="102"/>
      <c r="B533" s="7"/>
      <c r="C533" s="7"/>
      <c r="D533" s="102"/>
      <c r="E533" s="102"/>
      <c r="F533" s="102"/>
    </row>
    <row r="534" spans="1:6" ht="13">
      <c r="A534" s="102"/>
      <c r="B534" s="7"/>
      <c r="C534" s="7"/>
      <c r="D534" s="102"/>
      <c r="E534" s="102"/>
      <c r="F534" s="102"/>
    </row>
    <row r="535" spans="1:6" ht="13">
      <c r="A535" s="102"/>
      <c r="B535" s="7"/>
      <c r="C535" s="7"/>
      <c r="D535" s="102"/>
      <c r="E535" s="102"/>
      <c r="F535" s="102"/>
    </row>
    <row r="536" spans="1:6" ht="13">
      <c r="A536" s="102"/>
      <c r="B536" s="7"/>
      <c r="C536" s="7"/>
      <c r="D536" s="102"/>
      <c r="E536" s="102"/>
      <c r="F536" s="102"/>
    </row>
    <row r="537" spans="1:6" ht="13">
      <c r="A537" s="102"/>
      <c r="B537" s="7"/>
      <c r="C537" s="7"/>
      <c r="D537" s="102"/>
      <c r="E537" s="102"/>
      <c r="F537" s="102"/>
    </row>
    <row r="538" spans="1:6" ht="13">
      <c r="A538" s="102"/>
      <c r="B538" s="7"/>
      <c r="C538" s="7"/>
      <c r="D538" s="102"/>
      <c r="E538" s="102"/>
      <c r="F538" s="102"/>
    </row>
    <row r="539" spans="1:6" ht="13">
      <c r="A539" s="102"/>
      <c r="B539" s="7"/>
      <c r="C539" s="7"/>
      <c r="D539" s="102"/>
      <c r="E539" s="102"/>
      <c r="F539" s="102"/>
    </row>
    <row r="540" spans="1:6" ht="13">
      <c r="A540" s="102"/>
      <c r="B540" s="7"/>
      <c r="C540" s="7"/>
      <c r="D540" s="102"/>
      <c r="E540" s="102"/>
      <c r="F540" s="102"/>
    </row>
    <row r="541" spans="1:6" ht="13">
      <c r="A541" s="102"/>
      <c r="B541" s="7"/>
      <c r="C541" s="7"/>
      <c r="D541" s="102"/>
      <c r="E541" s="102"/>
      <c r="F541" s="102"/>
    </row>
    <row r="542" spans="1:6" ht="13">
      <c r="A542" s="102"/>
      <c r="B542" s="7"/>
      <c r="C542" s="7"/>
      <c r="D542" s="102"/>
      <c r="E542" s="102"/>
      <c r="F542" s="102"/>
    </row>
    <row r="543" spans="1:6" ht="13">
      <c r="A543" s="102"/>
      <c r="B543" s="7"/>
      <c r="C543" s="7"/>
      <c r="D543" s="102"/>
      <c r="E543" s="102"/>
      <c r="F543" s="102"/>
    </row>
    <row r="544" spans="1:6" ht="13">
      <c r="A544" s="102"/>
      <c r="B544" s="7"/>
      <c r="C544" s="7"/>
      <c r="D544" s="102"/>
      <c r="E544" s="102"/>
      <c r="F544" s="102"/>
    </row>
    <row r="545" spans="1:6" ht="13">
      <c r="A545" s="102"/>
      <c r="B545" s="7"/>
      <c r="C545" s="7"/>
      <c r="D545" s="102"/>
      <c r="E545" s="102"/>
      <c r="F545" s="102"/>
    </row>
    <row r="546" spans="1:6" ht="13">
      <c r="A546" s="102"/>
      <c r="B546" s="7"/>
      <c r="C546" s="7"/>
      <c r="D546" s="102"/>
      <c r="E546" s="102"/>
      <c r="F546" s="102"/>
    </row>
    <row r="547" spans="1:6" ht="13">
      <c r="A547" s="102"/>
      <c r="B547" s="7"/>
      <c r="C547" s="7"/>
      <c r="D547" s="102"/>
      <c r="E547" s="102"/>
      <c r="F547" s="102"/>
    </row>
    <row r="548" spans="1:6" ht="13">
      <c r="A548" s="102"/>
      <c r="B548" s="7"/>
      <c r="C548" s="7"/>
      <c r="D548" s="102"/>
      <c r="E548" s="102"/>
      <c r="F548" s="102"/>
    </row>
    <row r="549" spans="1:6" ht="13">
      <c r="A549" s="102"/>
      <c r="B549" s="7"/>
      <c r="C549" s="7"/>
      <c r="D549" s="102"/>
      <c r="E549" s="102"/>
      <c r="F549" s="102"/>
    </row>
    <row r="550" spans="1:6" ht="13">
      <c r="A550" s="102"/>
      <c r="B550" s="7"/>
      <c r="C550" s="7"/>
      <c r="D550" s="102"/>
      <c r="E550" s="102"/>
      <c r="F550" s="102"/>
    </row>
    <row r="551" spans="1:6" ht="13">
      <c r="A551" s="102"/>
      <c r="B551" s="7"/>
      <c r="C551" s="7"/>
      <c r="D551" s="102"/>
      <c r="E551" s="102"/>
      <c r="F551" s="102"/>
    </row>
    <row r="552" spans="1:6" ht="13">
      <c r="A552" s="102"/>
      <c r="B552" s="7"/>
      <c r="C552" s="7"/>
      <c r="D552" s="102"/>
      <c r="E552" s="102"/>
      <c r="F552" s="102"/>
    </row>
    <row r="553" spans="1:6" ht="13">
      <c r="A553" s="102"/>
      <c r="B553" s="7"/>
      <c r="C553" s="7"/>
      <c r="D553" s="102"/>
      <c r="E553" s="102"/>
      <c r="F553" s="102"/>
    </row>
    <row r="554" spans="1:6" ht="13">
      <c r="A554" s="102"/>
      <c r="B554" s="7"/>
      <c r="C554" s="7"/>
      <c r="D554" s="102"/>
      <c r="E554" s="102"/>
      <c r="F554" s="102"/>
    </row>
    <row r="555" spans="1:6" ht="13">
      <c r="A555" s="102"/>
      <c r="B555" s="7"/>
      <c r="C555" s="7"/>
      <c r="D555" s="102"/>
      <c r="E555" s="102"/>
      <c r="F555" s="102"/>
    </row>
    <row r="556" spans="1:6" ht="13">
      <c r="A556" s="102"/>
      <c r="B556" s="7"/>
      <c r="C556" s="7"/>
      <c r="D556" s="102"/>
      <c r="E556" s="102"/>
      <c r="F556" s="102"/>
    </row>
    <row r="557" spans="1:6" ht="13">
      <c r="A557" s="102"/>
      <c r="B557" s="7"/>
      <c r="C557" s="7"/>
      <c r="D557" s="102"/>
      <c r="E557" s="102"/>
      <c r="F557" s="102"/>
    </row>
    <row r="558" spans="1:6" ht="13">
      <c r="A558" s="102"/>
      <c r="B558" s="7"/>
      <c r="C558" s="7"/>
      <c r="D558" s="102"/>
      <c r="E558" s="102"/>
      <c r="F558" s="102"/>
    </row>
    <row r="559" spans="1:6" ht="13">
      <c r="A559" s="102"/>
      <c r="B559" s="7"/>
      <c r="C559" s="7"/>
      <c r="D559" s="102"/>
      <c r="E559" s="102"/>
      <c r="F559" s="102"/>
    </row>
    <row r="560" spans="1:6" ht="13">
      <c r="A560" s="102"/>
      <c r="B560" s="7"/>
      <c r="C560" s="7"/>
      <c r="D560" s="102"/>
      <c r="E560" s="102"/>
      <c r="F560" s="102"/>
    </row>
    <row r="561" spans="1:6" ht="13">
      <c r="A561" s="102"/>
      <c r="B561" s="7"/>
      <c r="C561" s="7"/>
      <c r="D561" s="102"/>
      <c r="E561" s="102"/>
      <c r="F561" s="102"/>
    </row>
    <row r="562" spans="1:6" ht="13">
      <c r="A562" s="102"/>
      <c r="B562" s="7"/>
      <c r="C562" s="7"/>
      <c r="D562" s="102"/>
      <c r="E562" s="102"/>
      <c r="F562" s="102"/>
    </row>
    <row r="563" spans="1:6" ht="13">
      <c r="A563" s="102"/>
      <c r="B563" s="7"/>
      <c r="C563" s="7"/>
      <c r="D563" s="102"/>
      <c r="E563" s="102"/>
      <c r="F563" s="102"/>
    </row>
    <row r="564" spans="1:6" ht="13">
      <c r="A564" s="102"/>
      <c r="B564" s="7"/>
      <c r="C564" s="7"/>
      <c r="D564" s="102"/>
      <c r="E564" s="102"/>
      <c r="F564" s="102"/>
    </row>
    <row r="565" spans="1:6" ht="13">
      <c r="A565" s="102"/>
      <c r="B565" s="7"/>
      <c r="C565" s="7"/>
      <c r="D565" s="102"/>
      <c r="E565" s="102"/>
      <c r="F565" s="102"/>
    </row>
    <row r="566" spans="1:6" ht="13">
      <c r="A566" s="102"/>
      <c r="B566" s="7"/>
      <c r="C566" s="7"/>
      <c r="D566" s="102"/>
      <c r="E566" s="102"/>
      <c r="F566" s="102"/>
    </row>
    <row r="567" spans="1:6" ht="13">
      <c r="A567" s="102"/>
      <c r="B567" s="7"/>
      <c r="C567" s="7"/>
      <c r="D567" s="102"/>
      <c r="E567" s="102"/>
      <c r="F567" s="102"/>
    </row>
    <row r="568" spans="1:6" ht="13">
      <c r="A568" s="102"/>
      <c r="B568" s="7"/>
      <c r="C568" s="7"/>
      <c r="D568" s="102"/>
      <c r="E568" s="102"/>
      <c r="F568" s="102"/>
    </row>
    <row r="569" spans="1:6" ht="13">
      <c r="A569" s="102"/>
      <c r="B569" s="7"/>
      <c r="C569" s="7"/>
      <c r="D569" s="102"/>
      <c r="E569" s="102"/>
      <c r="F569" s="102"/>
    </row>
    <row r="570" spans="1:6" ht="13">
      <c r="A570" s="102"/>
      <c r="B570" s="7"/>
      <c r="C570" s="7"/>
      <c r="D570" s="102"/>
      <c r="E570" s="102"/>
      <c r="F570" s="102"/>
    </row>
    <row r="571" spans="1:6" ht="13">
      <c r="A571" s="102"/>
      <c r="B571" s="7"/>
      <c r="C571" s="7"/>
      <c r="D571" s="102"/>
      <c r="E571" s="102"/>
      <c r="F571" s="102"/>
    </row>
    <row r="572" spans="1:6" ht="13">
      <c r="A572" s="102"/>
      <c r="B572" s="7"/>
      <c r="C572" s="7"/>
      <c r="D572" s="102"/>
      <c r="E572" s="102"/>
      <c r="F572" s="102"/>
    </row>
    <row r="573" spans="1:6" ht="13">
      <c r="A573" s="102"/>
      <c r="B573" s="7"/>
      <c r="C573" s="7"/>
      <c r="D573" s="102"/>
      <c r="E573" s="102"/>
      <c r="F573" s="102"/>
    </row>
    <row r="574" spans="1:6" ht="13">
      <c r="A574" s="102"/>
      <c r="B574" s="7"/>
      <c r="C574" s="7"/>
      <c r="D574" s="102"/>
      <c r="E574" s="102"/>
      <c r="F574" s="102"/>
    </row>
    <row r="575" spans="1:6" ht="13">
      <c r="A575" s="102"/>
      <c r="B575" s="7"/>
      <c r="C575" s="7"/>
      <c r="D575" s="102"/>
      <c r="E575" s="102"/>
      <c r="F575" s="102"/>
    </row>
    <row r="576" spans="1:6" ht="13">
      <c r="A576" s="102"/>
      <c r="B576" s="7"/>
      <c r="C576" s="7"/>
      <c r="D576" s="102"/>
      <c r="E576" s="102"/>
      <c r="F576" s="102"/>
    </row>
    <row r="577" spans="1:6" ht="13">
      <c r="A577" s="102"/>
      <c r="B577" s="7"/>
      <c r="C577" s="7"/>
      <c r="D577" s="102"/>
      <c r="E577" s="102"/>
      <c r="F577" s="102"/>
    </row>
    <row r="578" spans="1:6" ht="13">
      <c r="A578" s="102"/>
      <c r="B578" s="7"/>
      <c r="C578" s="7"/>
      <c r="D578" s="102"/>
      <c r="E578" s="102"/>
      <c r="F578" s="102"/>
    </row>
    <row r="579" spans="1:6" ht="13">
      <c r="A579" s="102"/>
      <c r="B579" s="7"/>
      <c r="C579" s="7"/>
      <c r="D579" s="102"/>
      <c r="E579" s="102"/>
      <c r="F579" s="102"/>
    </row>
    <row r="580" spans="1:6" ht="13">
      <c r="A580" s="102"/>
      <c r="B580" s="7"/>
      <c r="C580" s="7"/>
      <c r="D580" s="102"/>
      <c r="E580" s="102"/>
      <c r="F580" s="102"/>
    </row>
    <row r="581" spans="1:6" ht="13">
      <c r="A581" s="102"/>
      <c r="B581" s="7"/>
      <c r="C581" s="7"/>
      <c r="D581" s="102"/>
      <c r="E581" s="102"/>
      <c r="F581" s="102"/>
    </row>
    <row r="582" spans="1:6" ht="13">
      <c r="A582" s="102"/>
      <c r="B582" s="7"/>
      <c r="C582" s="7"/>
      <c r="D582" s="102"/>
      <c r="E582" s="102"/>
      <c r="F582" s="102"/>
    </row>
    <row r="583" spans="1:6" ht="13">
      <c r="A583" s="102"/>
      <c r="B583" s="7"/>
      <c r="C583" s="7"/>
      <c r="D583" s="102"/>
      <c r="E583" s="102"/>
      <c r="F583" s="102"/>
    </row>
    <row r="584" spans="1:6" ht="13">
      <c r="A584" s="102"/>
      <c r="B584" s="7"/>
      <c r="C584" s="7"/>
      <c r="D584" s="102"/>
      <c r="E584" s="102"/>
      <c r="F584" s="102"/>
    </row>
    <row r="585" spans="1:6" ht="13">
      <c r="A585" s="102"/>
      <c r="B585" s="7"/>
      <c r="C585" s="7"/>
      <c r="D585" s="102"/>
      <c r="E585" s="102"/>
      <c r="F585" s="102"/>
    </row>
    <row r="586" spans="1:6" ht="13">
      <c r="A586" s="102"/>
      <c r="B586" s="7"/>
      <c r="C586" s="7"/>
      <c r="D586" s="102"/>
      <c r="E586" s="102"/>
      <c r="F586" s="102"/>
    </row>
    <row r="587" spans="1:6" ht="13">
      <c r="A587" s="102"/>
      <c r="B587" s="7"/>
      <c r="C587" s="7"/>
      <c r="D587" s="102"/>
      <c r="E587" s="102"/>
      <c r="F587" s="102"/>
    </row>
    <row r="588" spans="1:6" ht="13">
      <c r="A588" s="102"/>
      <c r="B588" s="7"/>
      <c r="C588" s="7"/>
      <c r="D588" s="102"/>
      <c r="E588" s="102"/>
      <c r="F588" s="102"/>
    </row>
    <row r="589" spans="1:6" ht="13">
      <c r="A589" s="102"/>
      <c r="B589" s="7"/>
      <c r="C589" s="7"/>
      <c r="D589" s="102"/>
      <c r="E589" s="102"/>
      <c r="F589" s="102"/>
    </row>
    <row r="590" spans="1:6" ht="13">
      <c r="A590" s="102"/>
      <c r="B590" s="7"/>
      <c r="C590" s="7"/>
      <c r="D590" s="102"/>
      <c r="E590" s="102"/>
      <c r="F590" s="102"/>
    </row>
    <row r="591" spans="1:6" ht="13">
      <c r="A591" s="102"/>
      <c r="B591" s="7"/>
      <c r="C591" s="7"/>
      <c r="D591" s="102"/>
      <c r="E591" s="102"/>
      <c r="F591" s="102"/>
    </row>
    <row r="592" spans="1:6" ht="13">
      <c r="A592" s="102"/>
      <c r="B592" s="7"/>
      <c r="C592" s="7"/>
      <c r="D592" s="102"/>
      <c r="E592" s="102"/>
      <c r="F592" s="102"/>
    </row>
    <row r="593" spans="1:6" ht="13">
      <c r="A593" s="102"/>
      <c r="B593" s="7"/>
      <c r="C593" s="7"/>
      <c r="D593" s="102"/>
      <c r="E593" s="102"/>
      <c r="F593" s="102"/>
    </row>
    <row r="594" spans="1:6" ht="13">
      <c r="A594" s="102"/>
      <c r="B594" s="7"/>
      <c r="C594" s="7"/>
      <c r="D594" s="102"/>
      <c r="E594" s="102"/>
      <c r="F594" s="102"/>
    </row>
    <row r="595" spans="1:6" ht="13">
      <c r="A595" s="102"/>
      <c r="B595" s="7"/>
      <c r="C595" s="7"/>
      <c r="D595" s="102"/>
      <c r="E595" s="102"/>
      <c r="F595" s="102"/>
    </row>
    <row r="596" spans="1:6" ht="13">
      <c r="A596" s="102"/>
      <c r="B596" s="7"/>
      <c r="C596" s="7"/>
      <c r="D596" s="102"/>
      <c r="E596" s="102"/>
      <c r="F596" s="102"/>
    </row>
    <row r="597" spans="1:6" ht="13">
      <c r="A597" s="102"/>
      <c r="B597" s="7"/>
      <c r="C597" s="7"/>
      <c r="D597" s="102"/>
      <c r="E597" s="102"/>
      <c r="F597" s="102"/>
    </row>
    <row r="598" spans="1:6" ht="13">
      <c r="A598" s="102"/>
      <c r="B598" s="7"/>
      <c r="C598" s="7"/>
      <c r="D598" s="102"/>
      <c r="E598" s="102"/>
      <c r="F598" s="102"/>
    </row>
    <row r="599" spans="1:6" ht="13">
      <c r="A599" s="102"/>
      <c r="B599" s="7"/>
      <c r="C599" s="7"/>
      <c r="D599" s="102"/>
      <c r="E599" s="102"/>
      <c r="F599" s="102"/>
    </row>
    <row r="600" spans="1:6" ht="13">
      <c r="A600" s="102"/>
      <c r="B600" s="7"/>
      <c r="C600" s="7"/>
      <c r="D600" s="102"/>
      <c r="E600" s="102"/>
      <c r="F600" s="102"/>
    </row>
    <row r="601" spans="1:6" ht="13">
      <c r="A601" s="102"/>
      <c r="B601" s="7"/>
      <c r="C601" s="7"/>
      <c r="D601" s="102"/>
      <c r="E601" s="102"/>
      <c r="F601" s="102"/>
    </row>
    <row r="602" spans="1:6" ht="13">
      <c r="A602" s="102"/>
      <c r="B602" s="7"/>
      <c r="C602" s="7"/>
      <c r="D602" s="102"/>
      <c r="E602" s="102"/>
      <c r="F602" s="102"/>
    </row>
    <row r="603" spans="1:6" ht="13">
      <c r="A603" s="102"/>
      <c r="B603" s="7"/>
      <c r="C603" s="7"/>
      <c r="D603" s="102"/>
      <c r="E603" s="102"/>
      <c r="F603" s="102"/>
    </row>
    <row r="604" spans="1:6" ht="13">
      <c r="A604" s="102"/>
      <c r="B604" s="7"/>
      <c r="C604" s="7"/>
      <c r="D604" s="102"/>
      <c r="E604" s="102"/>
      <c r="F604" s="102"/>
    </row>
    <row r="605" spans="1:6" ht="13">
      <c r="A605" s="102"/>
      <c r="B605" s="7"/>
      <c r="C605" s="7"/>
      <c r="D605" s="102"/>
      <c r="E605" s="102"/>
      <c r="F605" s="102"/>
    </row>
    <row r="606" spans="1:6" ht="13">
      <c r="A606" s="102"/>
      <c r="B606" s="7"/>
      <c r="C606" s="7"/>
      <c r="D606" s="102"/>
      <c r="E606" s="102"/>
      <c r="F606" s="102"/>
    </row>
    <row r="607" spans="1:6" ht="13">
      <c r="A607" s="102"/>
      <c r="B607" s="7"/>
      <c r="C607" s="7"/>
      <c r="D607" s="102"/>
      <c r="E607" s="102"/>
      <c r="F607" s="102"/>
    </row>
    <row r="608" spans="1:6" ht="13">
      <c r="A608" s="102"/>
      <c r="B608" s="7"/>
      <c r="C608" s="7"/>
      <c r="D608" s="102"/>
      <c r="E608" s="102"/>
      <c r="F608" s="102"/>
    </row>
    <row r="609" spans="1:6" ht="13">
      <c r="A609" s="102"/>
      <c r="B609" s="7"/>
      <c r="C609" s="7"/>
      <c r="D609" s="102"/>
      <c r="E609" s="102"/>
      <c r="F609" s="102"/>
    </row>
    <row r="610" spans="1:6" ht="13">
      <c r="A610" s="102"/>
      <c r="B610" s="7"/>
      <c r="C610" s="7"/>
      <c r="D610" s="102"/>
      <c r="E610" s="102"/>
      <c r="F610" s="102"/>
    </row>
    <row r="611" spans="1:6" ht="13">
      <c r="A611" s="102"/>
      <c r="B611" s="7"/>
      <c r="C611" s="7"/>
      <c r="D611" s="102"/>
      <c r="E611" s="102"/>
      <c r="F611" s="102"/>
    </row>
    <row r="612" spans="1:6" ht="13">
      <c r="A612" s="102"/>
      <c r="B612" s="7"/>
      <c r="C612" s="7"/>
      <c r="D612" s="102"/>
      <c r="E612" s="102"/>
      <c r="F612" s="102"/>
    </row>
    <row r="613" spans="1:6" ht="13">
      <c r="A613" s="102"/>
      <c r="B613" s="7"/>
      <c r="C613" s="7"/>
      <c r="D613" s="102"/>
      <c r="E613" s="102"/>
      <c r="F613" s="102"/>
    </row>
    <row r="614" spans="1:6" ht="13">
      <c r="A614" s="102"/>
      <c r="B614" s="7"/>
      <c r="C614" s="7"/>
      <c r="D614" s="102"/>
      <c r="E614" s="102"/>
      <c r="F614" s="102"/>
    </row>
    <row r="615" spans="1:6" ht="13">
      <c r="A615" s="102"/>
      <c r="B615" s="7"/>
      <c r="C615" s="7"/>
      <c r="D615" s="102"/>
      <c r="E615" s="102"/>
      <c r="F615" s="102"/>
    </row>
    <row r="616" spans="1:6" ht="13">
      <c r="A616" s="102"/>
      <c r="B616" s="7"/>
      <c r="C616" s="7"/>
      <c r="D616" s="102"/>
      <c r="E616" s="102"/>
      <c r="F616" s="102"/>
    </row>
    <row r="617" spans="1:6" ht="13">
      <c r="A617" s="102"/>
      <c r="B617" s="7"/>
      <c r="C617" s="7"/>
      <c r="D617" s="102"/>
      <c r="E617" s="102"/>
      <c r="F617" s="102"/>
    </row>
    <row r="618" spans="1:6" ht="13">
      <c r="A618" s="102"/>
      <c r="B618" s="7"/>
      <c r="C618" s="7"/>
      <c r="D618" s="102"/>
      <c r="E618" s="102"/>
      <c r="F618" s="102"/>
    </row>
    <row r="619" spans="1:6" ht="13">
      <c r="A619" s="102"/>
      <c r="B619" s="7"/>
      <c r="C619" s="7"/>
      <c r="D619" s="102"/>
      <c r="E619" s="102"/>
      <c r="F619" s="102"/>
    </row>
    <row r="620" spans="1:6" ht="13">
      <c r="A620" s="102"/>
      <c r="B620" s="7"/>
      <c r="C620" s="7"/>
      <c r="D620" s="102"/>
      <c r="E620" s="102"/>
      <c r="F620" s="102"/>
    </row>
    <row r="621" spans="1:6" ht="13">
      <c r="A621" s="102"/>
      <c r="B621" s="7"/>
      <c r="C621" s="7"/>
      <c r="D621" s="102"/>
      <c r="E621" s="102"/>
      <c r="F621" s="102"/>
    </row>
    <row r="622" spans="1:6" ht="13">
      <c r="A622" s="102"/>
      <c r="B622" s="7"/>
      <c r="C622" s="7"/>
      <c r="D622" s="102"/>
      <c r="E622" s="102"/>
      <c r="F622" s="102"/>
    </row>
    <row r="623" spans="1:6" ht="13">
      <c r="A623" s="102"/>
      <c r="B623" s="7"/>
      <c r="C623" s="7"/>
      <c r="D623" s="102"/>
      <c r="E623" s="102"/>
      <c r="F623" s="102"/>
    </row>
    <row r="624" spans="1:6" ht="13">
      <c r="A624" s="102"/>
      <c r="B624" s="7"/>
      <c r="C624" s="7"/>
      <c r="D624" s="102"/>
      <c r="E624" s="102"/>
      <c r="F624" s="102"/>
    </row>
    <row r="625" spans="1:6" ht="13">
      <c r="A625" s="102"/>
      <c r="B625" s="7"/>
      <c r="C625" s="7"/>
      <c r="D625" s="102"/>
      <c r="E625" s="102"/>
      <c r="F625" s="102"/>
    </row>
    <row r="626" spans="1:6" ht="13">
      <c r="A626" s="102"/>
      <c r="B626" s="7"/>
      <c r="C626" s="7"/>
      <c r="D626" s="102"/>
      <c r="E626" s="102"/>
      <c r="F626" s="102"/>
    </row>
    <row r="627" spans="1:6" ht="13">
      <c r="A627" s="102"/>
      <c r="B627" s="7"/>
      <c r="C627" s="7"/>
      <c r="D627" s="102"/>
      <c r="E627" s="102"/>
      <c r="F627" s="102"/>
    </row>
    <row r="628" spans="1:6" ht="13">
      <c r="A628" s="102"/>
      <c r="B628" s="7"/>
      <c r="C628" s="7"/>
      <c r="D628" s="102"/>
      <c r="E628" s="102"/>
      <c r="F628" s="102"/>
    </row>
    <row r="629" spans="1:6" ht="13">
      <c r="A629" s="102"/>
      <c r="B629" s="7"/>
      <c r="C629" s="7"/>
      <c r="D629" s="102"/>
      <c r="E629" s="102"/>
      <c r="F629" s="102"/>
    </row>
    <row r="630" spans="1:6" ht="13">
      <c r="A630" s="102"/>
      <c r="B630" s="7"/>
      <c r="C630" s="7"/>
      <c r="D630" s="102"/>
      <c r="E630" s="102"/>
      <c r="F630" s="102"/>
    </row>
    <row r="631" spans="1:6" ht="13">
      <c r="A631" s="102"/>
      <c r="B631" s="7"/>
      <c r="C631" s="7"/>
      <c r="D631" s="102"/>
      <c r="E631" s="102"/>
      <c r="F631" s="102"/>
    </row>
    <row r="632" spans="1:6" ht="13">
      <c r="A632" s="102"/>
      <c r="B632" s="7"/>
      <c r="C632" s="7"/>
      <c r="D632" s="102"/>
      <c r="E632" s="102"/>
      <c r="F632" s="102"/>
    </row>
    <row r="633" spans="1:6" ht="13">
      <c r="A633" s="102"/>
      <c r="B633" s="7"/>
      <c r="C633" s="7"/>
      <c r="D633" s="102"/>
      <c r="E633" s="102"/>
      <c r="F633" s="102"/>
    </row>
    <row r="634" spans="1:6" ht="13">
      <c r="A634" s="102"/>
      <c r="B634" s="7"/>
      <c r="C634" s="7"/>
      <c r="D634" s="102"/>
      <c r="E634" s="102"/>
      <c r="F634" s="102"/>
    </row>
    <row r="635" spans="1:6" ht="13">
      <c r="A635" s="102"/>
      <c r="B635" s="7"/>
      <c r="C635" s="7"/>
      <c r="D635" s="102"/>
      <c r="E635" s="102"/>
      <c r="F635" s="102"/>
    </row>
    <row r="636" spans="1:6" ht="13">
      <c r="A636" s="102"/>
      <c r="B636" s="7"/>
      <c r="C636" s="7"/>
      <c r="D636" s="102"/>
      <c r="E636" s="102"/>
      <c r="F636" s="102"/>
    </row>
    <row r="637" spans="1:6" ht="13">
      <c r="A637" s="102"/>
      <c r="B637" s="7"/>
      <c r="C637" s="7"/>
      <c r="D637" s="102"/>
      <c r="E637" s="102"/>
      <c r="F637" s="102"/>
    </row>
    <row r="638" spans="1:6" ht="13">
      <c r="A638" s="102"/>
      <c r="B638" s="7"/>
      <c r="C638" s="7"/>
      <c r="D638" s="102"/>
      <c r="E638" s="102"/>
      <c r="F638" s="102"/>
    </row>
    <row r="639" spans="1:6" ht="13">
      <c r="A639" s="102"/>
      <c r="B639" s="7"/>
      <c r="C639" s="7"/>
      <c r="D639" s="102"/>
      <c r="E639" s="102"/>
      <c r="F639" s="102"/>
    </row>
    <row r="640" spans="1:6" ht="13">
      <c r="A640" s="102"/>
      <c r="B640" s="7"/>
      <c r="C640" s="7"/>
      <c r="D640" s="102"/>
      <c r="E640" s="102"/>
      <c r="F640" s="102"/>
    </row>
    <row r="641" spans="1:6" ht="13">
      <c r="A641" s="102"/>
      <c r="B641" s="7"/>
      <c r="C641" s="7"/>
      <c r="D641" s="102"/>
      <c r="E641" s="102"/>
      <c r="F641" s="102"/>
    </row>
    <row r="642" spans="1:6" ht="13">
      <c r="A642" s="102"/>
      <c r="B642" s="7"/>
      <c r="C642" s="7"/>
      <c r="D642" s="102"/>
      <c r="E642" s="102"/>
      <c r="F642" s="102"/>
    </row>
    <row r="643" spans="1:6" ht="13">
      <c r="A643" s="102"/>
      <c r="B643" s="7"/>
      <c r="C643" s="7"/>
      <c r="D643" s="102"/>
      <c r="E643" s="102"/>
      <c r="F643" s="102"/>
    </row>
    <row r="644" spans="1:6" ht="13">
      <c r="A644" s="102"/>
      <c r="B644" s="7"/>
      <c r="C644" s="7"/>
      <c r="D644" s="102"/>
      <c r="E644" s="102"/>
      <c r="F644" s="102"/>
    </row>
    <row r="645" spans="1:6" ht="13">
      <c r="A645" s="102"/>
      <c r="B645" s="7"/>
      <c r="C645" s="7"/>
      <c r="D645" s="102"/>
      <c r="E645" s="102"/>
      <c r="F645" s="102"/>
    </row>
    <row r="646" spans="1:6" ht="13">
      <c r="A646" s="102"/>
      <c r="B646" s="7"/>
      <c r="C646" s="7"/>
      <c r="D646" s="102"/>
      <c r="E646" s="102"/>
      <c r="F646" s="102"/>
    </row>
    <row r="647" spans="1:6" ht="13">
      <c r="A647" s="102"/>
      <c r="B647" s="7"/>
      <c r="C647" s="7"/>
      <c r="D647" s="102"/>
      <c r="E647" s="102"/>
      <c r="F647" s="102"/>
    </row>
    <row r="648" spans="1:6" ht="13">
      <c r="A648" s="102"/>
      <c r="B648" s="7"/>
      <c r="C648" s="7"/>
      <c r="D648" s="102"/>
      <c r="E648" s="102"/>
      <c r="F648" s="102"/>
    </row>
    <row r="649" spans="1:6" ht="13">
      <c r="A649" s="102"/>
      <c r="B649" s="7"/>
      <c r="C649" s="7"/>
      <c r="D649" s="102"/>
      <c r="E649" s="102"/>
      <c r="F649" s="102"/>
    </row>
    <row r="650" spans="1:6" ht="13">
      <c r="A650" s="102"/>
      <c r="B650" s="7"/>
      <c r="C650" s="7"/>
      <c r="D650" s="102"/>
      <c r="E650" s="102"/>
      <c r="F650" s="102"/>
    </row>
    <row r="651" spans="1:6" ht="13">
      <c r="A651" s="102"/>
      <c r="B651" s="7"/>
      <c r="C651" s="7"/>
      <c r="D651" s="102"/>
      <c r="E651" s="102"/>
      <c r="F651" s="102"/>
    </row>
    <row r="652" spans="1:6" ht="13">
      <c r="A652" s="102"/>
      <c r="B652" s="7"/>
      <c r="C652" s="7"/>
      <c r="D652" s="102"/>
      <c r="E652" s="102"/>
      <c r="F652" s="102"/>
    </row>
    <row r="653" spans="1:6" ht="13">
      <c r="A653" s="102"/>
      <c r="B653" s="7"/>
      <c r="C653" s="7"/>
      <c r="D653" s="102"/>
      <c r="E653" s="102"/>
      <c r="F653" s="102"/>
    </row>
    <row r="654" spans="1:6" ht="13">
      <c r="A654" s="102"/>
      <c r="B654" s="7"/>
      <c r="C654" s="7"/>
      <c r="D654" s="102"/>
      <c r="E654" s="102"/>
      <c r="F654" s="102"/>
    </row>
    <row r="655" spans="1:6" ht="13">
      <c r="A655" s="102"/>
      <c r="B655" s="7"/>
      <c r="C655" s="7"/>
      <c r="D655" s="102"/>
      <c r="E655" s="102"/>
      <c r="F655" s="102"/>
    </row>
    <row r="656" spans="1:6" ht="13">
      <c r="A656" s="102"/>
      <c r="B656" s="7"/>
      <c r="C656" s="7"/>
      <c r="D656" s="102"/>
      <c r="E656" s="102"/>
      <c r="F656" s="102"/>
    </row>
    <row r="657" spans="1:6" ht="13">
      <c r="A657" s="102"/>
      <c r="B657" s="7"/>
      <c r="C657" s="7"/>
      <c r="D657" s="102"/>
      <c r="E657" s="102"/>
      <c r="F657" s="102"/>
    </row>
    <row r="658" spans="1:6" ht="13">
      <c r="A658" s="102"/>
      <c r="B658" s="7"/>
      <c r="C658" s="7"/>
      <c r="D658" s="102"/>
      <c r="E658" s="102"/>
      <c r="F658" s="102"/>
    </row>
    <row r="659" spans="1:6" ht="13">
      <c r="A659" s="102"/>
      <c r="B659" s="7"/>
      <c r="C659" s="7"/>
      <c r="D659" s="102"/>
      <c r="E659" s="102"/>
      <c r="F659" s="102"/>
    </row>
    <row r="660" spans="1:6" ht="13">
      <c r="A660" s="102"/>
      <c r="B660" s="7"/>
      <c r="C660" s="7"/>
      <c r="D660" s="102"/>
      <c r="E660" s="102"/>
      <c r="F660" s="102"/>
    </row>
    <row r="661" spans="1:6" ht="13">
      <c r="A661" s="102"/>
      <c r="B661" s="7"/>
      <c r="C661" s="7"/>
      <c r="D661" s="102"/>
      <c r="E661" s="102"/>
      <c r="F661" s="102"/>
    </row>
    <row r="662" spans="1:6" ht="13">
      <c r="A662" s="102"/>
      <c r="B662" s="7"/>
      <c r="C662" s="7"/>
      <c r="D662" s="102"/>
      <c r="E662" s="102"/>
      <c r="F662" s="102"/>
    </row>
    <row r="663" spans="1:6" ht="13">
      <c r="A663" s="102"/>
      <c r="B663" s="7"/>
      <c r="C663" s="7"/>
      <c r="D663" s="102"/>
      <c r="E663" s="102"/>
      <c r="F663" s="102"/>
    </row>
    <row r="664" spans="1:6" ht="13">
      <c r="A664" s="102"/>
      <c r="B664" s="7"/>
      <c r="C664" s="7"/>
      <c r="D664" s="102"/>
      <c r="E664" s="102"/>
      <c r="F664" s="102"/>
    </row>
    <row r="665" spans="1:6" ht="13">
      <c r="A665" s="102"/>
      <c r="B665" s="7"/>
      <c r="C665" s="7"/>
      <c r="D665" s="102"/>
      <c r="E665" s="102"/>
      <c r="F665" s="102"/>
    </row>
    <row r="666" spans="1:6" ht="13">
      <c r="A666" s="102"/>
      <c r="B666" s="7"/>
      <c r="C666" s="7"/>
      <c r="D666" s="102"/>
      <c r="E666" s="102"/>
      <c r="F666" s="102"/>
    </row>
    <row r="667" spans="1:6" ht="13">
      <c r="A667" s="102"/>
      <c r="B667" s="7"/>
      <c r="C667" s="7"/>
      <c r="D667" s="102"/>
      <c r="E667" s="102"/>
      <c r="F667" s="102"/>
    </row>
    <row r="668" spans="1:6" ht="13">
      <c r="A668" s="102"/>
      <c r="B668" s="7"/>
      <c r="C668" s="7"/>
      <c r="D668" s="102"/>
      <c r="E668" s="102"/>
      <c r="F668" s="102"/>
    </row>
    <row r="669" spans="1:6" ht="13">
      <c r="A669" s="102"/>
      <c r="B669" s="7"/>
      <c r="C669" s="7"/>
      <c r="D669" s="102"/>
      <c r="E669" s="102"/>
      <c r="F669" s="102"/>
    </row>
    <row r="670" spans="1:6" ht="13">
      <c r="A670" s="102"/>
      <c r="B670" s="7"/>
      <c r="C670" s="7"/>
      <c r="D670" s="102"/>
      <c r="E670" s="102"/>
      <c r="F670" s="102"/>
    </row>
    <row r="671" spans="1:6" ht="13">
      <c r="A671" s="102"/>
      <c r="B671" s="7"/>
      <c r="C671" s="7"/>
      <c r="D671" s="102"/>
      <c r="E671" s="102"/>
      <c r="F671" s="102"/>
    </row>
    <row r="672" spans="1:6" ht="13">
      <c r="A672" s="102"/>
      <c r="B672" s="7"/>
      <c r="C672" s="7"/>
      <c r="D672" s="102"/>
      <c r="E672" s="102"/>
      <c r="F672" s="102"/>
    </row>
    <row r="673" spans="1:6" ht="13">
      <c r="A673" s="102"/>
      <c r="B673" s="7"/>
      <c r="C673" s="7"/>
      <c r="D673" s="102"/>
      <c r="E673" s="102"/>
      <c r="F673" s="102"/>
    </row>
    <row r="674" spans="1:6" ht="13">
      <c r="A674" s="102"/>
      <c r="B674" s="7"/>
      <c r="C674" s="7"/>
      <c r="D674" s="102"/>
      <c r="E674" s="102"/>
      <c r="F674" s="102"/>
    </row>
    <row r="675" spans="1:6" ht="13">
      <c r="A675" s="102"/>
      <c r="B675" s="7"/>
      <c r="C675" s="7"/>
      <c r="D675" s="102"/>
      <c r="E675" s="102"/>
      <c r="F675" s="102"/>
    </row>
    <row r="676" spans="1:6" ht="13">
      <c r="A676" s="102"/>
      <c r="B676" s="7"/>
      <c r="C676" s="7"/>
      <c r="D676" s="102"/>
      <c r="E676" s="102"/>
      <c r="F676" s="102"/>
    </row>
    <row r="677" spans="1:6" ht="13">
      <c r="A677" s="102"/>
      <c r="B677" s="7"/>
      <c r="C677" s="7"/>
      <c r="D677" s="102"/>
      <c r="E677" s="102"/>
      <c r="F677" s="102"/>
    </row>
    <row r="678" spans="1:6" ht="13">
      <c r="A678" s="102"/>
      <c r="B678" s="7"/>
      <c r="C678" s="7"/>
      <c r="D678" s="102"/>
      <c r="E678" s="102"/>
      <c r="F678" s="102"/>
    </row>
    <row r="679" spans="1:6" ht="13">
      <c r="A679" s="102"/>
      <c r="B679" s="7"/>
      <c r="C679" s="7"/>
      <c r="D679" s="102"/>
      <c r="E679" s="102"/>
      <c r="F679" s="102"/>
    </row>
    <row r="680" spans="1:6" ht="13">
      <c r="A680" s="102"/>
      <c r="B680" s="7"/>
      <c r="C680" s="7"/>
      <c r="D680" s="102"/>
      <c r="E680" s="102"/>
      <c r="F680" s="102"/>
    </row>
    <row r="681" spans="1:6" ht="13">
      <c r="A681" s="102"/>
      <c r="B681" s="7"/>
      <c r="C681" s="7"/>
      <c r="D681" s="102"/>
      <c r="E681" s="102"/>
      <c r="F681" s="102"/>
    </row>
    <row r="682" spans="1:6" ht="13">
      <c r="A682" s="102"/>
      <c r="B682" s="7"/>
      <c r="C682" s="7"/>
      <c r="D682" s="102"/>
      <c r="E682" s="102"/>
      <c r="F682" s="102"/>
    </row>
    <row r="683" spans="1:6" ht="13">
      <c r="A683" s="102"/>
      <c r="B683" s="7"/>
      <c r="C683" s="7"/>
      <c r="D683" s="102"/>
      <c r="E683" s="102"/>
      <c r="F683" s="102"/>
    </row>
    <row r="684" spans="1:6" ht="13">
      <c r="A684" s="102"/>
      <c r="B684" s="7"/>
      <c r="C684" s="7"/>
      <c r="D684" s="102"/>
      <c r="E684" s="102"/>
      <c r="F684" s="102"/>
    </row>
    <row r="685" spans="1:6" ht="13">
      <c r="A685" s="102"/>
      <c r="B685" s="7"/>
      <c r="C685" s="7"/>
      <c r="D685" s="102"/>
      <c r="E685" s="102"/>
      <c r="F685" s="102"/>
    </row>
    <row r="686" spans="1:6" ht="13">
      <c r="A686" s="102"/>
      <c r="B686" s="7"/>
      <c r="C686" s="7"/>
      <c r="D686" s="102"/>
      <c r="E686" s="102"/>
      <c r="F686" s="102"/>
    </row>
    <row r="687" spans="1:6" ht="13">
      <c r="A687" s="102"/>
      <c r="B687" s="7"/>
      <c r="C687" s="7"/>
      <c r="D687" s="102"/>
      <c r="E687" s="102"/>
      <c r="F687" s="102"/>
    </row>
    <row r="688" spans="1:6" ht="13">
      <c r="A688" s="102"/>
      <c r="B688" s="7"/>
      <c r="C688" s="7"/>
      <c r="D688" s="102"/>
      <c r="E688" s="102"/>
      <c r="F688" s="102"/>
    </row>
    <row r="689" spans="1:6" ht="13">
      <c r="A689" s="102"/>
      <c r="B689" s="7"/>
      <c r="C689" s="7"/>
      <c r="D689" s="102"/>
      <c r="E689" s="102"/>
      <c r="F689" s="102"/>
    </row>
    <row r="690" spans="1:6" ht="13">
      <c r="A690" s="102"/>
      <c r="B690" s="7"/>
      <c r="C690" s="7"/>
      <c r="D690" s="102"/>
      <c r="E690" s="102"/>
      <c r="F690" s="102"/>
    </row>
    <row r="691" spans="1:6" ht="13">
      <c r="A691" s="102"/>
      <c r="B691" s="7"/>
      <c r="C691" s="7"/>
      <c r="D691" s="102"/>
      <c r="E691" s="102"/>
      <c r="F691" s="102"/>
    </row>
    <row r="692" spans="1:6" ht="13">
      <c r="A692" s="102"/>
      <c r="B692" s="7"/>
      <c r="C692" s="7"/>
      <c r="D692" s="102"/>
      <c r="E692" s="102"/>
      <c r="F692" s="102"/>
    </row>
    <row r="693" spans="1:6" ht="13">
      <c r="A693" s="102"/>
      <c r="B693" s="7"/>
      <c r="C693" s="7"/>
      <c r="D693" s="102"/>
      <c r="E693" s="102"/>
      <c r="F693" s="102"/>
    </row>
    <row r="694" spans="1:6" ht="13">
      <c r="A694" s="102"/>
      <c r="B694" s="7"/>
      <c r="C694" s="7"/>
      <c r="D694" s="102"/>
      <c r="E694" s="102"/>
      <c r="F694" s="102"/>
    </row>
    <row r="695" spans="1:6" ht="13">
      <c r="A695" s="102"/>
      <c r="B695" s="7"/>
      <c r="C695" s="7"/>
      <c r="D695" s="102"/>
      <c r="E695" s="102"/>
      <c r="F695" s="102"/>
    </row>
    <row r="696" spans="1:6" ht="13">
      <c r="A696" s="102"/>
      <c r="B696" s="7"/>
      <c r="C696" s="7"/>
      <c r="D696" s="102"/>
      <c r="E696" s="102"/>
      <c r="F696" s="102"/>
    </row>
    <row r="697" spans="1:6" ht="13">
      <c r="A697" s="102"/>
      <c r="B697" s="7"/>
      <c r="C697" s="7"/>
      <c r="D697" s="102"/>
      <c r="E697" s="102"/>
      <c r="F697" s="102"/>
    </row>
    <row r="698" spans="1:6" ht="13">
      <c r="A698" s="102"/>
      <c r="B698" s="7"/>
      <c r="C698" s="7"/>
      <c r="D698" s="102"/>
      <c r="E698" s="102"/>
      <c r="F698" s="102"/>
    </row>
    <row r="699" spans="1:6" ht="13">
      <c r="A699" s="102"/>
      <c r="B699" s="7"/>
      <c r="C699" s="7"/>
      <c r="D699" s="102"/>
      <c r="E699" s="102"/>
      <c r="F699" s="102"/>
    </row>
    <row r="700" spans="1:6" ht="13">
      <c r="A700" s="102"/>
      <c r="B700" s="7"/>
      <c r="C700" s="7"/>
      <c r="D700" s="102"/>
      <c r="E700" s="102"/>
      <c r="F700" s="102"/>
    </row>
    <row r="701" spans="1:6" ht="13">
      <c r="A701" s="102"/>
      <c r="B701" s="7"/>
      <c r="C701" s="7"/>
      <c r="D701" s="102"/>
      <c r="E701" s="102"/>
      <c r="F701" s="102"/>
    </row>
    <row r="702" spans="1:6" ht="13">
      <c r="A702" s="102"/>
      <c r="B702" s="7"/>
      <c r="C702" s="7"/>
      <c r="D702" s="102"/>
      <c r="E702" s="102"/>
      <c r="F702" s="102"/>
    </row>
    <row r="703" spans="1:6" ht="13">
      <c r="A703" s="102"/>
      <c r="B703" s="7"/>
      <c r="C703" s="7"/>
      <c r="D703" s="102"/>
      <c r="E703" s="102"/>
      <c r="F703" s="102"/>
    </row>
    <row r="704" spans="1:6" ht="13">
      <c r="A704" s="102"/>
      <c r="B704" s="7"/>
      <c r="C704" s="7"/>
      <c r="D704" s="102"/>
      <c r="E704" s="102"/>
      <c r="F704" s="102"/>
    </row>
    <row r="705" spans="1:6" ht="13">
      <c r="A705" s="102"/>
      <c r="B705" s="7"/>
      <c r="C705" s="7"/>
      <c r="D705" s="102"/>
      <c r="E705" s="102"/>
      <c r="F705" s="102"/>
    </row>
    <row r="706" spans="1:6" ht="13">
      <c r="A706" s="102"/>
      <c r="B706" s="7"/>
      <c r="C706" s="7"/>
      <c r="D706" s="102"/>
      <c r="E706" s="102"/>
      <c r="F706" s="102"/>
    </row>
    <row r="707" spans="1:6" ht="13">
      <c r="A707" s="102"/>
      <c r="B707" s="7"/>
      <c r="C707" s="7"/>
      <c r="D707" s="102"/>
      <c r="E707" s="102"/>
      <c r="F707" s="102"/>
    </row>
    <row r="708" spans="1:6" ht="13">
      <c r="A708" s="102"/>
      <c r="B708" s="7"/>
      <c r="C708" s="7"/>
      <c r="D708" s="102"/>
      <c r="E708" s="102"/>
      <c r="F708" s="102"/>
    </row>
    <row r="709" spans="1:6" ht="13">
      <c r="A709" s="102"/>
      <c r="B709" s="7"/>
      <c r="C709" s="7"/>
      <c r="D709" s="102"/>
      <c r="E709" s="102"/>
      <c r="F709" s="102"/>
    </row>
    <row r="710" spans="1:6" ht="13">
      <c r="A710" s="102"/>
      <c r="B710" s="7"/>
      <c r="C710" s="7"/>
      <c r="D710" s="102"/>
      <c r="E710" s="102"/>
      <c r="F710" s="102"/>
    </row>
    <row r="711" spans="1:6" ht="13">
      <c r="A711" s="102"/>
      <c r="B711" s="7"/>
      <c r="C711" s="7"/>
      <c r="D711" s="102"/>
      <c r="E711" s="102"/>
      <c r="F711" s="102"/>
    </row>
    <row r="712" spans="1:6" ht="13">
      <c r="A712" s="102"/>
      <c r="B712" s="7"/>
      <c r="C712" s="7"/>
      <c r="D712" s="102"/>
      <c r="E712" s="102"/>
      <c r="F712" s="102"/>
    </row>
    <row r="713" spans="1:6" ht="13">
      <c r="A713" s="102"/>
      <c r="B713" s="7"/>
      <c r="C713" s="7"/>
      <c r="D713" s="102"/>
      <c r="E713" s="102"/>
      <c r="F713" s="102"/>
    </row>
    <row r="714" spans="1:6" ht="13">
      <c r="A714" s="102"/>
      <c r="B714" s="7"/>
      <c r="C714" s="7"/>
      <c r="D714" s="102"/>
      <c r="E714" s="102"/>
      <c r="F714" s="102"/>
    </row>
    <row r="715" spans="1:6" ht="13">
      <c r="A715" s="102"/>
      <c r="B715" s="7"/>
      <c r="C715" s="7"/>
      <c r="D715" s="102"/>
      <c r="E715" s="102"/>
      <c r="F715" s="102"/>
    </row>
    <row r="716" spans="1:6" ht="13">
      <c r="A716" s="102"/>
      <c r="B716" s="7"/>
      <c r="C716" s="7"/>
      <c r="D716" s="102"/>
      <c r="E716" s="102"/>
      <c r="F716" s="102"/>
    </row>
    <row r="717" spans="1:6" ht="13">
      <c r="A717" s="102"/>
      <c r="B717" s="7"/>
      <c r="C717" s="7"/>
      <c r="D717" s="102"/>
      <c r="E717" s="102"/>
      <c r="F717" s="102"/>
    </row>
    <row r="718" spans="1:6" ht="13">
      <c r="A718" s="102"/>
      <c r="B718" s="7"/>
      <c r="C718" s="7"/>
      <c r="D718" s="102"/>
      <c r="E718" s="102"/>
      <c r="F718" s="102"/>
    </row>
    <row r="719" spans="1:6" ht="13">
      <c r="A719" s="102"/>
      <c r="B719" s="7"/>
      <c r="C719" s="7"/>
      <c r="D719" s="102"/>
      <c r="E719" s="102"/>
      <c r="F719" s="102"/>
    </row>
    <row r="720" spans="1:6" ht="13">
      <c r="A720" s="102"/>
      <c r="B720" s="7"/>
      <c r="C720" s="7"/>
      <c r="D720" s="102"/>
      <c r="E720" s="102"/>
      <c r="F720" s="102"/>
    </row>
    <row r="721" spans="1:6" ht="13">
      <c r="A721" s="102"/>
      <c r="B721" s="7"/>
      <c r="C721" s="7"/>
      <c r="D721" s="102"/>
      <c r="E721" s="102"/>
      <c r="F721" s="102"/>
    </row>
    <row r="722" spans="1:6" ht="13">
      <c r="A722" s="102"/>
      <c r="B722" s="7"/>
      <c r="C722" s="7"/>
      <c r="D722" s="102"/>
      <c r="E722" s="102"/>
      <c r="F722" s="102"/>
    </row>
    <row r="723" spans="1:6" ht="13">
      <c r="A723" s="102"/>
      <c r="B723" s="7"/>
      <c r="C723" s="7"/>
      <c r="D723" s="102"/>
      <c r="E723" s="102"/>
      <c r="F723" s="102"/>
    </row>
    <row r="724" spans="1:6" ht="13">
      <c r="A724" s="102"/>
      <c r="B724" s="7"/>
      <c r="C724" s="7"/>
      <c r="D724" s="102"/>
      <c r="E724" s="102"/>
      <c r="F724" s="102"/>
    </row>
    <row r="725" spans="1:6" ht="13">
      <c r="A725" s="102"/>
      <c r="B725" s="7"/>
      <c r="C725" s="7"/>
      <c r="D725" s="102"/>
      <c r="E725" s="102"/>
      <c r="F725" s="102"/>
    </row>
    <row r="726" spans="1:6" ht="13">
      <c r="A726" s="102"/>
      <c r="B726" s="7"/>
      <c r="C726" s="7"/>
      <c r="D726" s="102"/>
      <c r="E726" s="102"/>
      <c r="F726" s="102"/>
    </row>
    <row r="727" spans="1:6" ht="13">
      <c r="A727" s="102"/>
      <c r="B727" s="7"/>
      <c r="C727" s="7"/>
      <c r="D727" s="102"/>
      <c r="E727" s="102"/>
      <c r="F727" s="102"/>
    </row>
    <row r="728" spans="1:6" ht="13">
      <c r="A728" s="102"/>
      <c r="B728" s="7"/>
      <c r="C728" s="7"/>
      <c r="D728" s="102"/>
      <c r="E728" s="102"/>
      <c r="F728" s="102"/>
    </row>
    <row r="729" spans="1:6" ht="13">
      <c r="A729" s="102"/>
      <c r="B729" s="7"/>
      <c r="C729" s="7"/>
      <c r="D729" s="102"/>
      <c r="E729" s="102"/>
      <c r="F729" s="102"/>
    </row>
    <row r="730" spans="1:6" ht="13">
      <c r="A730" s="102"/>
      <c r="B730" s="7"/>
      <c r="C730" s="7"/>
      <c r="D730" s="102"/>
      <c r="E730" s="102"/>
      <c r="F730" s="102"/>
    </row>
    <row r="731" spans="1:6" ht="13">
      <c r="A731" s="102"/>
      <c r="B731" s="7"/>
      <c r="C731" s="7"/>
      <c r="D731" s="102"/>
      <c r="E731" s="102"/>
      <c r="F731" s="102"/>
    </row>
    <row r="732" spans="1:6" ht="13">
      <c r="A732" s="102"/>
      <c r="B732" s="7"/>
      <c r="C732" s="7"/>
      <c r="D732" s="102"/>
      <c r="E732" s="102"/>
      <c r="F732" s="102"/>
    </row>
    <row r="733" spans="1:6" ht="13">
      <c r="A733" s="102"/>
      <c r="B733" s="7"/>
      <c r="C733" s="7"/>
      <c r="D733" s="102"/>
      <c r="E733" s="102"/>
      <c r="F733" s="102"/>
    </row>
    <row r="734" spans="1:6" ht="13">
      <c r="A734" s="102"/>
      <c r="B734" s="7"/>
      <c r="C734" s="7"/>
      <c r="D734" s="102"/>
      <c r="E734" s="102"/>
      <c r="F734" s="102"/>
    </row>
    <row r="735" spans="1:6" ht="13">
      <c r="A735" s="102"/>
      <c r="B735" s="7"/>
      <c r="C735" s="7"/>
      <c r="D735" s="102"/>
      <c r="E735" s="102"/>
      <c r="F735" s="102"/>
    </row>
    <row r="736" spans="1:6" ht="13">
      <c r="A736" s="102"/>
      <c r="B736" s="7"/>
      <c r="C736" s="7"/>
      <c r="D736" s="102"/>
      <c r="E736" s="102"/>
      <c r="F736" s="102"/>
    </row>
    <row r="737" spans="1:6" ht="13">
      <c r="A737" s="102"/>
      <c r="B737" s="7"/>
      <c r="C737" s="7"/>
      <c r="D737" s="102"/>
      <c r="E737" s="102"/>
      <c r="F737" s="102"/>
    </row>
    <row r="738" spans="1:6" ht="13">
      <c r="A738" s="102"/>
      <c r="B738" s="7"/>
      <c r="C738" s="7"/>
      <c r="D738" s="102"/>
      <c r="E738" s="102"/>
      <c r="F738" s="102"/>
    </row>
    <row r="739" spans="1:6" ht="13">
      <c r="A739" s="102"/>
      <c r="B739" s="7"/>
      <c r="C739" s="7"/>
      <c r="D739" s="102"/>
      <c r="E739" s="102"/>
      <c r="F739" s="102"/>
    </row>
    <row r="740" spans="1:6" ht="13">
      <c r="A740" s="102"/>
      <c r="B740" s="7"/>
      <c r="C740" s="7"/>
      <c r="D740" s="102"/>
      <c r="E740" s="102"/>
      <c r="F740" s="102"/>
    </row>
    <row r="741" spans="1:6" ht="13">
      <c r="A741" s="102"/>
      <c r="B741" s="7"/>
      <c r="C741" s="7"/>
      <c r="D741" s="102"/>
      <c r="E741" s="102"/>
      <c r="F741" s="102"/>
    </row>
    <row r="742" spans="1:6" ht="13">
      <c r="A742" s="102"/>
      <c r="B742" s="7"/>
      <c r="C742" s="7"/>
      <c r="D742" s="102"/>
      <c r="E742" s="102"/>
      <c r="F742" s="102"/>
    </row>
    <row r="743" spans="1:6" ht="13">
      <c r="A743" s="102"/>
      <c r="B743" s="7"/>
      <c r="C743" s="7"/>
      <c r="D743" s="102"/>
      <c r="E743" s="102"/>
      <c r="F743" s="102"/>
    </row>
    <row r="744" spans="1:6" ht="13">
      <c r="A744" s="102"/>
      <c r="B744" s="7"/>
      <c r="C744" s="7"/>
      <c r="D744" s="102"/>
      <c r="E744" s="102"/>
      <c r="F744" s="102"/>
    </row>
    <row r="745" spans="1:6" ht="13">
      <c r="A745" s="102"/>
      <c r="B745" s="7"/>
      <c r="C745" s="7"/>
      <c r="D745" s="102"/>
      <c r="E745" s="102"/>
      <c r="F745" s="102"/>
    </row>
    <row r="746" spans="1:6" ht="13">
      <c r="A746" s="102"/>
      <c r="B746" s="7"/>
      <c r="C746" s="7"/>
      <c r="D746" s="102"/>
      <c r="E746" s="102"/>
      <c r="F746" s="102"/>
    </row>
    <row r="747" spans="1:6" ht="13">
      <c r="A747" s="102"/>
      <c r="B747" s="7"/>
      <c r="C747" s="7"/>
      <c r="D747" s="102"/>
      <c r="E747" s="102"/>
      <c r="F747" s="102"/>
    </row>
    <row r="748" spans="1:6" ht="13">
      <c r="A748" s="102"/>
      <c r="B748" s="7"/>
      <c r="C748" s="7"/>
      <c r="D748" s="102"/>
      <c r="E748" s="102"/>
      <c r="F748" s="102"/>
    </row>
    <row r="749" spans="1:6" ht="13">
      <c r="A749" s="102"/>
      <c r="B749" s="7"/>
      <c r="C749" s="7"/>
      <c r="D749" s="102"/>
      <c r="E749" s="102"/>
      <c r="F749" s="102"/>
    </row>
    <row r="750" spans="1:6" ht="13">
      <c r="A750" s="102"/>
      <c r="B750" s="7"/>
      <c r="C750" s="7"/>
      <c r="D750" s="102"/>
      <c r="E750" s="102"/>
      <c r="F750" s="102"/>
    </row>
    <row r="751" spans="1:6" ht="13">
      <c r="A751" s="102"/>
      <c r="B751" s="7"/>
      <c r="C751" s="7"/>
      <c r="D751" s="102"/>
      <c r="E751" s="102"/>
      <c r="F751" s="102"/>
    </row>
    <row r="752" spans="1:6" ht="13">
      <c r="A752" s="102"/>
      <c r="B752" s="7"/>
      <c r="C752" s="7"/>
      <c r="D752" s="102"/>
      <c r="E752" s="102"/>
      <c r="F752" s="102"/>
    </row>
    <row r="753" spans="1:6" ht="13">
      <c r="A753" s="102"/>
      <c r="B753" s="7"/>
      <c r="C753" s="7"/>
      <c r="D753" s="102"/>
      <c r="E753" s="102"/>
      <c r="F753" s="102"/>
    </row>
    <row r="754" spans="1:6" ht="13">
      <c r="A754" s="102"/>
      <c r="B754" s="7"/>
      <c r="C754" s="7"/>
      <c r="D754" s="102"/>
      <c r="E754" s="102"/>
      <c r="F754" s="102"/>
    </row>
    <row r="755" spans="1:6" ht="13">
      <c r="A755" s="102"/>
      <c r="B755" s="7"/>
      <c r="C755" s="7"/>
      <c r="D755" s="102"/>
      <c r="E755" s="102"/>
      <c r="F755" s="102"/>
    </row>
    <row r="756" spans="1:6" ht="13">
      <c r="A756" s="102"/>
      <c r="B756" s="7"/>
      <c r="C756" s="7"/>
      <c r="D756" s="102"/>
      <c r="E756" s="102"/>
      <c r="F756" s="102"/>
    </row>
    <row r="757" spans="1:6" ht="13">
      <c r="A757" s="102"/>
      <c r="B757" s="7"/>
      <c r="C757" s="7"/>
      <c r="D757" s="102"/>
      <c r="E757" s="102"/>
      <c r="F757" s="102"/>
    </row>
    <row r="758" spans="1:6" ht="13">
      <c r="A758" s="102"/>
      <c r="B758" s="7"/>
      <c r="C758" s="7"/>
      <c r="D758" s="102"/>
      <c r="E758" s="102"/>
      <c r="F758" s="102"/>
    </row>
    <row r="759" spans="1:6" ht="13">
      <c r="A759" s="102"/>
      <c r="B759" s="7"/>
      <c r="C759" s="7"/>
      <c r="D759" s="102"/>
      <c r="E759" s="102"/>
      <c r="F759" s="102"/>
    </row>
    <row r="760" spans="1:6" ht="13">
      <c r="A760" s="102"/>
      <c r="B760" s="7"/>
      <c r="C760" s="7"/>
      <c r="D760" s="102"/>
      <c r="E760" s="102"/>
      <c r="F760" s="102"/>
    </row>
    <row r="761" spans="1:6" ht="13">
      <c r="A761" s="102"/>
      <c r="B761" s="7"/>
      <c r="C761" s="7"/>
      <c r="D761" s="102"/>
      <c r="E761" s="102"/>
      <c r="F761" s="102"/>
    </row>
    <row r="762" spans="1:6" ht="13">
      <c r="A762" s="102"/>
      <c r="B762" s="7"/>
      <c r="C762" s="7"/>
      <c r="D762" s="102"/>
      <c r="E762" s="102"/>
      <c r="F762" s="102"/>
    </row>
    <row r="763" spans="1:6" ht="13">
      <c r="A763" s="102"/>
      <c r="B763" s="7"/>
      <c r="C763" s="7"/>
      <c r="D763" s="102"/>
      <c r="E763" s="102"/>
      <c r="F763" s="102"/>
    </row>
    <row r="764" spans="1:6" ht="13">
      <c r="A764" s="102"/>
      <c r="B764" s="7"/>
      <c r="C764" s="7"/>
      <c r="D764" s="102"/>
      <c r="E764" s="102"/>
      <c r="F764" s="102"/>
    </row>
    <row r="765" spans="1:6" ht="13">
      <c r="A765" s="102"/>
      <c r="B765" s="7"/>
      <c r="C765" s="7"/>
      <c r="D765" s="102"/>
      <c r="E765" s="102"/>
      <c r="F765" s="102"/>
    </row>
    <row r="766" spans="1:6" ht="13">
      <c r="A766" s="102"/>
      <c r="B766" s="7"/>
      <c r="C766" s="7"/>
      <c r="D766" s="102"/>
      <c r="E766" s="102"/>
      <c r="F766" s="102"/>
    </row>
    <row r="767" spans="1:6" ht="13">
      <c r="A767" s="102"/>
      <c r="B767" s="7"/>
      <c r="C767" s="7"/>
      <c r="D767" s="102"/>
      <c r="E767" s="102"/>
      <c r="F767" s="102"/>
    </row>
    <row r="768" spans="1:6" ht="13">
      <c r="A768" s="102"/>
      <c r="B768" s="7"/>
      <c r="C768" s="7"/>
      <c r="D768" s="102"/>
      <c r="E768" s="102"/>
      <c r="F768" s="102"/>
    </row>
    <row r="769" spans="1:6" ht="13">
      <c r="A769" s="102"/>
      <c r="B769" s="7"/>
      <c r="C769" s="7"/>
      <c r="D769" s="102"/>
      <c r="E769" s="102"/>
      <c r="F769" s="102"/>
    </row>
    <row r="770" spans="1:6" ht="13">
      <c r="A770" s="102"/>
      <c r="B770" s="7"/>
      <c r="C770" s="7"/>
      <c r="D770" s="102"/>
      <c r="E770" s="102"/>
      <c r="F770" s="102"/>
    </row>
    <row r="771" spans="1:6" ht="13">
      <c r="A771" s="102"/>
      <c r="B771" s="7"/>
      <c r="C771" s="7"/>
      <c r="D771" s="102"/>
      <c r="E771" s="102"/>
      <c r="F771" s="102"/>
    </row>
    <row r="772" spans="1:6" ht="13">
      <c r="A772" s="102"/>
      <c r="B772" s="7"/>
      <c r="C772" s="7"/>
      <c r="D772" s="102"/>
      <c r="E772" s="102"/>
      <c r="F772" s="102"/>
    </row>
    <row r="773" spans="1:6" ht="13">
      <c r="A773" s="102"/>
      <c r="B773" s="7"/>
      <c r="C773" s="7"/>
      <c r="D773" s="102"/>
      <c r="E773" s="102"/>
      <c r="F773" s="102"/>
    </row>
    <row r="774" spans="1:6" ht="13">
      <c r="A774" s="102"/>
      <c r="B774" s="7"/>
      <c r="C774" s="7"/>
      <c r="D774" s="102"/>
      <c r="E774" s="102"/>
      <c r="F774" s="102"/>
    </row>
    <row r="775" spans="1:6" ht="13">
      <c r="A775" s="102"/>
      <c r="B775" s="7"/>
      <c r="C775" s="7"/>
      <c r="D775" s="102"/>
      <c r="E775" s="102"/>
      <c r="F775" s="102"/>
    </row>
    <row r="776" spans="1:6" ht="13">
      <c r="A776" s="102"/>
      <c r="B776" s="7"/>
      <c r="C776" s="7"/>
      <c r="D776" s="102"/>
      <c r="E776" s="102"/>
      <c r="F776" s="102"/>
    </row>
    <row r="777" spans="1:6" ht="13">
      <c r="A777" s="102"/>
      <c r="B777" s="7"/>
      <c r="C777" s="7"/>
      <c r="D777" s="102"/>
      <c r="E777" s="102"/>
      <c r="F777" s="102"/>
    </row>
    <row r="778" spans="1:6" ht="13">
      <c r="A778" s="102"/>
      <c r="B778" s="7"/>
      <c r="C778" s="7"/>
      <c r="D778" s="102"/>
      <c r="E778" s="102"/>
      <c r="F778" s="102"/>
    </row>
    <row r="779" spans="1:6" ht="13">
      <c r="A779" s="102"/>
      <c r="B779" s="7"/>
      <c r="C779" s="7"/>
      <c r="D779" s="102"/>
      <c r="E779" s="102"/>
      <c r="F779" s="102"/>
    </row>
    <row r="780" spans="1:6" ht="13">
      <c r="A780" s="102"/>
      <c r="B780" s="7"/>
      <c r="C780" s="7"/>
      <c r="D780" s="102"/>
      <c r="E780" s="102"/>
      <c r="F780" s="102"/>
    </row>
    <row r="781" spans="1:6" ht="13">
      <c r="A781" s="102"/>
      <c r="B781" s="7"/>
      <c r="C781" s="7"/>
      <c r="D781" s="102"/>
      <c r="E781" s="102"/>
      <c r="F781" s="102"/>
    </row>
    <row r="782" spans="1:6" ht="13">
      <c r="A782" s="102"/>
      <c r="B782" s="7"/>
      <c r="C782" s="7"/>
      <c r="D782" s="102"/>
      <c r="E782" s="102"/>
      <c r="F782" s="102"/>
    </row>
    <row r="783" spans="1:6" ht="13">
      <c r="A783" s="102"/>
      <c r="B783" s="7"/>
      <c r="C783" s="7"/>
      <c r="D783" s="102"/>
      <c r="E783" s="102"/>
      <c r="F783" s="102"/>
    </row>
    <row r="784" spans="1:6" ht="13">
      <c r="A784" s="102"/>
      <c r="B784" s="7"/>
      <c r="C784" s="7"/>
      <c r="D784" s="102"/>
      <c r="E784" s="102"/>
      <c r="F784" s="102"/>
    </row>
    <row r="785" spans="1:6" ht="13">
      <c r="A785" s="102"/>
      <c r="B785" s="7"/>
      <c r="C785" s="7"/>
      <c r="D785" s="102"/>
      <c r="E785" s="102"/>
      <c r="F785" s="102"/>
    </row>
    <row r="786" spans="1:6" ht="13">
      <c r="A786" s="102"/>
      <c r="B786" s="7"/>
      <c r="C786" s="7"/>
      <c r="D786" s="102"/>
      <c r="E786" s="102"/>
      <c r="F786" s="102"/>
    </row>
    <row r="787" spans="1:6" ht="13">
      <c r="A787" s="102"/>
      <c r="B787" s="7"/>
      <c r="C787" s="7"/>
      <c r="D787" s="102"/>
      <c r="E787" s="102"/>
      <c r="F787" s="102"/>
    </row>
    <row r="788" spans="1:6" ht="13">
      <c r="A788" s="102"/>
      <c r="B788" s="7"/>
      <c r="C788" s="7"/>
      <c r="D788" s="102"/>
      <c r="E788" s="102"/>
      <c r="F788" s="102"/>
    </row>
    <row r="789" spans="1:6" ht="13">
      <c r="A789" s="102"/>
      <c r="B789" s="7"/>
      <c r="C789" s="7"/>
      <c r="D789" s="102"/>
      <c r="E789" s="102"/>
      <c r="F789" s="102"/>
    </row>
    <row r="790" spans="1:6" ht="13">
      <c r="A790" s="102"/>
      <c r="B790" s="7"/>
      <c r="C790" s="7"/>
      <c r="D790" s="102"/>
      <c r="E790" s="102"/>
      <c r="F790" s="102"/>
    </row>
    <row r="791" spans="1:6" ht="13">
      <c r="A791" s="102"/>
      <c r="B791" s="7"/>
      <c r="C791" s="7"/>
      <c r="D791" s="102"/>
      <c r="E791" s="102"/>
      <c r="F791" s="102"/>
    </row>
    <row r="792" spans="1:6" ht="13">
      <c r="A792" s="102"/>
      <c r="B792" s="7"/>
      <c r="C792" s="7"/>
      <c r="D792" s="102"/>
      <c r="E792" s="102"/>
      <c r="F792" s="102"/>
    </row>
    <row r="793" spans="1:6" ht="13">
      <c r="A793" s="102"/>
      <c r="B793" s="7"/>
      <c r="C793" s="7"/>
      <c r="D793" s="102"/>
      <c r="E793" s="102"/>
      <c r="F793" s="102"/>
    </row>
    <row r="794" spans="1:6" ht="13">
      <c r="A794" s="102"/>
      <c r="B794" s="7"/>
      <c r="C794" s="7"/>
      <c r="D794" s="102"/>
      <c r="E794" s="102"/>
      <c r="F794" s="102"/>
    </row>
    <row r="795" spans="1:6" ht="13">
      <c r="A795" s="102"/>
      <c r="B795" s="7"/>
      <c r="C795" s="7"/>
      <c r="D795" s="102"/>
      <c r="E795" s="102"/>
      <c r="F795" s="102"/>
    </row>
    <row r="796" spans="1:6" ht="13">
      <c r="A796" s="102"/>
      <c r="B796" s="7"/>
      <c r="C796" s="7"/>
      <c r="D796" s="102"/>
      <c r="E796" s="102"/>
      <c r="F796" s="102"/>
    </row>
    <row r="797" spans="1:6" ht="13">
      <c r="A797" s="102"/>
      <c r="B797" s="7"/>
      <c r="C797" s="7"/>
      <c r="D797" s="102"/>
      <c r="E797" s="102"/>
      <c r="F797" s="102"/>
    </row>
    <row r="798" spans="1:6" ht="13">
      <c r="A798" s="102"/>
      <c r="B798" s="7"/>
      <c r="C798" s="7"/>
      <c r="D798" s="102"/>
      <c r="E798" s="102"/>
      <c r="F798" s="102"/>
    </row>
    <row r="799" spans="1:6" ht="13">
      <c r="A799" s="102"/>
      <c r="B799" s="7"/>
      <c r="C799" s="7"/>
      <c r="D799" s="102"/>
      <c r="E799" s="102"/>
      <c r="F799" s="102"/>
    </row>
    <row r="800" spans="1:6" ht="13">
      <c r="A800" s="102"/>
      <c r="B800" s="7"/>
      <c r="C800" s="7"/>
      <c r="D800" s="102"/>
      <c r="E800" s="102"/>
      <c r="F800" s="102"/>
    </row>
    <row r="801" spans="1:6" ht="13">
      <c r="A801" s="102"/>
      <c r="B801" s="7"/>
      <c r="C801" s="7"/>
      <c r="D801" s="102"/>
      <c r="E801" s="102"/>
      <c r="F801" s="102"/>
    </row>
    <row r="802" spans="1:6" ht="13">
      <c r="A802" s="102"/>
      <c r="B802" s="7"/>
      <c r="C802" s="7"/>
      <c r="D802" s="102"/>
      <c r="E802" s="102"/>
      <c r="F802" s="102"/>
    </row>
    <row r="803" spans="1:6" ht="13">
      <c r="A803" s="102"/>
      <c r="B803" s="7"/>
      <c r="C803" s="7"/>
      <c r="D803" s="102"/>
      <c r="E803" s="102"/>
      <c r="F803" s="102"/>
    </row>
    <row r="804" spans="1:6" ht="13">
      <c r="A804" s="102"/>
      <c r="B804" s="7"/>
      <c r="C804" s="7"/>
      <c r="D804" s="102"/>
      <c r="E804" s="102"/>
      <c r="F804" s="102"/>
    </row>
    <row r="805" spans="1:6" ht="13">
      <c r="A805" s="102"/>
      <c r="B805" s="7"/>
      <c r="C805" s="7"/>
      <c r="D805" s="102"/>
      <c r="E805" s="102"/>
      <c r="F805" s="102"/>
    </row>
    <row r="806" spans="1:6" ht="13">
      <c r="A806" s="102"/>
      <c r="B806" s="7"/>
      <c r="C806" s="7"/>
      <c r="D806" s="102"/>
      <c r="E806" s="102"/>
      <c r="F806" s="102"/>
    </row>
    <row r="807" spans="1:6" ht="13">
      <c r="A807" s="102"/>
      <c r="B807" s="7"/>
      <c r="C807" s="7"/>
      <c r="D807" s="102"/>
      <c r="E807" s="102"/>
      <c r="F807" s="102"/>
    </row>
    <row r="808" spans="1:6" ht="13">
      <c r="A808" s="102"/>
      <c r="B808" s="7"/>
      <c r="C808" s="7"/>
      <c r="D808" s="102"/>
      <c r="E808" s="102"/>
      <c r="F808" s="102"/>
    </row>
    <row r="809" spans="1:6" ht="13">
      <c r="A809" s="102"/>
      <c r="B809" s="7"/>
      <c r="C809" s="7"/>
      <c r="D809" s="102"/>
      <c r="E809" s="102"/>
      <c r="F809" s="102"/>
    </row>
    <row r="810" spans="1:6" ht="13">
      <c r="A810" s="102"/>
      <c r="B810" s="7"/>
      <c r="C810" s="7"/>
      <c r="D810" s="102"/>
      <c r="E810" s="102"/>
      <c r="F810" s="102"/>
    </row>
    <row r="811" spans="1:6" ht="13">
      <c r="A811" s="102"/>
      <c r="B811" s="7"/>
      <c r="C811" s="7"/>
      <c r="D811" s="102"/>
      <c r="E811" s="102"/>
      <c r="F811" s="102"/>
    </row>
    <row r="812" spans="1:6" ht="13">
      <c r="A812" s="102"/>
      <c r="B812" s="7"/>
      <c r="C812" s="7"/>
      <c r="D812" s="102"/>
      <c r="E812" s="102"/>
      <c r="F812" s="102"/>
    </row>
    <row r="813" spans="1:6" ht="13">
      <c r="A813" s="102"/>
      <c r="B813" s="7"/>
      <c r="C813" s="7"/>
      <c r="D813" s="102"/>
      <c r="E813" s="102"/>
      <c r="F813" s="102"/>
    </row>
    <row r="814" spans="1:6" ht="13">
      <c r="A814" s="102"/>
      <c r="B814" s="7"/>
      <c r="C814" s="7"/>
      <c r="D814" s="102"/>
      <c r="E814" s="102"/>
      <c r="F814" s="102"/>
    </row>
    <row r="815" spans="1:6" ht="13">
      <c r="A815" s="102"/>
      <c r="B815" s="7"/>
      <c r="C815" s="7"/>
      <c r="D815" s="102"/>
      <c r="E815" s="102"/>
      <c r="F815" s="102"/>
    </row>
    <row r="816" spans="1:6" ht="13">
      <c r="A816" s="102"/>
      <c r="B816" s="7"/>
      <c r="C816" s="7"/>
      <c r="D816" s="102"/>
      <c r="E816" s="102"/>
      <c r="F816" s="102"/>
    </row>
    <row r="817" spans="1:6" ht="13">
      <c r="A817" s="102"/>
      <c r="B817" s="7"/>
      <c r="C817" s="7"/>
      <c r="D817" s="102"/>
      <c r="E817" s="102"/>
      <c r="F817" s="102"/>
    </row>
    <row r="818" spans="1:6" ht="13">
      <c r="A818" s="102"/>
      <c r="B818" s="7"/>
      <c r="C818" s="7"/>
      <c r="D818" s="102"/>
      <c r="E818" s="102"/>
      <c r="F818" s="102"/>
    </row>
    <row r="819" spans="1:6" ht="13">
      <c r="A819" s="102"/>
      <c r="B819" s="7"/>
      <c r="C819" s="7"/>
      <c r="D819" s="102"/>
      <c r="E819" s="102"/>
      <c r="F819" s="102"/>
    </row>
    <row r="820" spans="1:6" ht="13">
      <c r="A820" s="102"/>
      <c r="B820" s="7"/>
      <c r="C820" s="7"/>
      <c r="D820" s="102"/>
      <c r="E820" s="102"/>
      <c r="F820" s="102"/>
    </row>
    <row r="821" spans="1:6" ht="13">
      <c r="A821" s="102"/>
      <c r="B821" s="7"/>
      <c r="C821" s="7"/>
      <c r="D821" s="102"/>
      <c r="E821" s="102"/>
      <c r="F821" s="102"/>
    </row>
    <row r="822" spans="1:6" ht="13">
      <c r="A822" s="102"/>
      <c r="B822" s="7"/>
      <c r="C822" s="7"/>
      <c r="D822" s="102"/>
      <c r="E822" s="102"/>
      <c r="F822" s="102"/>
    </row>
    <row r="823" spans="1:6" ht="13">
      <c r="A823" s="102"/>
      <c r="B823" s="7"/>
      <c r="C823" s="7"/>
      <c r="D823" s="102"/>
      <c r="E823" s="102"/>
      <c r="F823" s="102"/>
    </row>
    <row r="824" spans="1:6" ht="13">
      <c r="A824" s="102"/>
      <c r="B824" s="7"/>
      <c r="C824" s="7"/>
      <c r="D824" s="102"/>
      <c r="E824" s="102"/>
      <c r="F824" s="102"/>
    </row>
    <row r="825" spans="1:6" ht="13">
      <c r="A825" s="102"/>
      <c r="B825" s="7"/>
      <c r="C825" s="7"/>
      <c r="D825" s="102"/>
      <c r="E825" s="102"/>
      <c r="F825" s="102"/>
    </row>
    <row r="826" spans="1:6" ht="13">
      <c r="A826" s="102"/>
      <c r="B826" s="7"/>
      <c r="C826" s="7"/>
      <c r="D826" s="102"/>
      <c r="E826" s="102"/>
      <c r="F826" s="102"/>
    </row>
    <row r="827" spans="1:6" ht="13">
      <c r="A827" s="102"/>
      <c r="B827" s="7"/>
      <c r="C827" s="7"/>
      <c r="D827" s="102"/>
      <c r="E827" s="102"/>
      <c r="F827" s="102"/>
    </row>
    <row r="828" spans="1:6" ht="13">
      <c r="A828" s="102"/>
      <c r="B828" s="7"/>
      <c r="C828" s="7"/>
      <c r="D828" s="102"/>
      <c r="E828" s="102"/>
      <c r="F828" s="102"/>
    </row>
    <row r="829" spans="1:6" ht="13">
      <c r="A829" s="102"/>
      <c r="B829" s="7"/>
      <c r="C829" s="7"/>
      <c r="D829" s="102"/>
      <c r="E829" s="102"/>
      <c r="F829" s="102"/>
    </row>
    <row r="830" spans="1:6" ht="13">
      <c r="A830" s="102"/>
      <c r="B830" s="7"/>
      <c r="C830" s="7"/>
      <c r="D830" s="102"/>
      <c r="E830" s="102"/>
      <c r="F830" s="102"/>
    </row>
    <row r="831" spans="1:6" ht="13">
      <c r="A831" s="102"/>
      <c r="B831" s="7"/>
      <c r="C831" s="7"/>
      <c r="D831" s="102"/>
      <c r="E831" s="102"/>
      <c r="F831" s="102"/>
    </row>
    <row r="832" spans="1:6" ht="13">
      <c r="A832" s="102"/>
      <c r="B832" s="7"/>
      <c r="C832" s="7"/>
      <c r="D832" s="102"/>
      <c r="E832" s="102"/>
      <c r="F832" s="102"/>
    </row>
    <row r="833" spans="1:6" ht="13">
      <c r="A833" s="102"/>
      <c r="B833" s="7"/>
      <c r="C833" s="7"/>
      <c r="D833" s="102"/>
      <c r="E833" s="102"/>
      <c r="F833" s="102"/>
    </row>
    <row r="834" spans="1:6" ht="13">
      <c r="A834" s="102"/>
      <c r="B834" s="7"/>
      <c r="C834" s="7"/>
      <c r="D834" s="102"/>
      <c r="E834" s="102"/>
      <c r="F834" s="102"/>
    </row>
    <row r="835" spans="1:6" ht="13">
      <c r="A835" s="102"/>
      <c r="B835" s="7"/>
      <c r="C835" s="7"/>
      <c r="D835" s="102"/>
      <c r="E835" s="102"/>
      <c r="F835" s="102"/>
    </row>
    <row r="836" spans="1:6" ht="13">
      <c r="A836" s="102"/>
      <c r="B836" s="7"/>
      <c r="C836" s="7"/>
      <c r="D836" s="102"/>
      <c r="E836" s="102"/>
      <c r="F836" s="102"/>
    </row>
    <row r="837" spans="1:6" ht="13">
      <c r="A837" s="102"/>
      <c r="B837" s="7"/>
      <c r="C837" s="7"/>
      <c r="D837" s="102"/>
      <c r="E837" s="102"/>
      <c r="F837" s="102"/>
    </row>
    <row r="838" spans="1:6" ht="13">
      <c r="A838" s="102"/>
      <c r="B838" s="7"/>
      <c r="C838" s="7"/>
      <c r="D838" s="102"/>
      <c r="E838" s="102"/>
      <c r="F838" s="102"/>
    </row>
    <row r="839" spans="1:6" ht="13">
      <c r="A839" s="102"/>
      <c r="B839" s="7"/>
      <c r="C839" s="7"/>
      <c r="D839" s="102"/>
      <c r="E839" s="102"/>
      <c r="F839" s="102"/>
    </row>
    <row r="840" spans="1:6" ht="13">
      <c r="A840" s="102"/>
      <c r="B840" s="7"/>
      <c r="C840" s="7"/>
      <c r="D840" s="102"/>
      <c r="E840" s="102"/>
      <c r="F840" s="102"/>
    </row>
    <row r="841" spans="1:6" ht="13">
      <c r="A841" s="102"/>
      <c r="B841" s="7"/>
      <c r="C841" s="7"/>
      <c r="D841" s="102"/>
      <c r="E841" s="102"/>
      <c r="F841" s="102"/>
    </row>
    <row r="842" spans="1:6" ht="13">
      <c r="A842" s="102"/>
      <c r="B842" s="7"/>
      <c r="C842" s="7"/>
      <c r="D842" s="102"/>
      <c r="E842" s="102"/>
      <c r="F842" s="102"/>
    </row>
    <row r="843" spans="1:6" ht="13">
      <c r="A843" s="102"/>
      <c r="B843" s="7"/>
      <c r="C843" s="7"/>
      <c r="D843" s="102"/>
      <c r="E843" s="102"/>
      <c r="F843" s="102"/>
    </row>
    <row r="844" spans="1:6" ht="13">
      <c r="A844" s="102"/>
      <c r="B844" s="7"/>
      <c r="C844" s="7"/>
      <c r="D844" s="102"/>
      <c r="E844" s="102"/>
      <c r="F844" s="102"/>
    </row>
    <row r="845" spans="1:6" ht="13">
      <c r="A845" s="102"/>
      <c r="B845" s="7"/>
      <c r="C845" s="7"/>
      <c r="D845" s="102"/>
      <c r="E845" s="102"/>
      <c r="F845" s="102"/>
    </row>
    <row r="846" spans="1:6" ht="13">
      <c r="A846" s="102"/>
      <c r="B846" s="7"/>
      <c r="C846" s="7"/>
      <c r="D846" s="102"/>
      <c r="E846" s="102"/>
      <c r="F846" s="102"/>
    </row>
    <row r="847" spans="1:6" ht="13">
      <c r="A847" s="102"/>
      <c r="B847" s="7"/>
      <c r="C847" s="7"/>
      <c r="D847" s="102"/>
      <c r="E847" s="102"/>
      <c r="F847" s="102"/>
    </row>
    <row r="848" spans="1:6" ht="13">
      <c r="A848" s="102"/>
      <c r="B848" s="7"/>
      <c r="C848" s="7"/>
      <c r="D848" s="102"/>
      <c r="E848" s="102"/>
      <c r="F848" s="102"/>
    </row>
    <row r="849" spans="1:6" ht="13">
      <c r="A849" s="102"/>
      <c r="B849" s="7"/>
      <c r="C849" s="7"/>
      <c r="D849" s="102"/>
      <c r="E849" s="102"/>
      <c r="F849" s="102"/>
    </row>
    <row r="850" spans="1:6" ht="13">
      <c r="A850" s="102"/>
      <c r="B850" s="7"/>
      <c r="C850" s="7"/>
      <c r="D850" s="102"/>
      <c r="E850" s="102"/>
      <c r="F850" s="102"/>
    </row>
    <row r="851" spans="1:6" ht="13">
      <c r="A851" s="102"/>
      <c r="B851" s="7"/>
      <c r="C851" s="7"/>
      <c r="D851" s="102"/>
      <c r="E851" s="102"/>
      <c r="F851" s="102"/>
    </row>
    <row r="852" spans="1:6" ht="13">
      <c r="A852" s="102"/>
      <c r="B852" s="7"/>
      <c r="C852" s="7"/>
      <c r="D852" s="102"/>
      <c r="E852" s="102"/>
      <c r="F852" s="102"/>
    </row>
    <row r="853" spans="1:6" ht="13">
      <c r="A853" s="102"/>
      <c r="B853" s="7"/>
      <c r="C853" s="7"/>
      <c r="D853" s="102"/>
      <c r="E853" s="102"/>
      <c r="F853" s="102"/>
    </row>
    <row r="854" spans="1:6" ht="13">
      <c r="A854" s="102"/>
      <c r="B854" s="7"/>
      <c r="C854" s="7"/>
      <c r="D854" s="102"/>
      <c r="E854" s="102"/>
      <c r="F854" s="102"/>
    </row>
    <row r="855" spans="1:6" ht="13">
      <c r="A855" s="102"/>
      <c r="B855" s="7"/>
      <c r="C855" s="7"/>
      <c r="D855" s="102"/>
      <c r="E855" s="102"/>
      <c r="F855" s="102"/>
    </row>
    <row r="856" spans="1:6" ht="13">
      <c r="A856" s="102"/>
      <c r="B856" s="7"/>
      <c r="C856" s="7"/>
      <c r="D856" s="102"/>
      <c r="E856" s="102"/>
      <c r="F856" s="102"/>
    </row>
    <row r="857" spans="1:6" ht="13">
      <c r="A857" s="102"/>
      <c r="B857" s="7"/>
      <c r="C857" s="7"/>
      <c r="D857" s="102"/>
      <c r="E857" s="102"/>
      <c r="F857" s="102"/>
    </row>
    <row r="858" spans="1:6" ht="13">
      <c r="A858" s="102"/>
      <c r="B858" s="7"/>
      <c r="C858" s="7"/>
      <c r="D858" s="102"/>
      <c r="E858" s="102"/>
      <c r="F858" s="102"/>
    </row>
    <row r="859" spans="1:6" ht="13">
      <c r="A859" s="102"/>
      <c r="B859" s="7"/>
      <c r="C859" s="7"/>
      <c r="D859" s="102"/>
      <c r="E859" s="102"/>
      <c r="F859" s="102"/>
    </row>
    <row r="860" spans="1:6" ht="13">
      <c r="A860" s="102"/>
      <c r="B860" s="7"/>
      <c r="C860" s="7"/>
      <c r="D860" s="102"/>
      <c r="E860" s="102"/>
      <c r="F860" s="102"/>
    </row>
    <row r="861" spans="1:6" ht="13">
      <c r="A861" s="102"/>
      <c r="B861" s="7"/>
      <c r="C861" s="7"/>
      <c r="D861" s="102"/>
      <c r="E861" s="102"/>
      <c r="F861" s="102"/>
    </row>
    <row r="862" spans="1:6" ht="13">
      <c r="A862" s="102"/>
      <c r="B862" s="7"/>
      <c r="C862" s="7"/>
      <c r="D862" s="102"/>
      <c r="E862" s="102"/>
      <c r="F862" s="102"/>
    </row>
    <row r="863" spans="1:6" ht="13">
      <c r="A863" s="102"/>
      <c r="B863" s="7"/>
      <c r="C863" s="7"/>
      <c r="D863" s="102"/>
      <c r="E863" s="102"/>
      <c r="F863" s="102"/>
    </row>
    <row r="864" spans="1:6" ht="13">
      <c r="A864" s="102"/>
      <c r="B864" s="7"/>
      <c r="C864" s="7"/>
      <c r="D864" s="102"/>
      <c r="E864" s="102"/>
      <c r="F864" s="102"/>
    </row>
    <row r="865" spans="1:6" ht="13">
      <c r="A865" s="102"/>
      <c r="B865" s="7"/>
      <c r="C865" s="7"/>
      <c r="D865" s="102"/>
      <c r="E865" s="102"/>
      <c r="F865" s="102"/>
    </row>
    <row r="866" spans="1:6" ht="13">
      <c r="A866" s="102"/>
      <c r="B866" s="7"/>
      <c r="C866" s="7"/>
      <c r="D866" s="102"/>
      <c r="E866" s="102"/>
      <c r="F866" s="102"/>
    </row>
    <row r="867" spans="1:6" ht="13">
      <c r="A867" s="102"/>
      <c r="B867" s="7"/>
      <c r="C867" s="7"/>
      <c r="D867" s="102"/>
      <c r="E867" s="102"/>
      <c r="F867" s="102"/>
    </row>
    <row r="868" spans="1:6" ht="13">
      <c r="A868" s="102"/>
      <c r="B868" s="7"/>
      <c r="C868" s="7"/>
      <c r="D868" s="102"/>
      <c r="E868" s="102"/>
      <c r="F868" s="102"/>
    </row>
    <row r="869" spans="1:6" ht="13">
      <c r="A869" s="102"/>
      <c r="B869" s="7"/>
      <c r="C869" s="7"/>
      <c r="D869" s="102"/>
      <c r="E869" s="102"/>
      <c r="F869" s="102"/>
    </row>
    <row r="870" spans="1:6" ht="13">
      <c r="A870" s="102"/>
      <c r="B870" s="7"/>
      <c r="C870" s="7"/>
      <c r="D870" s="102"/>
      <c r="E870" s="102"/>
      <c r="F870" s="102"/>
    </row>
    <row r="871" spans="1:6" ht="13">
      <c r="A871" s="102"/>
      <c r="B871" s="7"/>
      <c r="C871" s="7"/>
      <c r="D871" s="102"/>
      <c r="E871" s="102"/>
      <c r="F871" s="102"/>
    </row>
    <row r="872" spans="1:6" ht="13">
      <c r="A872" s="102"/>
      <c r="B872" s="7"/>
      <c r="C872" s="7"/>
      <c r="D872" s="102"/>
      <c r="E872" s="102"/>
      <c r="F872" s="102"/>
    </row>
    <row r="873" spans="1:6" ht="13">
      <c r="A873" s="102"/>
      <c r="B873" s="7"/>
      <c r="C873" s="7"/>
      <c r="D873" s="102"/>
      <c r="E873" s="102"/>
      <c r="F873" s="102"/>
    </row>
    <row r="874" spans="1:6" ht="13">
      <c r="A874" s="102"/>
      <c r="B874" s="7"/>
      <c r="C874" s="7"/>
      <c r="D874" s="102"/>
      <c r="E874" s="102"/>
      <c r="F874" s="102"/>
    </row>
    <row r="875" spans="1:6" ht="13">
      <c r="A875" s="102"/>
      <c r="B875" s="7"/>
      <c r="C875" s="7"/>
      <c r="D875" s="102"/>
      <c r="E875" s="102"/>
      <c r="F875" s="102"/>
    </row>
    <row r="876" spans="1:6" ht="13">
      <c r="A876" s="102"/>
      <c r="B876" s="7"/>
      <c r="C876" s="7"/>
      <c r="D876" s="102"/>
      <c r="E876" s="102"/>
      <c r="F876" s="102"/>
    </row>
    <row r="877" spans="1:6" ht="13">
      <c r="A877" s="102"/>
      <c r="B877" s="7"/>
      <c r="C877" s="7"/>
      <c r="D877" s="102"/>
      <c r="E877" s="102"/>
      <c r="F877" s="102"/>
    </row>
    <row r="878" spans="1:6" ht="13">
      <c r="A878" s="102"/>
      <c r="B878" s="7"/>
      <c r="C878" s="7"/>
      <c r="D878" s="102"/>
      <c r="E878" s="102"/>
      <c r="F878" s="102"/>
    </row>
    <row r="879" spans="1:6" ht="13">
      <c r="A879" s="102"/>
      <c r="B879" s="7"/>
      <c r="C879" s="7"/>
      <c r="D879" s="102"/>
      <c r="E879" s="102"/>
      <c r="F879" s="102"/>
    </row>
    <row r="880" spans="1:6" ht="13">
      <c r="A880" s="102"/>
      <c r="B880" s="7"/>
      <c r="C880" s="7"/>
      <c r="D880" s="102"/>
      <c r="E880" s="102"/>
      <c r="F880" s="102"/>
    </row>
    <row r="881" spans="1:6" ht="13">
      <c r="A881" s="102"/>
      <c r="B881" s="7"/>
      <c r="C881" s="7"/>
      <c r="D881" s="102"/>
      <c r="E881" s="102"/>
      <c r="F881" s="102"/>
    </row>
    <row r="882" spans="1:6" ht="13">
      <c r="A882" s="102"/>
      <c r="B882" s="7"/>
      <c r="C882" s="7"/>
      <c r="D882" s="102"/>
      <c r="E882" s="102"/>
      <c r="F882" s="102"/>
    </row>
    <row r="883" spans="1:6" ht="13">
      <c r="A883" s="102"/>
      <c r="B883" s="7"/>
      <c r="C883" s="7"/>
      <c r="D883" s="102"/>
      <c r="E883" s="102"/>
      <c r="F883" s="102"/>
    </row>
    <row r="884" spans="1:6" ht="13">
      <c r="A884" s="102"/>
      <c r="B884" s="7"/>
      <c r="C884" s="7"/>
      <c r="D884" s="102"/>
      <c r="E884" s="102"/>
      <c r="F884" s="102"/>
    </row>
    <row r="885" spans="1:6" ht="13">
      <c r="A885" s="102"/>
      <c r="B885" s="7"/>
      <c r="C885" s="7"/>
      <c r="D885" s="102"/>
      <c r="E885" s="102"/>
      <c r="F885" s="102"/>
    </row>
    <row r="886" spans="1:6" ht="13">
      <c r="A886" s="102"/>
      <c r="B886" s="7"/>
      <c r="C886" s="7"/>
      <c r="D886" s="102"/>
      <c r="E886" s="102"/>
      <c r="F886" s="102"/>
    </row>
    <row r="887" spans="1:6" ht="13">
      <c r="A887" s="102"/>
      <c r="B887" s="7"/>
      <c r="C887" s="7"/>
      <c r="D887" s="102"/>
      <c r="E887" s="102"/>
      <c r="F887" s="102"/>
    </row>
    <row r="888" spans="1:6" ht="13">
      <c r="A888" s="102"/>
      <c r="B888" s="7"/>
      <c r="C888" s="7"/>
      <c r="D888" s="102"/>
      <c r="E888" s="102"/>
      <c r="F888" s="102"/>
    </row>
    <row r="889" spans="1:6" ht="13">
      <c r="A889" s="102"/>
      <c r="B889" s="7"/>
      <c r="C889" s="7"/>
      <c r="D889" s="102"/>
      <c r="E889" s="102"/>
      <c r="F889" s="102"/>
    </row>
    <row r="890" spans="1:6" ht="13">
      <c r="A890" s="102"/>
      <c r="B890" s="7"/>
      <c r="C890" s="7"/>
      <c r="D890" s="102"/>
      <c r="E890" s="102"/>
      <c r="F890" s="102"/>
    </row>
    <row r="891" spans="1:6" ht="13">
      <c r="A891" s="102"/>
      <c r="B891" s="7"/>
      <c r="C891" s="7"/>
      <c r="D891" s="102"/>
      <c r="E891" s="102"/>
      <c r="F891" s="102"/>
    </row>
    <row r="892" spans="1:6" ht="13">
      <c r="A892" s="102"/>
      <c r="B892" s="7"/>
      <c r="C892" s="7"/>
      <c r="D892" s="102"/>
      <c r="E892" s="102"/>
      <c r="F892" s="102"/>
    </row>
    <row r="893" spans="1:6" ht="13">
      <c r="A893" s="102"/>
      <c r="B893" s="7"/>
      <c r="C893" s="7"/>
      <c r="D893" s="102"/>
      <c r="E893" s="102"/>
      <c r="F893" s="102"/>
    </row>
    <row r="894" spans="1:6" ht="13">
      <c r="A894" s="102"/>
      <c r="B894" s="7"/>
      <c r="C894" s="7"/>
      <c r="D894" s="102"/>
      <c r="E894" s="102"/>
      <c r="F894" s="102"/>
    </row>
    <row r="895" spans="1:6" ht="13">
      <c r="A895" s="102"/>
      <c r="B895" s="7"/>
      <c r="C895" s="7"/>
      <c r="D895" s="102"/>
      <c r="E895" s="102"/>
      <c r="F895" s="102"/>
    </row>
    <row r="896" spans="1:6" ht="13">
      <c r="A896" s="102"/>
      <c r="B896" s="7"/>
      <c r="C896" s="7"/>
      <c r="D896" s="102"/>
      <c r="E896" s="102"/>
      <c r="F896" s="102"/>
    </row>
    <row r="897" spans="1:6" ht="13">
      <c r="A897" s="102"/>
      <c r="B897" s="7"/>
      <c r="C897" s="7"/>
      <c r="D897" s="102"/>
      <c r="E897" s="102"/>
      <c r="F897" s="102"/>
    </row>
    <row r="898" spans="1:6" ht="13">
      <c r="A898" s="102"/>
      <c r="B898" s="7"/>
      <c r="C898" s="7"/>
      <c r="D898" s="102"/>
      <c r="E898" s="102"/>
      <c r="F898" s="102"/>
    </row>
    <row r="899" spans="1:6" ht="13">
      <c r="A899" s="102"/>
      <c r="B899" s="7"/>
      <c r="C899" s="7"/>
      <c r="D899" s="102"/>
      <c r="E899" s="102"/>
      <c r="F899" s="102"/>
    </row>
    <row r="900" spans="1:6" ht="13">
      <c r="A900" s="102"/>
      <c r="B900" s="7"/>
      <c r="C900" s="7"/>
      <c r="D900" s="102"/>
      <c r="E900" s="102"/>
      <c r="F900" s="102"/>
    </row>
    <row r="901" spans="1:6" ht="13">
      <c r="A901" s="102"/>
      <c r="B901" s="7"/>
      <c r="C901" s="7"/>
      <c r="D901" s="102"/>
      <c r="E901" s="102"/>
      <c r="F901" s="102"/>
    </row>
    <row r="902" spans="1:6" ht="13">
      <c r="A902" s="102"/>
      <c r="B902" s="7"/>
      <c r="C902" s="7"/>
      <c r="D902" s="102"/>
      <c r="E902" s="102"/>
      <c r="F902" s="102"/>
    </row>
    <row r="903" spans="1:6" ht="13">
      <c r="A903" s="102"/>
      <c r="B903" s="7"/>
      <c r="C903" s="7"/>
      <c r="D903" s="102"/>
      <c r="E903" s="102"/>
      <c r="F903" s="102"/>
    </row>
    <row r="904" spans="1:6" ht="13">
      <c r="A904" s="102"/>
      <c r="B904" s="7"/>
      <c r="C904" s="7"/>
      <c r="D904" s="102"/>
      <c r="E904" s="102"/>
      <c r="F904" s="102"/>
    </row>
    <row r="905" spans="1:6" ht="13">
      <c r="A905" s="102"/>
      <c r="B905" s="7"/>
      <c r="C905" s="7"/>
      <c r="D905" s="102"/>
      <c r="E905" s="102"/>
      <c r="F905" s="102"/>
    </row>
    <row r="906" spans="1:6" ht="13">
      <c r="A906" s="102"/>
      <c r="B906" s="7"/>
      <c r="C906" s="7"/>
      <c r="D906" s="102"/>
      <c r="E906" s="102"/>
      <c r="F906" s="102"/>
    </row>
    <row r="907" spans="1:6" ht="13">
      <c r="A907" s="102"/>
      <c r="B907" s="7"/>
      <c r="C907" s="7"/>
      <c r="D907" s="102"/>
      <c r="E907" s="102"/>
      <c r="F907" s="102"/>
    </row>
    <row r="908" spans="1:6" ht="13">
      <c r="A908" s="102"/>
      <c r="B908" s="7"/>
      <c r="C908" s="7"/>
      <c r="D908" s="102"/>
      <c r="E908" s="102"/>
      <c r="F908" s="102"/>
    </row>
    <row r="909" spans="1:6" ht="13">
      <c r="A909" s="102"/>
      <c r="B909" s="7"/>
      <c r="C909" s="7"/>
      <c r="D909" s="102"/>
      <c r="E909" s="102"/>
      <c r="F909" s="102"/>
    </row>
    <row r="910" spans="1:6" ht="13">
      <c r="A910" s="102"/>
      <c r="B910" s="7"/>
      <c r="C910" s="7"/>
      <c r="D910" s="102"/>
      <c r="E910" s="102"/>
      <c r="F910" s="102"/>
    </row>
    <row r="911" spans="1:6" ht="13">
      <c r="A911" s="102"/>
      <c r="B911" s="7"/>
      <c r="C911" s="7"/>
      <c r="D911" s="102"/>
      <c r="E911" s="102"/>
      <c r="F911" s="102"/>
    </row>
    <row r="912" spans="1:6" ht="13">
      <c r="A912" s="102"/>
      <c r="B912" s="7"/>
      <c r="C912" s="7"/>
      <c r="D912" s="102"/>
      <c r="E912" s="102"/>
      <c r="F912" s="102"/>
    </row>
    <row r="913" spans="1:6" ht="13">
      <c r="A913" s="102"/>
      <c r="B913" s="7"/>
      <c r="C913" s="7"/>
      <c r="D913" s="102"/>
      <c r="E913" s="102"/>
      <c r="F913" s="102"/>
    </row>
    <row r="914" spans="1:6" ht="13">
      <c r="A914" s="102"/>
      <c r="B914" s="7"/>
      <c r="C914" s="7"/>
      <c r="D914" s="102"/>
      <c r="E914" s="102"/>
      <c r="F914" s="102"/>
    </row>
    <row r="915" spans="1:6" ht="13">
      <c r="A915" s="102"/>
      <c r="B915" s="7"/>
      <c r="C915" s="7"/>
      <c r="D915" s="102"/>
      <c r="E915" s="102"/>
      <c r="F915" s="102"/>
    </row>
    <row r="916" spans="1:6" ht="13">
      <c r="A916" s="102"/>
      <c r="B916" s="7"/>
      <c r="C916" s="7"/>
      <c r="D916" s="102"/>
      <c r="E916" s="102"/>
      <c r="F916" s="102"/>
    </row>
    <row r="917" spans="1:6" ht="13">
      <c r="A917" s="102"/>
      <c r="B917" s="7"/>
      <c r="C917" s="7"/>
      <c r="D917" s="102"/>
      <c r="E917" s="102"/>
      <c r="F917" s="102"/>
    </row>
    <row r="918" spans="1:6" ht="13">
      <c r="A918" s="102"/>
      <c r="B918" s="7"/>
      <c r="C918" s="7"/>
      <c r="D918" s="102"/>
      <c r="E918" s="102"/>
      <c r="F918" s="102"/>
    </row>
    <row r="919" spans="1:6" ht="13">
      <c r="A919" s="102"/>
      <c r="B919" s="7"/>
      <c r="C919" s="7"/>
      <c r="D919" s="102"/>
      <c r="E919" s="102"/>
      <c r="F919" s="102"/>
    </row>
    <row r="920" spans="1:6" ht="13">
      <c r="A920" s="102"/>
      <c r="B920" s="7"/>
      <c r="C920" s="7"/>
      <c r="D920" s="102"/>
      <c r="E920" s="102"/>
      <c r="F920" s="102"/>
    </row>
    <row r="921" spans="1:6" ht="13">
      <c r="A921" s="102"/>
      <c r="B921" s="7"/>
      <c r="C921" s="7"/>
      <c r="D921" s="102"/>
      <c r="E921" s="102"/>
      <c r="F921" s="102"/>
    </row>
    <row r="922" spans="1:6" ht="13">
      <c r="A922" s="102"/>
      <c r="B922" s="7"/>
      <c r="C922" s="7"/>
      <c r="D922" s="102"/>
      <c r="E922" s="102"/>
      <c r="F922" s="102"/>
    </row>
    <row r="923" spans="1:6" ht="13">
      <c r="A923" s="102"/>
      <c r="B923" s="7"/>
      <c r="C923" s="7"/>
      <c r="D923" s="102"/>
      <c r="E923" s="102"/>
      <c r="F923" s="102"/>
    </row>
    <row r="924" spans="1:6" ht="13">
      <c r="A924" s="102"/>
      <c r="B924" s="7"/>
      <c r="C924" s="7"/>
      <c r="D924" s="102"/>
      <c r="E924" s="102"/>
      <c r="F924" s="102"/>
    </row>
    <row r="925" spans="1:6" ht="13">
      <c r="A925" s="102"/>
      <c r="B925" s="7"/>
      <c r="C925" s="7"/>
      <c r="D925" s="102"/>
      <c r="E925" s="102"/>
      <c r="F925" s="102"/>
    </row>
    <row r="926" spans="1:6" ht="13">
      <c r="A926" s="102"/>
      <c r="B926" s="7"/>
      <c r="C926" s="7"/>
      <c r="D926" s="102"/>
      <c r="E926" s="102"/>
      <c r="F926" s="102"/>
    </row>
    <row r="927" spans="1:6" ht="13">
      <c r="A927" s="102"/>
      <c r="B927" s="7"/>
      <c r="C927" s="7"/>
      <c r="D927" s="102"/>
      <c r="E927" s="102"/>
      <c r="F927" s="102"/>
    </row>
    <row r="928" spans="1:6" ht="13">
      <c r="A928" s="102"/>
      <c r="B928" s="7"/>
      <c r="C928" s="7"/>
      <c r="D928" s="102"/>
      <c r="E928" s="102"/>
      <c r="F928" s="102"/>
    </row>
    <row r="929" spans="1:6" ht="13">
      <c r="A929" s="102"/>
      <c r="B929" s="7"/>
      <c r="C929" s="7"/>
      <c r="D929" s="102"/>
      <c r="E929" s="102"/>
      <c r="F929" s="102"/>
    </row>
    <row r="930" spans="1:6" ht="13">
      <c r="A930" s="102"/>
      <c r="B930" s="7"/>
      <c r="C930" s="7"/>
      <c r="D930" s="102"/>
      <c r="E930" s="102"/>
      <c r="F930" s="102"/>
    </row>
    <row r="931" spans="1:6" ht="13">
      <c r="A931" s="102"/>
      <c r="B931" s="7"/>
      <c r="C931" s="7"/>
      <c r="D931" s="102"/>
      <c r="E931" s="102"/>
      <c r="F931" s="102"/>
    </row>
    <row r="932" spans="1:6" ht="13">
      <c r="A932" s="102"/>
      <c r="B932" s="7"/>
      <c r="C932" s="7"/>
      <c r="D932" s="102"/>
      <c r="E932" s="102"/>
      <c r="F932" s="102"/>
    </row>
    <row r="933" spans="1:6" ht="13">
      <c r="A933" s="102"/>
      <c r="B933" s="7"/>
      <c r="C933" s="7"/>
      <c r="D933" s="102"/>
      <c r="E933" s="102"/>
      <c r="F933" s="102"/>
    </row>
    <row r="934" spans="1:6" ht="13">
      <c r="A934" s="102"/>
      <c r="B934" s="7"/>
      <c r="C934" s="7"/>
      <c r="D934" s="102"/>
      <c r="E934" s="102"/>
      <c r="F934" s="102"/>
    </row>
    <row r="935" spans="1:6" ht="13">
      <c r="A935" s="102"/>
      <c r="B935" s="7"/>
      <c r="C935" s="7"/>
      <c r="D935" s="102"/>
      <c r="E935" s="102"/>
      <c r="F935" s="102"/>
    </row>
    <row r="936" spans="1:6" ht="13">
      <c r="A936" s="102"/>
      <c r="B936" s="7"/>
      <c r="C936" s="7"/>
      <c r="D936" s="102"/>
      <c r="E936" s="102"/>
      <c r="F936" s="102"/>
    </row>
    <row r="937" spans="1:6" ht="13">
      <c r="A937" s="102"/>
      <c r="B937" s="7"/>
      <c r="C937" s="7"/>
      <c r="D937" s="102"/>
      <c r="E937" s="102"/>
      <c r="F937" s="102"/>
    </row>
    <row r="938" spans="1:6" ht="13">
      <c r="A938" s="102"/>
      <c r="B938" s="7"/>
      <c r="C938" s="7"/>
      <c r="D938" s="102"/>
      <c r="E938" s="102"/>
      <c r="F938" s="102"/>
    </row>
    <row r="939" spans="1:6" ht="13">
      <c r="A939" s="102"/>
      <c r="B939" s="7"/>
      <c r="C939" s="7"/>
      <c r="D939" s="102"/>
      <c r="E939" s="102"/>
      <c r="F939" s="102"/>
    </row>
    <row r="940" spans="1:6" ht="13">
      <c r="A940" s="102"/>
      <c r="B940" s="7"/>
      <c r="C940" s="7"/>
      <c r="D940" s="102"/>
      <c r="E940" s="102"/>
      <c r="F940" s="102"/>
    </row>
    <row r="941" spans="1:6" ht="13">
      <c r="A941" s="102"/>
      <c r="B941" s="7"/>
      <c r="C941" s="7"/>
      <c r="D941" s="102"/>
      <c r="E941" s="102"/>
      <c r="F941" s="102"/>
    </row>
    <row r="942" spans="1:6" ht="13">
      <c r="A942" s="102"/>
      <c r="B942" s="7"/>
      <c r="C942" s="7"/>
      <c r="D942" s="102"/>
      <c r="E942" s="102"/>
      <c r="F942" s="102"/>
    </row>
    <row r="943" spans="1:6" ht="13">
      <c r="A943" s="102"/>
      <c r="B943" s="7"/>
      <c r="C943" s="7"/>
      <c r="D943" s="102"/>
      <c r="E943" s="102"/>
      <c r="F943" s="102"/>
    </row>
    <row r="944" spans="1:6" ht="13">
      <c r="A944" s="102"/>
      <c r="B944" s="7"/>
      <c r="C944" s="7"/>
      <c r="D944" s="102"/>
      <c r="E944" s="102"/>
      <c r="F944" s="102"/>
    </row>
    <row r="945" spans="1:6" ht="13">
      <c r="A945" s="102"/>
      <c r="B945" s="7"/>
      <c r="C945" s="7"/>
      <c r="D945" s="102"/>
      <c r="E945" s="102"/>
      <c r="F945" s="102"/>
    </row>
    <row r="946" spans="1:6" ht="13">
      <c r="A946" s="102"/>
      <c r="B946" s="7"/>
      <c r="C946" s="7"/>
      <c r="D946" s="102"/>
      <c r="E946" s="102"/>
      <c r="F946" s="102"/>
    </row>
    <row r="947" spans="1:6" ht="13">
      <c r="A947" s="102"/>
      <c r="B947" s="7"/>
      <c r="C947" s="7"/>
      <c r="D947" s="102"/>
      <c r="E947" s="102"/>
      <c r="F947" s="102"/>
    </row>
    <row r="948" spans="1:6" ht="13">
      <c r="A948" s="102"/>
      <c r="B948" s="7"/>
      <c r="C948" s="7"/>
      <c r="D948" s="102"/>
      <c r="E948" s="102"/>
      <c r="F948" s="102"/>
    </row>
    <row r="949" spans="1:6" ht="13">
      <c r="A949" s="102"/>
      <c r="B949" s="7"/>
      <c r="C949" s="7"/>
      <c r="D949" s="102"/>
      <c r="E949" s="102"/>
      <c r="F949" s="102"/>
    </row>
    <row r="950" spans="1:6" ht="13">
      <c r="A950" s="102"/>
      <c r="B950" s="7"/>
      <c r="C950" s="7"/>
      <c r="D950" s="102"/>
      <c r="E950" s="102"/>
      <c r="F950" s="102"/>
    </row>
    <row r="951" spans="1:6" ht="13">
      <c r="A951" s="102"/>
      <c r="B951" s="7"/>
      <c r="C951" s="7"/>
      <c r="D951" s="102"/>
      <c r="E951" s="102"/>
      <c r="F951" s="102"/>
    </row>
    <row r="952" spans="1:6" ht="13">
      <c r="A952" s="102"/>
      <c r="B952" s="7"/>
      <c r="C952" s="7"/>
      <c r="D952" s="102"/>
      <c r="E952" s="102"/>
      <c r="F952" s="102"/>
    </row>
    <row r="953" spans="1:6" ht="13">
      <c r="A953" s="102"/>
      <c r="B953" s="7"/>
      <c r="C953" s="7"/>
      <c r="D953" s="102"/>
      <c r="E953" s="102"/>
      <c r="F953" s="102"/>
    </row>
    <row r="954" spans="1:6" ht="13">
      <c r="A954" s="102"/>
      <c r="B954" s="7"/>
      <c r="C954" s="7"/>
      <c r="D954" s="102"/>
      <c r="E954" s="102"/>
      <c r="F954" s="102"/>
    </row>
    <row r="955" spans="1:6" ht="13">
      <c r="A955" s="102"/>
      <c r="B955" s="7"/>
      <c r="C955" s="7"/>
      <c r="D955" s="102"/>
      <c r="E955" s="102"/>
      <c r="F955" s="102"/>
    </row>
    <row r="956" spans="1:6" ht="13">
      <c r="A956" s="102"/>
      <c r="B956" s="7"/>
      <c r="C956" s="7"/>
      <c r="D956" s="102"/>
      <c r="E956" s="102"/>
      <c r="F956" s="102"/>
    </row>
    <row r="957" spans="1:6" ht="13">
      <c r="A957" s="102"/>
      <c r="B957" s="7"/>
      <c r="C957" s="7"/>
      <c r="D957" s="102"/>
      <c r="E957" s="102"/>
      <c r="F957" s="102"/>
    </row>
    <row r="958" spans="1:6" ht="13">
      <c r="A958" s="102"/>
      <c r="B958" s="7"/>
      <c r="C958" s="7"/>
      <c r="D958" s="102"/>
      <c r="E958" s="102"/>
      <c r="F958" s="102"/>
    </row>
    <row r="959" spans="1:6" ht="13">
      <c r="A959" s="102"/>
      <c r="B959" s="7"/>
      <c r="C959" s="7"/>
      <c r="D959" s="102"/>
      <c r="E959" s="102"/>
      <c r="F959" s="102"/>
    </row>
    <row r="960" spans="1:6" ht="13">
      <c r="A960" s="102"/>
      <c r="B960" s="7"/>
      <c r="C960" s="7"/>
      <c r="D960" s="102"/>
      <c r="E960" s="102"/>
      <c r="F960" s="102"/>
    </row>
    <row r="961" spans="1:6" ht="13">
      <c r="A961" s="102"/>
      <c r="B961" s="7"/>
      <c r="C961" s="7"/>
      <c r="D961" s="102"/>
      <c r="E961" s="102"/>
      <c r="F961" s="102"/>
    </row>
    <row r="962" spans="1:6" ht="13">
      <c r="A962" s="102"/>
      <c r="B962" s="7"/>
      <c r="C962" s="7"/>
      <c r="D962" s="102"/>
      <c r="E962" s="102"/>
      <c r="F962" s="102"/>
    </row>
    <row r="963" spans="1:6" ht="13">
      <c r="A963" s="102"/>
      <c r="B963" s="7"/>
      <c r="C963" s="7"/>
      <c r="D963" s="102"/>
      <c r="E963" s="102"/>
      <c r="F963" s="102"/>
    </row>
    <row r="964" spans="1:6" ht="13">
      <c r="A964" s="102"/>
      <c r="B964" s="7"/>
      <c r="C964" s="7"/>
      <c r="D964" s="102"/>
      <c r="E964" s="102"/>
      <c r="F964" s="102"/>
    </row>
    <row r="965" spans="1:6" ht="13">
      <c r="A965" s="102"/>
      <c r="B965" s="7"/>
      <c r="C965" s="7"/>
      <c r="D965" s="102"/>
      <c r="E965" s="102"/>
      <c r="F965" s="102"/>
    </row>
    <row r="966" spans="1:6" ht="13">
      <c r="A966" s="102"/>
      <c r="B966" s="7"/>
      <c r="C966" s="7"/>
      <c r="D966" s="102"/>
      <c r="E966" s="102"/>
      <c r="F966" s="102"/>
    </row>
    <row r="967" spans="1:6" ht="13">
      <c r="A967" s="102"/>
      <c r="B967" s="7"/>
      <c r="C967" s="7"/>
      <c r="D967" s="102"/>
      <c r="E967" s="102"/>
      <c r="F967" s="102"/>
    </row>
    <row r="968" spans="1:6" ht="13">
      <c r="A968" s="102"/>
      <c r="B968" s="7"/>
      <c r="C968" s="7"/>
      <c r="D968" s="102"/>
      <c r="E968" s="102"/>
      <c r="F968" s="102"/>
    </row>
    <row r="969" spans="1:6" ht="13">
      <c r="A969" s="102"/>
      <c r="B969" s="7"/>
      <c r="C969" s="7"/>
      <c r="D969" s="102"/>
      <c r="E969" s="102"/>
      <c r="F969" s="102"/>
    </row>
    <row r="970" spans="1:6" ht="13">
      <c r="A970" s="102"/>
      <c r="B970" s="7"/>
      <c r="C970" s="7"/>
      <c r="D970" s="102"/>
      <c r="E970" s="102"/>
      <c r="F970" s="102"/>
    </row>
    <row r="971" spans="1:6" ht="13">
      <c r="A971" s="102"/>
      <c r="B971" s="7"/>
      <c r="C971" s="7"/>
      <c r="D971" s="102"/>
      <c r="E971" s="102"/>
      <c r="F971" s="102"/>
    </row>
    <row r="972" spans="1:6" ht="13">
      <c r="A972" s="102"/>
      <c r="B972" s="7"/>
      <c r="C972" s="7"/>
      <c r="D972" s="102"/>
      <c r="E972" s="102"/>
      <c r="F972" s="102"/>
    </row>
    <row r="973" spans="1:6" ht="13">
      <c r="A973" s="102"/>
      <c r="B973" s="7"/>
      <c r="C973" s="7"/>
      <c r="D973" s="102"/>
      <c r="E973" s="102"/>
      <c r="F973" s="102"/>
    </row>
    <row r="974" spans="1:6" ht="13">
      <c r="A974" s="102"/>
      <c r="B974" s="7"/>
      <c r="C974" s="7"/>
      <c r="D974" s="102"/>
      <c r="E974" s="102"/>
      <c r="F974" s="102"/>
    </row>
    <row r="975" spans="1:6" ht="13">
      <c r="A975" s="102"/>
      <c r="B975" s="7"/>
      <c r="C975" s="7"/>
      <c r="D975" s="102"/>
      <c r="E975" s="102"/>
      <c r="F975" s="102"/>
    </row>
    <row r="976" spans="1:6" ht="13">
      <c r="A976" s="102"/>
      <c r="B976" s="7"/>
      <c r="C976" s="7"/>
      <c r="D976" s="102"/>
      <c r="E976" s="102"/>
      <c r="F976" s="102"/>
    </row>
    <row r="977" spans="1:6" ht="13">
      <c r="A977" s="102"/>
      <c r="B977" s="7"/>
      <c r="C977" s="7"/>
      <c r="D977" s="102"/>
      <c r="E977" s="102"/>
      <c r="F977" s="102"/>
    </row>
    <row r="978" spans="1:6" ht="13">
      <c r="A978" s="102"/>
      <c r="B978" s="7"/>
      <c r="C978" s="7"/>
      <c r="D978" s="102"/>
      <c r="E978" s="102"/>
      <c r="F978" s="102"/>
    </row>
    <row r="979" spans="1:6" ht="13">
      <c r="A979" s="102"/>
      <c r="B979" s="7"/>
      <c r="C979" s="7"/>
      <c r="D979" s="102"/>
      <c r="E979" s="102"/>
      <c r="F979" s="102"/>
    </row>
    <row r="980" spans="1:6" ht="13">
      <c r="A980" s="102"/>
      <c r="B980" s="7"/>
      <c r="C980" s="7"/>
      <c r="D980" s="102"/>
      <c r="E980" s="102"/>
      <c r="F980" s="102"/>
    </row>
    <row r="981" spans="1:6" ht="13">
      <c r="A981" s="102"/>
      <c r="B981" s="7"/>
      <c r="C981" s="7"/>
      <c r="D981" s="102"/>
      <c r="E981" s="102"/>
      <c r="F981" s="102"/>
    </row>
    <row r="982" spans="1:6" ht="13">
      <c r="A982" s="102"/>
      <c r="B982" s="7"/>
      <c r="C982" s="7"/>
      <c r="D982" s="102"/>
      <c r="E982" s="102"/>
      <c r="F982" s="102"/>
    </row>
    <row r="983" spans="1:6" ht="13">
      <c r="A983" s="102"/>
      <c r="B983" s="7"/>
      <c r="C983" s="7"/>
      <c r="D983" s="102"/>
      <c r="E983" s="102"/>
      <c r="F983" s="102"/>
    </row>
    <row r="984" spans="1:6" ht="13">
      <c r="A984" s="102"/>
      <c r="B984" s="7"/>
      <c r="C984" s="7"/>
      <c r="D984" s="102"/>
      <c r="E984" s="102"/>
      <c r="F984" s="102"/>
    </row>
    <row r="985" spans="1:6" ht="13">
      <c r="A985" s="102"/>
      <c r="B985" s="7"/>
      <c r="C985" s="7"/>
      <c r="D985" s="102"/>
      <c r="E985" s="102"/>
      <c r="F985" s="102"/>
    </row>
    <row r="986" spans="1:6" ht="13">
      <c r="A986" s="102"/>
      <c r="B986" s="7"/>
      <c r="C986" s="7"/>
      <c r="D986" s="102"/>
      <c r="E986" s="102"/>
      <c r="F986" s="102"/>
    </row>
    <row r="987" spans="1:6" ht="13">
      <c r="A987" s="102"/>
      <c r="B987" s="7"/>
      <c r="C987" s="7"/>
      <c r="D987" s="102"/>
      <c r="E987" s="102"/>
      <c r="F987" s="102"/>
    </row>
    <row r="988" spans="1:6" ht="13">
      <c r="A988" s="102"/>
      <c r="B988" s="7"/>
      <c r="C988" s="7"/>
      <c r="D988" s="102"/>
      <c r="E988" s="102"/>
      <c r="F988" s="102"/>
    </row>
    <row r="989" spans="1:6" ht="13">
      <c r="A989" s="102"/>
      <c r="B989" s="7"/>
      <c r="C989" s="7"/>
      <c r="D989" s="102"/>
      <c r="E989" s="102"/>
      <c r="F989" s="102"/>
    </row>
    <row r="990" spans="1:6" ht="13">
      <c r="A990" s="102"/>
      <c r="B990" s="7"/>
      <c r="C990" s="7"/>
      <c r="D990" s="102"/>
      <c r="E990" s="102"/>
      <c r="F990" s="102"/>
    </row>
    <row r="991" spans="1:6" ht="13">
      <c r="A991" s="102"/>
      <c r="B991" s="7"/>
      <c r="C991" s="7"/>
      <c r="D991" s="102"/>
      <c r="E991" s="102"/>
      <c r="F991" s="102"/>
    </row>
    <row r="992" spans="1:6" ht="13">
      <c r="A992" s="102"/>
      <c r="B992" s="7"/>
      <c r="C992" s="7"/>
      <c r="D992" s="102"/>
      <c r="E992" s="102"/>
      <c r="F992" s="102"/>
    </row>
    <row r="993" spans="1:6" ht="13">
      <c r="A993" s="102"/>
      <c r="B993" s="7"/>
      <c r="C993" s="7"/>
      <c r="D993" s="102"/>
      <c r="E993" s="102"/>
      <c r="F993" s="102"/>
    </row>
    <row r="994" spans="1:6" ht="13">
      <c r="A994" s="102"/>
      <c r="B994" s="7"/>
      <c r="C994" s="7"/>
      <c r="D994" s="102"/>
      <c r="E994" s="102"/>
      <c r="F994" s="10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999"/>
  <sheetViews>
    <sheetView workbookViewId="0"/>
  </sheetViews>
  <sheetFormatPr defaultColWidth="14.3984375" defaultRowHeight="15.75" customHeight="1"/>
  <cols>
    <col min="1" max="1" width="6.59765625" customWidth="1"/>
    <col min="2" max="2" width="8" customWidth="1"/>
    <col min="3" max="3" width="10.3984375" customWidth="1"/>
    <col min="4" max="4" width="31.09765625" customWidth="1"/>
    <col min="5" max="5" width="46.8984375" customWidth="1"/>
    <col min="6" max="6" width="9.8984375" customWidth="1"/>
    <col min="7" max="7" width="82.69921875" customWidth="1"/>
    <col min="8" max="11" width="51" customWidth="1"/>
    <col min="14" max="14" width="52" customWidth="1"/>
    <col min="16" max="16" width="18.59765625" customWidth="1"/>
  </cols>
  <sheetData>
    <row r="1" spans="1:38" ht="15.75" customHeight="1">
      <c r="A1" s="126" t="s">
        <v>361</v>
      </c>
      <c r="B1" s="126" t="s">
        <v>321</v>
      </c>
      <c r="C1" s="126" t="s">
        <v>362</v>
      </c>
      <c r="D1" s="127" t="s">
        <v>363</v>
      </c>
      <c r="E1" s="128" t="s">
        <v>364</v>
      </c>
      <c r="F1" s="41" t="s">
        <v>365</v>
      </c>
      <c r="G1" s="126" t="s">
        <v>366</v>
      </c>
      <c r="H1" s="126" t="s">
        <v>367</v>
      </c>
      <c r="I1" s="126" t="s">
        <v>368</v>
      </c>
      <c r="J1" s="126" t="s">
        <v>369</v>
      </c>
      <c r="K1" s="126" t="s">
        <v>370</v>
      </c>
      <c r="L1" s="107"/>
      <c r="M1" s="129" t="s">
        <v>366</v>
      </c>
      <c r="N1" s="129" t="s">
        <v>0</v>
      </c>
      <c r="O1" s="107"/>
      <c r="P1" s="130" t="str">
        <f t="array" ref="P1:AL1">TRANSPOSE(N1:N23)</f>
        <v>Fintech (Digital Transformation in Finance) (A)</v>
      </c>
      <c r="Q1" s="130" t="str">
        <v>Fintech (Digital Transformation in Finance) (B)</v>
      </c>
      <c r="R1" s="130" t="str">
        <v>Behavioural Economics and Decision-Making (A)</v>
      </c>
      <c r="S1" s="130" t="str">
        <v>Behavioural Economics and Decision-Making (B)</v>
      </c>
      <c r="T1" s="130" t="str">
        <v>The Art, Craft, and Science of Management: Learning through Classics and Best Collections (A)</v>
      </c>
      <c r="U1" s="130" t="str">
        <v>The Art, Craft, and Science of Management: Learning through Classics and Best Collections (B)</v>
      </c>
      <c r="V1" s="130" t="str">
        <v>Workplace Happiness: Science &amp; Practice (A)</v>
      </c>
      <c r="W1" s="130" t="str">
        <v>Workplace Happiness: Science &amp; Practice (B)</v>
      </c>
      <c r="X1" s="130" t="str">
        <v>Leadership Excellence Through Values : Wisdom from the Mahabharata</v>
      </c>
      <c r="Y1" s="130" t="str">
        <v>Film &amp; the Firm: Visual Culture in Business Contexts (A)</v>
      </c>
      <c r="Z1" s="130" t="str">
        <v>Film &amp; the Firm: Visual Culture in Business Contexts (B)</v>
      </c>
      <c r="AA1" s="130" t="str">
        <v>Strategic HRM</v>
      </c>
      <c r="AB1" s="130" t="str">
        <v>Strategic Career Management (A)</v>
      </c>
      <c r="AC1" s="130" t="str">
        <v>Strategic Career Management (B)</v>
      </c>
      <c r="AD1" s="130" t="str">
        <v>AI AND  STRATEGY</v>
      </c>
      <c r="AE1" s="130" t="str">
        <v>Employer Branding</v>
      </c>
      <c r="AF1" s="130" t="str">
        <v>AI Applications in Marketing (A)</v>
      </c>
      <c r="AG1" s="130" t="str">
        <v>AI Applications in Marketing (B)</v>
      </c>
      <c r="AH1" s="130" t="str">
        <v>SPORTS ANALYTICS (A)</v>
      </c>
      <c r="AI1" s="130" t="str">
        <v>SPORTS ANALYTICS (B)</v>
      </c>
      <c r="AJ1" s="130" t="str">
        <v>Customer Success Management</v>
      </c>
      <c r="AK1" s="130" t="str">
        <v>Entrepreneurial Marketing</v>
      </c>
      <c r="AL1" s="130" t="str">
        <v>Industry 4.0 in Transport Sector</v>
      </c>
    </row>
    <row r="2" spans="1:38" ht="15.75" customHeight="1">
      <c r="A2" s="131">
        <v>1</v>
      </c>
      <c r="B2" s="131" t="s">
        <v>371</v>
      </c>
      <c r="C2" s="131" t="s">
        <v>227</v>
      </c>
      <c r="D2" s="106" t="s">
        <v>372</v>
      </c>
      <c r="E2" s="106" t="s">
        <v>373</v>
      </c>
      <c r="F2" s="131">
        <f t="shared" ref="F2:F256" ca="1" si="0">COUNTA(G2:K2)</f>
        <v>5</v>
      </c>
      <c r="G2" s="106" t="str">
        <f ca="1">IFERROR(__xludf.DUMMYFUNCTION("INDEX(FILTER($P2:$AL2, $P2:$AL2 &lt;&gt; """"), 1)"),"Workplace Happiness: Science &amp; Practice (A)")</f>
        <v>Workplace Happiness: Science &amp; Practice (A)</v>
      </c>
      <c r="H2" s="106" t="str">
        <f ca="1">IFERROR(__xludf.DUMMYFUNCTION("INDEX(FILTER($P2:$AL2, $P2:$AL2 &lt;&gt; """"), 2)"),"Strategic Career Management (A)")</f>
        <v>Strategic Career Management (A)</v>
      </c>
      <c r="I2" s="106" t="str">
        <f ca="1">IFERROR(__xludf.DUMMYFUNCTION("INDEX(FILTER($P2:$AL2, $P2:$AL2 &lt;&gt; """"), 3)"),"Industry 4.0 in Transport Sector")</f>
        <v>Industry 4.0 in Transport Sector</v>
      </c>
      <c r="J2" s="106" t="str">
        <f ca="1">IFERROR(__xludf.DUMMYFUNCTION("IFERROR(INDEX(FILTER($P2:$AL2, $P2:$AL2 &lt;&gt; """"), 4),)"),"")</f>
        <v/>
      </c>
      <c r="K2" s="106" t="str">
        <f ca="1">IFERROR(__xludf.DUMMYFUNCTION("IFERROR(INDEX(FILTER($P2:$AL2, $P2:$AL2 &lt;&gt; """"), 5),)"),"")</f>
        <v/>
      </c>
      <c r="L2" s="107"/>
      <c r="M2" s="129" t="s">
        <v>367</v>
      </c>
      <c r="N2" s="129" t="s">
        <v>1</v>
      </c>
      <c r="O2" s="107"/>
      <c r="P2" s="132" t="str">
        <f>IF(COUNTIF('Fintech-A'!$A:$A, $C2), P$1, "")</f>
        <v/>
      </c>
      <c r="Q2" s="132" t="str">
        <f>IF(COUNTIF('Fintech-B'!$A:$A, $C2), Q$1, "")</f>
        <v/>
      </c>
      <c r="R2" s="132" t="str">
        <f>IF(COUNTIF('BEDM-A'!$A:$A, $C2), R$1, "")</f>
        <v/>
      </c>
      <c r="S2" s="132" t="str">
        <f>IF(COUNTIF('BEDM-B'!$A:$A, $C2), S$1, "")</f>
        <v/>
      </c>
      <c r="T2" s="132" t="str">
        <f>IF(COUNTIF('Art-A'!$A:$A, $C2), T$1, "")</f>
        <v/>
      </c>
      <c r="U2" s="132" t="str">
        <f>IF(COUNTIF('Art-B'!$A:$A, $C2), U$1, "")</f>
        <v/>
      </c>
      <c r="V2" s="132" t="str">
        <f>IF(COUNTIF('WH-A'!$A:$A, $C2), V$1, "")</f>
        <v>Workplace Happiness: Science &amp; Practice (A)</v>
      </c>
      <c r="W2" s="132" t="str">
        <f>IF(COUNTIF('WH-B'!$A:$A, $C2), W$1, "")</f>
        <v/>
      </c>
      <c r="X2" s="132" t="str">
        <f>IF(COUNTIF(LETV!$A:$A, $C2), X$1, "")</f>
        <v/>
      </c>
      <c r="Y2" s="132" t="str">
        <f>IF(COUNTIF('Film&amp;Firm-A'!$A:$A, $C2), Y$1, "")</f>
        <v/>
      </c>
      <c r="Z2" s="132" t="str">
        <f>IF(COUNTIF('Film&amp;Firm-B'!$A:$A, $C2), Z$1, "")</f>
        <v/>
      </c>
      <c r="AA2" s="132" t="str">
        <f>IF(COUNTIF(SHRM!$A:$A, $C2), AA$1, "")</f>
        <v/>
      </c>
      <c r="AB2" s="132" t="str">
        <f>IF(COUNTIF('SCM-A'!$A:$A, $C2), AB$1, "")</f>
        <v>Strategic Career Management (A)</v>
      </c>
      <c r="AC2" s="132" t="str">
        <f>IF(COUNTIF('SCM-B'!$A:$A, $C2), AC$1, "")</f>
        <v/>
      </c>
      <c r="AD2" s="132" t="str">
        <f>IF(COUNTIF(AIS!$A:$A, $C2), AD$1, "")</f>
        <v/>
      </c>
      <c r="AE2" s="132" t="str">
        <f>IF(COUNTIF(EB!$A:$A, $C2), AE$1, "")</f>
        <v/>
      </c>
      <c r="AF2" s="132" t="str">
        <f>IF(COUNTIF('AIAM-A'!$A:$A, $C2), AF$1, "")</f>
        <v/>
      </c>
      <c r="AG2" s="132" t="str">
        <f>IF(COUNTIF('AIAM-B'!$A:$A, $C2), AG$1, "")</f>
        <v/>
      </c>
      <c r="AH2" s="132" t="str">
        <f>IF(COUNTIF('SA-A'!$A:$A, $C2), AH$1, "")</f>
        <v/>
      </c>
      <c r="AI2" s="132" t="str">
        <f>IF(COUNTIF('SA-B'!$A:$A, $C2), AI$1, "")</f>
        <v/>
      </c>
      <c r="AJ2" s="132" t="str">
        <f>IF(COUNTIF(CSM!$A:$A, $C2), AJ$1, "")</f>
        <v/>
      </c>
      <c r="AK2" s="132" t="str">
        <f>IF(COUNTIF(EM!$A:$A, $C2), AK$1, "")</f>
        <v/>
      </c>
      <c r="AL2" s="132" t="str">
        <f>IF(COUNTIF(I4TS!$A:$A, $C2), AL$1, "")</f>
        <v>Industry 4.0 in Transport Sector</v>
      </c>
    </row>
    <row r="3" spans="1:38" ht="15.75" customHeight="1">
      <c r="A3" s="131">
        <v>2</v>
      </c>
      <c r="B3" s="131" t="s">
        <v>371</v>
      </c>
      <c r="C3" s="131" t="s">
        <v>228</v>
      </c>
      <c r="D3" s="106" t="s">
        <v>374</v>
      </c>
      <c r="E3" s="106" t="s">
        <v>375</v>
      </c>
      <c r="F3" s="131">
        <f t="shared" ca="1" si="0"/>
        <v>5</v>
      </c>
      <c r="G3" s="106" t="str">
        <f ca="1">IFERROR(__xludf.DUMMYFUNCTION("INDEX(FILTER($P3:$AL3, $P3:$AL3 &lt;&gt; """"), 1)"),"Strategic Career Management (B)")</f>
        <v>Strategic Career Management (B)</v>
      </c>
      <c r="H3" s="106" t="str">
        <f ca="1">IFERROR(__xludf.DUMMYFUNCTION("INDEX(FILTER($P3:$AL3, $P3:$AL3 &lt;&gt; """"), 2)"),"AI AND  STRATEGY")</f>
        <v>AI AND  STRATEGY</v>
      </c>
      <c r="I3" s="106" t="str">
        <f ca="1">IFERROR(__xludf.DUMMYFUNCTION("INDEX(FILTER($P3:$AL3, $P3:$AL3 &lt;&gt; """"), 3)"),"Entrepreneurial Marketing")</f>
        <v>Entrepreneurial Marketing</v>
      </c>
      <c r="J3" s="106" t="str">
        <f ca="1">IFERROR(__xludf.DUMMYFUNCTION("IFERROR(INDEX(FILTER($P3:$AL3, $P3:$AL3 &lt;&gt; """"), 4),)"),"")</f>
        <v/>
      </c>
      <c r="K3" s="106" t="str">
        <f ca="1">IFERROR(__xludf.DUMMYFUNCTION("IFERROR(INDEX(FILTER($P3:$AL3, $P3:$AL3 &lt;&gt; """"), 5),)"),"")</f>
        <v/>
      </c>
      <c r="L3" s="107"/>
      <c r="M3" s="129" t="s">
        <v>368</v>
      </c>
      <c r="N3" s="133" t="s">
        <v>2</v>
      </c>
      <c r="O3" s="107"/>
      <c r="P3" s="132" t="str">
        <f>IF(COUNTIF('Fintech-A'!$A:$A, $C3), P$1, "")</f>
        <v/>
      </c>
      <c r="Q3" s="132" t="str">
        <f>IF(COUNTIF('Fintech-B'!$A:$A, $C3), Q$1, "")</f>
        <v/>
      </c>
      <c r="R3" s="132" t="str">
        <f>IF(COUNTIF('BEDM-A'!$A:$A, $C3), R$1, "")</f>
        <v/>
      </c>
      <c r="S3" s="132" t="str">
        <f>IF(COUNTIF('BEDM-B'!$A:$A, $C3), S$1, "")</f>
        <v/>
      </c>
      <c r="T3" s="132" t="str">
        <f>IF(COUNTIF('Art-A'!$A:$A, $C3), T$1, "")</f>
        <v/>
      </c>
      <c r="U3" s="132" t="str">
        <f>IF(COUNTIF('Art-B'!$A:$A, $C3), U$1, "")</f>
        <v/>
      </c>
      <c r="V3" s="132" t="str">
        <f>IF(COUNTIF('WH-A'!$A:$A, $C3), V$1, "")</f>
        <v/>
      </c>
      <c r="W3" s="132" t="str">
        <f>IF(COUNTIF('WH-B'!$A:$A, $C3), W$1, "")</f>
        <v/>
      </c>
      <c r="X3" s="132" t="str">
        <f>IF(COUNTIF(LETV!$A:$A, $C3), X$1, "")</f>
        <v/>
      </c>
      <c r="Y3" s="132" t="str">
        <f>IF(COUNTIF('Film&amp;Firm-A'!$A:$A, $C3), Y$1, "")</f>
        <v/>
      </c>
      <c r="Z3" s="132" t="str">
        <f>IF(COUNTIF('Film&amp;Firm-B'!$A:$A, $C3), Z$1, "")</f>
        <v/>
      </c>
      <c r="AA3" s="132" t="str">
        <f>IF(COUNTIF(SHRM!$A:$A, $C3), AA$1, "")</f>
        <v/>
      </c>
      <c r="AB3" s="132" t="str">
        <f>IF(COUNTIF('SCM-A'!$A:$A, $C3), AB$1, "")</f>
        <v/>
      </c>
      <c r="AC3" s="132" t="str">
        <f>IF(COUNTIF('SCM-B'!$A:$A, $C3), AC$1, "")</f>
        <v>Strategic Career Management (B)</v>
      </c>
      <c r="AD3" s="132" t="str">
        <f>IF(COUNTIF(AIS!$A:$A, $C3), AD$1, "")</f>
        <v>AI AND  STRATEGY</v>
      </c>
      <c r="AE3" s="132" t="str">
        <f>IF(COUNTIF(EB!$A:$A, $C3), AE$1, "")</f>
        <v/>
      </c>
      <c r="AF3" s="132" t="str">
        <f>IF(COUNTIF('AIAM-A'!$A:$A, $C3), AF$1, "")</f>
        <v/>
      </c>
      <c r="AG3" s="132" t="str">
        <f>IF(COUNTIF('AIAM-B'!$A:$A, $C3), AG$1, "")</f>
        <v/>
      </c>
      <c r="AH3" s="132" t="str">
        <f>IF(COUNTIF('SA-A'!$A:$A, $C3), AH$1, "")</f>
        <v/>
      </c>
      <c r="AI3" s="132" t="str">
        <f>IF(COUNTIF('SA-B'!$A:$A, $C3), AI$1, "")</f>
        <v/>
      </c>
      <c r="AJ3" s="132" t="str">
        <f>IF(COUNTIF(CSM!$A:$A, $C3), AJ$1, "")</f>
        <v/>
      </c>
      <c r="AK3" s="132" t="str">
        <f>IF(COUNTIF(EM!$A:$A, $C3), AK$1, "")</f>
        <v>Entrepreneurial Marketing</v>
      </c>
      <c r="AL3" s="132" t="str">
        <f>IF(COUNTIF(I4TS!$A:$A, $C3), AL$1, "")</f>
        <v/>
      </c>
    </row>
    <row r="4" spans="1:38" ht="15.75" customHeight="1">
      <c r="A4" s="131">
        <v>3</v>
      </c>
      <c r="B4" s="131" t="s">
        <v>371</v>
      </c>
      <c r="C4" s="131" t="s">
        <v>229</v>
      </c>
      <c r="D4" s="106" t="s">
        <v>376</v>
      </c>
      <c r="E4" s="106" t="s">
        <v>377</v>
      </c>
      <c r="F4" s="131">
        <f t="shared" ca="1" si="0"/>
        <v>5</v>
      </c>
      <c r="G4" s="106" t="str">
        <f ca="1">IFERROR(__xludf.DUMMYFUNCTION("INDEX(FILTER($P4:$AL4, $P4:$AL4 &lt;&gt; """"), 1)"),"Fintech (Digital Transformation in Finance) (B)")</f>
        <v>Fintech (Digital Transformation in Finance) (B)</v>
      </c>
      <c r="H4" s="106" t="str">
        <f ca="1">IFERROR(__xludf.DUMMYFUNCTION("INDEX(FILTER($P4:$AL4, $P4:$AL4 &lt;&gt; """"), 2)"),"AI AND  STRATEGY")</f>
        <v>AI AND  STRATEGY</v>
      </c>
      <c r="I4" s="106" t="str">
        <f ca="1">IFERROR(__xludf.DUMMYFUNCTION("INDEX(FILTER($P4:$AL4, $P4:$AL4 &lt;&gt; """"), 3)"),"AI Applications in Marketing (B)")</f>
        <v>AI Applications in Marketing (B)</v>
      </c>
      <c r="J4" s="106" t="str">
        <f ca="1">IFERROR(__xludf.DUMMYFUNCTION("IFERROR(INDEX(FILTER($P4:$AL4, $P4:$AL4 &lt;&gt; """"), 4),)"),"SPORTS ANALYTICS (B)")</f>
        <v>SPORTS ANALYTICS (B)</v>
      </c>
      <c r="K4" s="106" t="str">
        <f ca="1">IFERROR(__xludf.DUMMYFUNCTION("IFERROR(INDEX(FILTER($P4:$AL4, $P4:$AL4 &lt;&gt; """"), 5),)"),"Entrepreneurial Marketing")</f>
        <v>Entrepreneurial Marketing</v>
      </c>
      <c r="L4" s="107"/>
      <c r="M4" s="129" t="s">
        <v>369</v>
      </c>
      <c r="N4" s="133" t="s">
        <v>3</v>
      </c>
      <c r="O4" s="107"/>
      <c r="P4" s="132" t="str">
        <f>IF(COUNTIF('Fintech-A'!$A:$A, $C4), P$1, "")</f>
        <v/>
      </c>
      <c r="Q4" s="132" t="str">
        <f>IF(COUNTIF('Fintech-B'!$A:$A, $C4), Q$1, "")</f>
        <v>Fintech (Digital Transformation in Finance) (B)</v>
      </c>
      <c r="R4" s="132" t="str">
        <f>IF(COUNTIF('BEDM-A'!$A:$A, $C4), R$1, "")</f>
        <v/>
      </c>
      <c r="S4" s="132" t="str">
        <f>IF(COUNTIF('BEDM-B'!$A:$A, $C4), S$1, "")</f>
        <v/>
      </c>
      <c r="T4" s="132" t="str">
        <f>IF(COUNTIF('Art-A'!$A:$A, $C4), T$1, "")</f>
        <v/>
      </c>
      <c r="U4" s="132" t="str">
        <f>IF(COUNTIF('Art-B'!$A:$A, $C4), U$1, "")</f>
        <v/>
      </c>
      <c r="V4" s="132" t="str">
        <f>IF(COUNTIF('WH-A'!$A:$A, $C4), V$1, "")</f>
        <v/>
      </c>
      <c r="W4" s="132" t="str">
        <f>IF(COUNTIF('WH-B'!$A:$A, $C4), W$1, "")</f>
        <v/>
      </c>
      <c r="X4" s="132" t="str">
        <f>IF(COUNTIF(LETV!$A:$A, $C4), X$1, "")</f>
        <v/>
      </c>
      <c r="Y4" s="132" t="str">
        <f>IF(COUNTIF('Film&amp;Firm-A'!$A:$A, $C4), Y$1, "")</f>
        <v/>
      </c>
      <c r="Z4" s="132" t="str">
        <f>IF(COUNTIF('Film&amp;Firm-B'!$A:$A, $C4), Z$1, "")</f>
        <v/>
      </c>
      <c r="AA4" s="132" t="str">
        <f>IF(COUNTIF(SHRM!$A:$A, $C4), AA$1, "")</f>
        <v/>
      </c>
      <c r="AB4" s="132" t="str">
        <f>IF(COUNTIF('SCM-A'!$A:$A, $C4), AB$1, "")</f>
        <v/>
      </c>
      <c r="AC4" s="132" t="str">
        <f>IF(COUNTIF('SCM-B'!$A:$A, $C4), AC$1, "")</f>
        <v/>
      </c>
      <c r="AD4" s="132" t="str">
        <f>IF(COUNTIF(AIS!$A:$A, $C4), AD$1, "")</f>
        <v>AI AND  STRATEGY</v>
      </c>
      <c r="AE4" s="132" t="str">
        <f>IF(COUNTIF(EB!$A:$A, $C4), AE$1, "")</f>
        <v/>
      </c>
      <c r="AF4" s="132" t="str">
        <f>IF(COUNTIF('AIAM-A'!$A:$A, $C4), AF$1, "")</f>
        <v/>
      </c>
      <c r="AG4" s="132" t="str">
        <f>IF(COUNTIF('AIAM-B'!$A:$A, $C4), AG$1, "")</f>
        <v>AI Applications in Marketing (B)</v>
      </c>
      <c r="AH4" s="132" t="str">
        <f>IF(COUNTIF('SA-A'!$A:$A, $C4), AH$1, "")</f>
        <v/>
      </c>
      <c r="AI4" s="132" t="str">
        <f>IF(COUNTIF('SA-B'!$A:$A, $C4), AI$1, "")</f>
        <v>SPORTS ANALYTICS (B)</v>
      </c>
      <c r="AJ4" s="132" t="str">
        <f>IF(COUNTIF(CSM!$A:$A, $C4), AJ$1, "")</f>
        <v/>
      </c>
      <c r="AK4" s="132" t="str">
        <f>IF(COUNTIF(EM!$A:$A, $C4), AK$1, "")</f>
        <v>Entrepreneurial Marketing</v>
      </c>
      <c r="AL4" s="132" t="str">
        <f>IF(COUNTIF(I4TS!$A:$A, $C4), AL$1, "")</f>
        <v/>
      </c>
    </row>
    <row r="5" spans="1:38" ht="15.75" customHeight="1">
      <c r="A5" s="131">
        <v>4</v>
      </c>
      <c r="B5" s="131" t="s">
        <v>371</v>
      </c>
      <c r="C5" s="131" t="s">
        <v>230</v>
      </c>
      <c r="D5" s="106" t="s">
        <v>378</v>
      </c>
      <c r="E5" s="106" t="s">
        <v>379</v>
      </c>
      <c r="F5" s="131">
        <f t="shared" ca="1" si="0"/>
        <v>5</v>
      </c>
      <c r="G5" s="106" t="str">
        <f ca="1">IFERROR(__xludf.DUMMYFUNCTION("INDEX(FILTER($P5:$AL5, $P5:$AL5 &lt;&gt; """"), 1)"),"The Art, Craft, and Science of Management: Learning through Classics and Best Collections (A)")</f>
        <v>The Art, Craft, and Science of Management: Learning through Classics and Best Collections (A)</v>
      </c>
      <c r="H5" s="106" t="str">
        <f ca="1">IFERROR(__xludf.DUMMYFUNCTION("INDEX(FILTER($P5:$AL5, $P5:$AL5 &lt;&gt; """"), 2)"),"Employer Branding")</f>
        <v>Employer Branding</v>
      </c>
      <c r="I5" s="106" t="str">
        <f ca="1">IFERROR(__xludf.DUMMYFUNCTION("INDEX(FILTER($P5:$AL5, $P5:$AL5 &lt;&gt; """"), 3)"),"SPORTS ANALYTICS (A)")</f>
        <v>SPORTS ANALYTICS (A)</v>
      </c>
      <c r="J5" s="106" t="str">
        <f ca="1">IFERROR(__xludf.DUMMYFUNCTION("IFERROR(INDEX(FILTER($P5:$AL5, $P5:$AL5 &lt;&gt; """"), 4),)"),"")</f>
        <v/>
      </c>
      <c r="K5" s="106" t="str">
        <f ca="1">IFERROR(__xludf.DUMMYFUNCTION("IFERROR(INDEX(FILTER($P5:$AL5, $P5:$AL5 &lt;&gt; """"), 5),)"),"")</f>
        <v/>
      </c>
      <c r="L5" s="107"/>
      <c r="M5" s="129" t="s">
        <v>370</v>
      </c>
      <c r="N5" s="133" t="s">
        <v>4</v>
      </c>
      <c r="O5" s="107"/>
      <c r="P5" s="132" t="str">
        <f>IF(COUNTIF('Fintech-A'!$A:$A, $C5), P$1, "")</f>
        <v/>
      </c>
      <c r="Q5" s="132" t="str">
        <f>IF(COUNTIF('Fintech-B'!$A:$A, $C5), Q$1, "")</f>
        <v/>
      </c>
      <c r="R5" s="132" t="str">
        <f>IF(COUNTIF('BEDM-A'!$A:$A, $C5), R$1, "")</f>
        <v/>
      </c>
      <c r="S5" s="132" t="str">
        <f>IF(COUNTIF('BEDM-B'!$A:$A, $C5), S$1, "")</f>
        <v/>
      </c>
      <c r="T5" s="132" t="str">
        <f>IF(COUNTIF('Art-A'!$A:$A, $C5), T$1, "")</f>
        <v>The Art, Craft, and Science of Management: Learning through Classics and Best Collections (A)</v>
      </c>
      <c r="U5" s="132" t="str">
        <f>IF(COUNTIF('Art-B'!$A:$A, $C5), U$1, "")</f>
        <v/>
      </c>
      <c r="V5" s="132" t="str">
        <f>IF(COUNTIF('WH-A'!$A:$A, $C5), V$1, "")</f>
        <v/>
      </c>
      <c r="W5" s="132" t="str">
        <f>IF(COUNTIF('WH-B'!$A:$A, $C5), W$1, "")</f>
        <v/>
      </c>
      <c r="X5" s="132" t="str">
        <f>IF(COUNTIF(LETV!$A:$A, $C5), X$1, "")</f>
        <v/>
      </c>
      <c r="Y5" s="132" t="str">
        <f>IF(COUNTIF('Film&amp;Firm-A'!$A:$A, $C5), Y$1, "")</f>
        <v/>
      </c>
      <c r="Z5" s="132" t="str">
        <f>IF(COUNTIF('Film&amp;Firm-B'!$A:$A, $C5), Z$1, "")</f>
        <v/>
      </c>
      <c r="AA5" s="132" t="str">
        <f>IF(COUNTIF(SHRM!$A:$A, $C5), AA$1, "")</f>
        <v/>
      </c>
      <c r="AB5" s="132" t="str">
        <f>IF(COUNTIF('SCM-A'!$A:$A, $C5), AB$1, "")</f>
        <v/>
      </c>
      <c r="AC5" s="132" t="str">
        <f>IF(COUNTIF('SCM-B'!$A:$A, $C5), AC$1, "")</f>
        <v/>
      </c>
      <c r="AD5" s="132" t="str">
        <f>IF(COUNTIF(AIS!$A:$A, $C5), AD$1, "")</f>
        <v/>
      </c>
      <c r="AE5" s="132" t="str">
        <f>IF(COUNTIF(EB!$A:$A, $C5), AE$1, "")</f>
        <v>Employer Branding</v>
      </c>
      <c r="AF5" s="132" t="str">
        <f>IF(COUNTIF('AIAM-A'!$A:$A, $C5), AF$1, "")</f>
        <v/>
      </c>
      <c r="AG5" s="132" t="str">
        <f>IF(COUNTIF('AIAM-B'!$A:$A, $C5), AG$1, "")</f>
        <v/>
      </c>
      <c r="AH5" s="132" t="str">
        <f>IF(COUNTIF('SA-A'!$A:$A, $C5), AH$1, "")</f>
        <v>SPORTS ANALYTICS (A)</v>
      </c>
      <c r="AI5" s="132" t="str">
        <f>IF(COUNTIF('SA-B'!$A:$A, $C5), AI$1, "")</f>
        <v/>
      </c>
      <c r="AJ5" s="132" t="str">
        <f>IF(COUNTIF(CSM!$A:$A, $C5), AJ$1, "")</f>
        <v/>
      </c>
      <c r="AK5" s="132" t="str">
        <f>IF(COUNTIF(EM!$A:$A, $C5), AK$1, "")</f>
        <v/>
      </c>
      <c r="AL5" s="132" t="str">
        <f>IF(COUNTIF(I4TS!$A:$A, $C5), AL$1, "")</f>
        <v/>
      </c>
    </row>
    <row r="6" spans="1:38" ht="15.75" customHeight="1">
      <c r="A6" s="131">
        <v>5</v>
      </c>
      <c r="B6" s="131" t="s">
        <v>371</v>
      </c>
      <c r="C6" s="131" t="s">
        <v>380</v>
      </c>
      <c r="D6" s="106" t="s">
        <v>381</v>
      </c>
      <c r="E6" s="106" t="s">
        <v>382</v>
      </c>
      <c r="F6" s="131">
        <f t="shared" ca="1" si="0"/>
        <v>5</v>
      </c>
      <c r="G6" s="106" t="str">
        <f ca="1">IFERROR(__xludf.DUMMYFUNCTION("INDEX(FILTER($P6:$AL6, $P6:$AL6 &lt;&gt; """"), 1)"),"Film &amp; the Firm: Visual Culture in Business Contexts (A)")</f>
        <v>Film &amp; the Firm: Visual Culture in Business Contexts (A)</v>
      </c>
      <c r="H6" s="106" t="str">
        <f ca="1">IFERROR(__xludf.DUMMYFUNCTION("INDEX(FILTER($P6:$AL6, $P6:$AL6 &lt;&gt; """"), 2)"),"AI Applications in Marketing (A)")</f>
        <v>AI Applications in Marketing (A)</v>
      </c>
      <c r="I6" s="106" t="str">
        <f ca="1">IFERROR(__xludf.DUMMYFUNCTION("INDEX(FILTER($P6:$AL6, $P6:$AL6 &lt;&gt; """"), 3)"),"SPORTS ANALYTICS (A)")</f>
        <v>SPORTS ANALYTICS (A)</v>
      </c>
      <c r="J6" s="106" t="str">
        <f ca="1">IFERROR(__xludf.DUMMYFUNCTION("IFERROR(INDEX(FILTER($P6:$AL6, $P6:$AL6 &lt;&gt; """"), 4),)"),"Customer Success Management")</f>
        <v>Customer Success Management</v>
      </c>
      <c r="K6" s="106" t="str">
        <f ca="1">IFERROR(__xludf.DUMMYFUNCTION("IFERROR(INDEX(FILTER($P6:$AL6, $P6:$AL6 &lt;&gt; """"), 5),)"),"Entrepreneurial Marketing")</f>
        <v>Entrepreneurial Marketing</v>
      </c>
      <c r="L6" s="107"/>
      <c r="M6" s="129" t="s">
        <v>383</v>
      </c>
      <c r="N6" s="133" t="s">
        <v>5</v>
      </c>
      <c r="O6" s="107"/>
      <c r="P6" s="132" t="str">
        <f>IF(COUNTIF('Fintech-A'!$A:$A, $C6), P$1, "")</f>
        <v/>
      </c>
      <c r="Q6" s="132" t="str">
        <f>IF(COUNTIF('Fintech-B'!$A:$A, $C6), Q$1, "")</f>
        <v/>
      </c>
      <c r="R6" s="132" t="str">
        <f>IF(COUNTIF('BEDM-A'!$A:$A, $C6), R$1, "")</f>
        <v/>
      </c>
      <c r="S6" s="132" t="str">
        <f>IF(COUNTIF('BEDM-B'!$A:$A, $C6), S$1, "")</f>
        <v/>
      </c>
      <c r="T6" s="132" t="str">
        <f>IF(COUNTIF('Art-A'!$A:$A, $C6), T$1, "")</f>
        <v/>
      </c>
      <c r="U6" s="132" t="str">
        <f>IF(COUNTIF('Art-B'!$A:$A, $C6), U$1, "")</f>
        <v/>
      </c>
      <c r="V6" s="132" t="str">
        <f>IF(COUNTIF('WH-A'!$A:$A, $C6), V$1, "")</f>
        <v/>
      </c>
      <c r="W6" s="132" t="str">
        <f>IF(COUNTIF('WH-B'!$A:$A, $C6), W$1, "")</f>
        <v/>
      </c>
      <c r="X6" s="132" t="str">
        <f>IF(COUNTIF(LETV!$A:$A, $C6), X$1, "")</f>
        <v/>
      </c>
      <c r="Y6" s="132" t="str">
        <f>IF(COUNTIF('Film&amp;Firm-A'!$A:$A, $C6), Y$1, "")</f>
        <v>Film &amp; the Firm: Visual Culture in Business Contexts (A)</v>
      </c>
      <c r="Z6" s="132" t="str">
        <f>IF(COUNTIF('Film&amp;Firm-B'!$A:$A, $C6), Z$1, "")</f>
        <v/>
      </c>
      <c r="AA6" s="132" t="str">
        <f>IF(COUNTIF(SHRM!$A:$A, $C6), AA$1, "")</f>
        <v/>
      </c>
      <c r="AB6" s="132" t="str">
        <f>IF(COUNTIF('SCM-A'!$A:$A, $C6), AB$1, "")</f>
        <v/>
      </c>
      <c r="AC6" s="132" t="str">
        <f>IF(COUNTIF('SCM-B'!$A:$A, $C6), AC$1, "")</f>
        <v/>
      </c>
      <c r="AD6" s="132" t="str">
        <f>IF(COUNTIF(AIS!$A:$A, $C6), AD$1, "")</f>
        <v/>
      </c>
      <c r="AE6" s="132" t="str">
        <f>IF(COUNTIF(EB!$A:$A, $C6), AE$1, "")</f>
        <v/>
      </c>
      <c r="AF6" s="132" t="str">
        <f>IF(COUNTIF('AIAM-A'!$A:$A, $C6), AF$1, "")</f>
        <v>AI Applications in Marketing (A)</v>
      </c>
      <c r="AG6" s="132" t="str">
        <f>IF(COUNTIF('AIAM-B'!$A:$A, $C6), AG$1, "")</f>
        <v/>
      </c>
      <c r="AH6" s="132" t="str">
        <f>IF(COUNTIF('SA-A'!$A:$A, $C6), AH$1, "")</f>
        <v>SPORTS ANALYTICS (A)</v>
      </c>
      <c r="AI6" s="132" t="str">
        <f>IF(COUNTIF('SA-B'!$A:$A, $C6), AI$1, "")</f>
        <v/>
      </c>
      <c r="AJ6" s="132" t="str">
        <f>IF(COUNTIF(CSM!$A:$A, $C6), AJ$1, "")</f>
        <v>Customer Success Management</v>
      </c>
      <c r="AK6" s="132" t="str">
        <f>IF(COUNTIF(EM!$A:$A, $C6), AK$1, "")</f>
        <v>Entrepreneurial Marketing</v>
      </c>
      <c r="AL6" s="132" t="str">
        <f>IF(COUNTIF(I4TS!$A:$A, $C6), AL$1, "")</f>
        <v/>
      </c>
    </row>
    <row r="7" spans="1:38" ht="15.75" customHeight="1">
      <c r="A7" s="131">
        <v>6</v>
      </c>
      <c r="B7" s="131" t="s">
        <v>371</v>
      </c>
      <c r="C7" s="131" t="s">
        <v>384</v>
      </c>
      <c r="D7" s="106" t="s">
        <v>385</v>
      </c>
      <c r="E7" s="106" t="s">
        <v>386</v>
      </c>
      <c r="F7" s="131">
        <f t="shared" ca="1" si="0"/>
        <v>5</v>
      </c>
      <c r="G7" s="106" t="str">
        <f ca="1">IFERROR(__xludf.DUMMYFUNCTION("INDEX(FILTER($P7:$AL7, $P7:$AL7 &lt;&gt; """"), 1)"),"Leadership Excellence Through Values : Wisdom from the Mahabharata")</f>
        <v>Leadership Excellence Through Values : Wisdom from the Mahabharata</v>
      </c>
      <c r="H7" s="106" t="str">
        <f ca="1">IFERROR(__xludf.DUMMYFUNCTION("INDEX(FILTER($P7:$AL7, $P7:$AL7 &lt;&gt; """"), 2)"),"AI AND  STRATEGY")</f>
        <v>AI AND  STRATEGY</v>
      </c>
      <c r="I7" s="106" t="str">
        <f ca="1">IFERROR(__xludf.DUMMYFUNCTION("INDEX(FILTER($P7:$AL7, $P7:$AL7 &lt;&gt; """"), 3)"),"Industry 4.0 in Transport Sector")</f>
        <v>Industry 4.0 in Transport Sector</v>
      </c>
      <c r="J7" s="106" t="str">
        <f ca="1">IFERROR(__xludf.DUMMYFUNCTION("IFERROR(INDEX(FILTER($P7:$AL7, $P7:$AL7 &lt;&gt; """"), 4),)"),"")</f>
        <v/>
      </c>
      <c r="K7" s="106" t="str">
        <f ca="1">IFERROR(__xludf.DUMMYFUNCTION("IFERROR(INDEX(FILTER($P7:$AL7, $P7:$AL7 &lt;&gt; """"), 5),)"),"")</f>
        <v/>
      </c>
      <c r="L7" s="107"/>
      <c r="M7" s="129" t="s">
        <v>387</v>
      </c>
      <c r="N7" s="133" t="s">
        <v>6</v>
      </c>
      <c r="O7" s="107"/>
      <c r="P7" s="132" t="str">
        <f>IF(COUNTIF('Fintech-A'!$A:$A, $C7), P$1, "")</f>
        <v/>
      </c>
      <c r="Q7" s="132" t="str">
        <f>IF(COUNTIF('Fintech-B'!$A:$A, $C7), Q$1, "")</f>
        <v/>
      </c>
      <c r="R7" s="132" t="str">
        <f>IF(COUNTIF('BEDM-A'!$A:$A, $C7), R$1, "")</f>
        <v/>
      </c>
      <c r="S7" s="132" t="str">
        <f>IF(COUNTIF('BEDM-B'!$A:$A, $C7), S$1, "")</f>
        <v/>
      </c>
      <c r="T7" s="132" t="str">
        <f>IF(COUNTIF('Art-A'!$A:$A, $C7), T$1, "")</f>
        <v/>
      </c>
      <c r="U7" s="132" t="str">
        <f>IF(COUNTIF('Art-B'!$A:$A, $C7), U$1, "")</f>
        <v/>
      </c>
      <c r="V7" s="132" t="str">
        <f>IF(COUNTIF('WH-A'!$A:$A, $C7), V$1, "")</f>
        <v/>
      </c>
      <c r="W7" s="132" t="str">
        <f>IF(COUNTIF('WH-B'!$A:$A, $C7), W$1, "")</f>
        <v/>
      </c>
      <c r="X7" s="132" t="str">
        <f>IF(COUNTIF(LETV!$A:$A, $C7), X$1, "")</f>
        <v>Leadership Excellence Through Values : Wisdom from the Mahabharata</v>
      </c>
      <c r="Y7" s="132" t="str">
        <f>IF(COUNTIF('Film&amp;Firm-A'!$A:$A, $C7), Y$1, "")</f>
        <v/>
      </c>
      <c r="Z7" s="132" t="str">
        <f>IF(COUNTIF('Film&amp;Firm-B'!$A:$A, $C7), Z$1, "")</f>
        <v/>
      </c>
      <c r="AA7" s="132" t="str">
        <f>IF(COUNTIF(SHRM!$A:$A, $C7), AA$1, "")</f>
        <v/>
      </c>
      <c r="AB7" s="132" t="str">
        <f>IF(COUNTIF('SCM-A'!$A:$A, $C7), AB$1, "")</f>
        <v/>
      </c>
      <c r="AC7" s="132" t="str">
        <f>IF(COUNTIF('SCM-B'!$A:$A, $C7), AC$1, "")</f>
        <v/>
      </c>
      <c r="AD7" s="132" t="str">
        <f>IF(COUNTIF(AIS!$A:$A, $C7), AD$1, "")</f>
        <v>AI AND  STRATEGY</v>
      </c>
      <c r="AE7" s="132" t="str">
        <f>IF(COUNTIF(EB!$A:$A, $C7), AE$1, "")</f>
        <v/>
      </c>
      <c r="AF7" s="132" t="str">
        <f>IF(COUNTIF('AIAM-A'!$A:$A, $C7), AF$1, "")</f>
        <v/>
      </c>
      <c r="AG7" s="132" t="str">
        <f>IF(COUNTIF('AIAM-B'!$A:$A, $C7), AG$1, "")</f>
        <v/>
      </c>
      <c r="AH7" s="132" t="str">
        <f>IF(COUNTIF('SA-A'!$A:$A, $C7), AH$1, "")</f>
        <v/>
      </c>
      <c r="AI7" s="132" t="str">
        <f>IF(COUNTIF('SA-B'!$A:$A, $C7), AI$1, "")</f>
        <v/>
      </c>
      <c r="AJ7" s="132" t="str">
        <f>IF(COUNTIF(CSM!$A:$A, $C7), AJ$1, "")</f>
        <v/>
      </c>
      <c r="AK7" s="132" t="str">
        <f>IF(COUNTIF(EM!$A:$A, $C7), AK$1, "")</f>
        <v/>
      </c>
      <c r="AL7" s="132" t="str">
        <f>IF(COUNTIF(I4TS!$A:$A, $C7), AL$1, "")</f>
        <v>Industry 4.0 in Transport Sector</v>
      </c>
    </row>
    <row r="8" spans="1:38" ht="15.75" customHeight="1">
      <c r="A8" s="131">
        <v>7</v>
      </c>
      <c r="B8" s="131" t="s">
        <v>371</v>
      </c>
      <c r="C8" s="131" t="s">
        <v>388</v>
      </c>
      <c r="D8" s="106" t="s">
        <v>389</v>
      </c>
      <c r="E8" s="106" t="s">
        <v>390</v>
      </c>
      <c r="F8" s="131">
        <f t="shared" ca="1" si="0"/>
        <v>5</v>
      </c>
      <c r="G8" s="106" t="str">
        <f ca="1">IFERROR(__xludf.DUMMYFUNCTION("INDEX(FILTER($P8:$AL8, $P8:$AL8 &lt;&gt; """"), 1)"),"Fintech (Digital Transformation in Finance) (B)")</f>
        <v>Fintech (Digital Transformation in Finance) (B)</v>
      </c>
      <c r="H8" s="106" t="str">
        <f ca="1">IFERROR(__xludf.DUMMYFUNCTION("INDEX(FILTER($P8:$AL8, $P8:$AL8 &lt;&gt; """"), 2)"),"Behavioural Economics and Decision-Making (B)")</f>
        <v>Behavioural Economics and Decision-Making (B)</v>
      </c>
      <c r="I8" s="106" t="str">
        <f ca="1">IFERROR(__xludf.DUMMYFUNCTION("INDEX(FILTER($P8:$AL8, $P8:$AL8 &lt;&gt; """"), 3)"),"Film &amp; the Firm: Visual Culture in Business Contexts (A)")</f>
        <v>Film &amp; the Firm: Visual Culture in Business Contexts (A)</v>
      </c>
      <c r="J8" s="106" t="str">
        <f ca="1">IFERROR(__xludf.DUMMYFUNCTION("IFERROR(INDEX(FILTER($P8:$AL8, $P8:$AL8 &lt;&gt; """"), 4),)"),"")</f>
        <v/>
      </c>
      <c r="K8" s="106" t="str">
        <f ca="1">IFERROR(__xludf.DUMMYFUNCTION("IFERROR(INDEX(FILTER($P8:$AL8, $P8:$AL8 &lt;&gt; """"), 5),)"),"")</f>
        <v/>
      </c>
      <c r="L8" s="107"/>
      <c r="M8" s="129" t="s">
        <v>391</v>
      </c>
      <c r="N8" s="133" t="s">
        <v>7</v>
      </c>
      <c r="O8" s="107"/>
      <c r="P8" s="132" t="str">
        <f>IF(COUNTIF('Fintech-A'!$A:$A, $C8), P$1, "")</f>
        <v/>
      </c>
      <c r="Q8" s="132" t="str">
        <f>IF(COUNTIF('Fintech-B'!$A:$A, $C8), Q$1, "")</f>
        <v>Fintech (Digital Transformation in Finance) (B)</v>
      </c>
      <c r="R8" s="132" t="str">
        <f>IF(COUNTIF('BEDM-A'!$A:$A, $C8), R$1, "")</f>
        <v/>
      </c>
      <c r="S8" s="132" t="str">
        <f>IF(COUNTIF('BEDM-B'!$A:$A, $C8), S$1, "")</f>
        <v>Behavioural Economics and Decision-Making (B)</v>
      </c>
      <c r="T8" s="132" t="str">
        <f>IF(COUNTIF('Art-A'!$A:$A, $C8), T$1, "")</f>
        <v/>
      </c>
      <c r="U8" s="132" t="str">
        <f>IF(COUNTIF('Art-B'!$A:$A, $C8), U$1, "")</f>
        <v/>
      </c>
      <c r="V8" s="132" t="str">
        <f>IF(COUNTIF('WH-A'!$A:$A, $C8), V$1, "")</f>
        <v/>
      </c>
      <c r="W8" s="132" t="str">
        <f>IF(COUNTIF('WH-B'!$A:$A, $C8), W$1, "")</f>
        <v/>
      </c>
      <c r="X8" s="132" t="str">
        <f>IF(COUNTIF(LETV!$A:$A, $C8), X$1, "")</f>
        <v/>
      </c>
      <c r="Y8" s="132" t="str">
        <f>IF(COUNTIF('Film&amp;Firm-A'!$A:$A, $C8), Y$1, "")</f>
        <v>Film &amp; the Firm: Visual Culture in Business Contexts (A)</v>
      </c>
      <c r="Z8" s="132" t="str">
        <f>IF(COUNTIF('Film&amp;Firm-B'!$A:$A, $C8), Z$1, "")</f>
        <v/>
      </c>
      <c r="AA8" s="132" t="str">
        <f>IF(COUNTIF(SHRM!$A:$A, $C8), AA$1, "")</f>
        <v/>
      </c>
      <c r="AB8" s="132" t="str">
        <f>IF(COUNTIF('SCM-A'!$A:$A, $C8), AB$1, "")</f>
        <v/>
      </c>
      <c r="AC8" s="132" t="str">
        <f>IF(COUNTIF('SCM-B'!$A:$A, $C8), AC$1, "")</f>
        <v/>
      </c>
      <c r="AD8" s="132" t="str">
        <f>IF(COUNTIF(AIS!$A:$A, $C8), AD$1, "")</f>
        <v/>
      </c>
      <c r="AE8" s="132" t="str">
        <f>IF(COUNTIF(EB!$A:$A, $C8), AE$1, "")</f>
        <v/>
      </c>
      <c r="AF8" s="132" t="str">
        <f>IF(COUNTIF('AIAM-A'!$A:$A, $C8), AF$1, "")</f>
        <v/>
      </c>
      <c r="AG8" s="132" t="str">
        <f>IF(COUNTIF('AIAM-B'!$A:$A, $C8), AG$1, "")</f>
        <v/>
      </c>
      <c r="AH8" s="132" t="str">
        <f>IF(COUNTIF('SA-A'!$A:$A, $C8), AH$1, "")</f>
        <v/>
      </c>
      <c r="AI8" s="132" t="str">
        <f>IF(COUNTIF('SA-B'!$A:$A, $C8), AI$1, "")</f>
        <v/>
      </c>
      <c r="AJ8" s="132" t="str">
        <f>IF(COUNTIF(CSM!$A:$A, $C8), AJ$1, "")</f>
        <v/>
      </c>
      <c r="AK8" s="132" t="str">
        <f>IF(COUNTIF(EM!$A:$A, $C8), AK$1, "")</f>
        <v/>
      </c>
      <c r="AL8" s="132" t="str">
        <f>IF(COUNTIF(I4TS!$A:$A, $C8), AL$1, "")</f>
        <v/>
      </c>
    </row>
    <row r="9" spans="1:38" ht="15.75" customHeight="1">
      <c r="A9" s="131">
        <v>8</v>
      </c>
      <c r="B9" s="131" t="s">
        <v>371</v>
      </c>
      <c r="C9" s="131" t="s">
        <v>232</v>
      </c>
      <c r="D9" s="106" t="s">
        <v>392</v>
      </c>
      <c r="E9" s="106" t="s">
        <v>393</v>
      </c>
      <c r="F9" s="131">
        <f t="shared" ca="1" si="0"/>
        <v>5</v>
      </c>
      <c r="G9" s="106" t="str">
        <f ca="1">IFERROR(__xludf.DUMMYFUNCTION("INDEX(FILTER($P9:$AL9, $P9:$AL9 &lt;&gt; """"), 1)"),"Behavioural Economics and Decision-Making (B)")</f>
        <v>Behavioural Economics and Decision-Making (B)</v>
      </c>
      <c r="H9" s="106" t="str">
        <f ca="1">IFERROR(__xludf.DUMMYFUNCTION("INDEX(FILTER($P9:$AL9, $P9:$AL9 &lt;&gt; """"), 2)"),"Leadership Excellence Through Values : Wisdom from the Mahabharata")</f>
        <v>Leadership Excellence Through Values : Wisdom from the Mahabharata</v>
      </c>
      <c r="I9" s="106" t="str">
        <f ca="1">IFERROR(__xludf.DUMMYFUNCTION("INDEX(FILTER($P9:$AL9, $P9:$AL9 &lt;&gt; """"), 3)"),"Film &amp; the Firm: Visual Culture in Business Contexts (A)")</f>
        <v>Film &amp; the Firm: Visual Culture in Business Contexts (A)</v>
      </c>
      <c r="J9" s="106" t="str">
        <f ca="1">IFERROR(__xludf.DUMMYFUNCTION("IFERROR(INDEX(FILTER($P9:$AL9, $P9:$AL9 &lt;&gt; """"), 4),)"),"")</f>
        <v/>
      </c>
      <c r="K9" s="106" t="str">
        <f ca="1">IFERROR(__xludf.DUMMYFUNCTION("IFERROR(INDEX(FILTER($P9:$AL9, $P9:$AL9 &lt;&gt; """"), 5),)"),"")</f>
        <v/>
      </c>
      <c r="L9" s="107"/>
      <c r="M9" s="129" t="s">
        <v>394</v>
      </c>
      <c r="N9" s="133" t="s">
        <v>8</v>
      </c>
      <c r="O9" s="107"/>
      <c r="P9" s="132" t="str">
        <f>IF(COUNTIF('Fintech-A'!$A:$A, $C9), P$1, "")</f>
        <v/>
      </c>
      <c r="Q9" s="132" t="str">
        <f>IF(COUNTIF('Fintech-B'!$A:$A, $C9), Q$1, "")</f>
        <v/>
      </c>
      <c r="R9" s="132" t="str">
        <f>IF(COUNTIF('BEDM-A'!$A:$A, $C9), R$1, "")</f>
        <v/>
      </c>
      <c r="S9" s="132" t="str">
        <f>IF(COUNTIF('BEDM-B'!$A:$A, $C9), S$1, "")</f>
        <v>Behavioural Economics and Decision-Making (B)</v>
      </c>
      <c r="T9" s="132" t="str">
        <f>IF(COUNTIF('Art-A'!$A:$A, $C9), T$1, "")</f>
        <v/>
      </c>
      <c r="U9" s="132" t="str">
        <f>IF(COUNTIF('Art-B'!$A:$A, $C9), U$1, "")</f>
        <v/>
      </c>
      <c r="V9" s="132" t="str">
        <f>IF(COUNTIF('WH-A'!$A:$A, $C9), V$1, "")</f>
        <v/>
      </c>
      <c r="W9" s="132" t="str">
        <f>IF(COUNTIF('WH-B'!$A:$A, $C9), W$1, "")</f>
        <v/>
      </c>
      <c r="X9" s="132" t="str">
        <f>IF(COUNTIF(LETV!$A:$A, $C9), X$1, "")</f>
        <v>Leadership Excellence Through Values : Wisdom from the Mahabharata</v>
      </c>
      <c r="Y9" s="132" t="str">
        <f>IF(COUNTIF('Film&amp;Firm-A'!$A:$A, $C9), Y$1, "")</f>
        <v>Film &amp; the Firm: Visual Culture in Business Contexts (A)</v>
      </c>
      <c r="Z9" s="132" t="str">
        <f>IF(COUNTIF('Film&amp;Firm-B'!$A:$A, $C9), Z$1, "")</f>
        <v/>
      </c>
      <c r="AA9" s="132" t="str">
        <f>IF(COUNTIF(SHRM!$A:$A, $C9), AA$1, "")</f>
        <v/>
      </c>
      <c r="AB9" s="132" t="str">
        <f>IF(COUNTIF('SCM-A'!$A:$A, $C9), AB$1, "")</f>
        <v/>
      </c>
      <c r="AC9" s="132" t="str">
        <f>IF(COUNTIF('SCM-B'!$A:$A, $C9), AC$1, "")</f>
        <v/>
      </c>
      <c r="AD9" s="132" t="str">
        <f>IF(COUNTIF(AIS!$A:$A, $C9), AD$1, "")</f>
        <v/>
      </c>
      <c r="AE9" s="132" t="str">
        <f>IF(COUNTIF(EB!$A:$A, $C9), AE$1, "")</f>
        <v/>
      </c>
      <c r="AF9" s="132" t="str">
        <f>IF(COUNTIF('AIAM-A'!$A:$A, $C9), AF$1, "")</f>
        <v/>
      </c>
      <c r="AG9" s="132" t="str">
        <f>IF(COUNTIF('AIAM-B'!$A:$A, $C9), AG$1, "")</f>
        <v/>
      </c>
      <c r="AH9" s="132" t="str">
        <f>IF(COUNTIF('SA-A'!$A:$A, $C9), AH$1, "")</f>
        <v/>
      </c>
      <c r="AI9" s="132" t="str">
        <f>IF(COUNTIF('SA-B'!$A:$A, $C9), AI$1, "")</f>
        <v/>
      </c>
      <c r="AJ9" s="132" t="str">
        <f>IF(COUNTIF(CSM!$A:$A, $C9), AJ$1, "")</f>
        <v/>
      </c>
      <c r="AK9" s="132" t="str">
        <f>IF(COUNTIF(EM!$A:$A, $C9), AK$1, "")</f>
        <v/>
      </c>
      <c r="AL9" s="132" t="str">
        <f>IF(COUNTIF(I4TS!$A:$A, $C9), AL$1, "")</f>
        <v/>
      </c>
    </row>
    <row r="10" spans="1:38" ht="15.75" customHeight="1">
      <c r="A10" s="131">
        <v>9</v>
      </c>
      <c r="B10" s="131" t="s">
        <v>371</v>
      </c>
      <c r="C10" s="131" t="s">
        <v>233</v>
      </c>
      <c r="D10" s="106" t="s">
        <v>395</v>
      </c>
      <c r="E10" s="106" t="s">
        <v>396</v>
      </c>
      <c r="F10" s="131">
        <f t="shared" ca="1" si="0"/>
        <v>5</v>
      </c>
      <c r="G10" s="106" t="str">
        <f ca="1">IFERROR(__xludf.DUMMYFUNCTION("INDEX(FILTER($P10:$AL10, $P10:$AL10 &lt;&gt; """"), 1)"),"Workplace Happiness: Science &amp; Practice (B)")</f>
        <v>Workplace Happiness: Science &amp; Practice (B)</v>
      </c>
      <c r="H10" s="106" t="str">
        <f ca="1">IFERROR(__xludf.DUMMYFUNCTION("INDEX(FILTER($P10:$AL10, $P10:$AL10 &lt;&gt; """"), 2)"),"Film &amp; the Firm: Visual Culture in Business Contexts (A)")</f>
        <v>Film &amp; the Firm: Visual Culture in Business Contexts (A)</v>
      </c>
      <c r="I10" s="106" t="str">
        <f ca="1">IFERROR(__xludf.DUMMYFUNCTION("INDEX(FILTER($P10:$AL10, $P10:$AL10 &lt;&gt; """"), 3)"),"Strategic HRM")</f>
        <v>Strategic HRM</v>
      </c>
      <c r="J10" s="106" t="str">
        <f ca="1">IFERROR(__xludf.DUMMYFUNCTION("IFERROR(INDEX(FILTER($P10:$AL10, $P10:$AL10 &lt;&gt; """"), 4),)"),"AI AND  STRATEGY")</f>
        <v>AI AND  STRATEGY</v>
      </c>
      <c r="K10" s="106" t="str">
        <f ca="1">IFERROR(__xludf.DUMMYFUNCTION("IFERROR(INDEX(FILTER($P10:$AL10, $P10:$AL10 &lt;&gt; """"), 5),)"),"Entrepreneurial Marketing")</f>
        <v>Entrepreneurial Marketing</v>
      </c>
      <c r="L10" s="107"/>
      <c r="M10" s="129" t="s">
        <v>397</v>
      </c>
      <c r="N10" s="133" t="s">
        <v>9</v>
      </c>
      <c r="O10" s="107"/>
      <c r="P10" s="132" t="str">
        <f>IF(COUNTIF('Fintech-A'!$A:$A, $C10), P$1, "")</f>
        <v/>
      </c>
      <c r="Q10" s="132" t="str">
        <f>IF(COUNTIF('Fintech-B'!$A:$A, $C10), Q$1, "")</f>
        <v/>
      </c>
      <c r="R10" s="132" t="str">
        <f>IF(COUNTIF('BEDM-A'!$A:$A, $C10), R$1, "")</f>
        <v/>
      </c>
      <c r="S10" s="132" t="str">
        <f>IF(COUNTIF('BEDM-B'!$A:$A, $C10), S$1, "")</f>
        <v/>
      </c>
      <c r="T10" s="132" t="str">
        <f>IF(COUNTIF('Art-A'!$A:$A, $C10), T$1, "")</f>
        <v/>
      </c>
      <c r="U10" s="132" t="str">
        <f>IF(COUNTIF('Art-B'!$A:$A, $C10), U$1, "")</f>
        <v/>
      </c>
      <c r="V10" s="132" t="str">
        <f>IF(COUNTIF('WH-A'!$A:$A, $C10), V$1, "")</f>
        <v/>
      </c>
      <c r="W10" s="132" t="str">
        <f>IF(COUNTIF('WH-B'!$A:$A, $C10), W$1, "")</f>
        <v>Workplace Happiness: Science &amp; Practice (B)</v>
      </c>
      <c r="X10" s="132" t="str">
        <f>IF(COUNTIF(LETV!$A:$A, $C10), X$1, "")</f>
        <v/>
      </c>
      <c r="Y10" s="132" t="str">
        <f>IF(COUNTIF('Film&amp;Firm-A'!$A:$A, $C10), Y$1, "")</f>
        <v>Film &amp; the Firm: Visual Culture in Business Contexts (A)</v>
      </c>
      <c r="Z10" s="132" t="str">
        <f>IF(COUNTIF('Film&amp;Firm-B'!$A:$A, $C10), Z$1, "")</f>
        <v/>
      </c>
      <c r="AA10" s="132" t="str">
        <f>IF(COUNTIF(SHRM!$A:$A, $C10), AA$1, "")</f>
        <v>Strategic HRM</v>
      </c>
      <c r="AB10" s="132" t="str">
        <f>IF(COUNTIF('SCM-A'!$A:$A, $C10), AB$1, "")</f>
        <v/>
      </c>
      <c r="AC10" s="132" t="str">
        <f>IF(COUNTIF('SCM-B'!$A:$A, $C10), AC$1, "")</f>
        <v/>
      </c>
      <c r="AD10" s="132" t="str">
        <f>IF(COUNTIF(AIS!$A:$A, $C10), AD$1, "")</f>
        <v>AI AND  STRATEGY</v>
      </c>
      <c r="AE10" s="132" t="str">
        <f>IF(COUNTIF(EB!$A:$A, $C10), AE$1, "")</f>
        <v/>
      </c>
      <c r="AF10" s="132" t="str">
        <f>IF(COUNTIF('AIAM-A'!$A:$A, $C10), AF$1, "")</f>
        <v/>
      </c>
      <c r="AG10" s="132" t="str">
        <f>IF(COUNTIF('AIAM-B'!$A:$A, $C10), AG$1, "")</f>
        <v/>
      </c>
      <c r="AH10" s="132" t="str">
        <f>IF(COUNTIF('SA-A'!$A:$A, $C10), AH$1, "")</f>
        <v/>
      </c>
      <c r="AI10" s="132" t="str">
        <f>IF(COUNTIF('SA-B'!$A:$A, $C10), AI$1, "")</f>
        <v/>
      </c>
      <c r="AJ10" s="132" t="str">
        <f>IF(COUNTIF(CSM!$A:$A, $C10), AJ$1, "")</f>
        <v/>
      </c>
      <c r="AK10" s="132" t="str">
        <f>IF(COUNTIF(EM!$A:$A, $C10), AK$1, "")</f>
        <v>Entrepreneurial Marketing</v>
      </c>
      <c r="AL10" s="132" t="str">
        <f>IF(COUNTIF(I4TS!$A:$A, $C10), AL$1, "")</f>
        <v/>
      </c>
    </row>
    <row r="11" spans="1:38" ht="15.75" customHeight="1">
      <c r="A11" s="131">
        <v>10</v>
      </c>
      <c r="B11" s="131" t="s">
        <v>371</v>
      </c>
      <c r="C11" s="131" t="s">
        <v>398</v>
      </c>
      <c r="D11" s="106" t="s">
        <v>399</v>
      </c>
      <c r="E11" s="106" t="s">
        <v>400</v>
      </c>
      <c r="F11" s="131">
        <f t="shared" ca="1" si="0"/>
        <v>5</v>
      </c>
      <c r="G11" s="106" t="str">
        <f ca="1">IFERROR(__xludf.DUMMYFUNCTION("INDEX(FILTER($P11:$AL11, $P11:$AL11 &lt;&gt; """"), 1)"),"AI AND  STRATEGY")</f>
        <v>AI AND  STRATEGY</v>
      </c>
      <c r="H11" s="106" t="str">
        <f ca="1">IFERROR(__xludf.DUMMYFUNCTION("INDEX(FILTER($P11:$AL11, $P11:$AL11 &lt;&gt; """"), 2)"),"AI Applications in Marketing (B)")</f>
        <v>AI Applications in Marketing (B)</v>
      </c>
      <c r="I11" s="106" t="str">
        <f ca="1">IFERROR(__xludf.DUMMYFUNCTION("INDEX(FILTER($P11:$AL11, $P11:$AL11 &lt;&gt; """"), 3)"),"Customer Success Management")</f>
        <v>Customer Success Management</v>
      </c>
      <c r="J11" s="106" t="str">
        <f ca="1">IFERROR(__xludf.DUMMYFUNCTION("IFERROR(INDEX(FILTER($P11:$AL11, $P11:$AL11 &lt;&gt; """"), 4),)"),"")</f>
        <v/>
      </c>
      <c r="K11" s="106" t="str">
        <f ca="1">IFERROR(__xludf.DUMMYFUNCTION("IFERROR(INDEX(FILTER($P11:$AL11, $P11:$AL11 &lt;&gt; """"), 5),)"),"")</f>
        <v/>
      </c>
      <c r="L11" s="107"/>
      <c r="M11" s="129" t="s">
        <v>401</v>
      </c>
      <c r="N11" s="133" t="s">
        <v>10</v>
      </c>
      <c r="O11" s="107"/>
      <c r="P11" s="132" t="str">
        <f>IF(COUNTIF('Fintech-A'!$A:$A, $C11), P$1, "")</f>
        <v/>
      </c>
      <c r="Q11" s="132" t="str">
        <f>IF(COUNTIF('Fintech-B'!$A:$A, $C11), Q$1, "")</f>
        <v/>
      </c>
      <c r="R11" s="132" t="str">
        <f>IF(COUNTIF('BEDM-A'!$A:$A, $C11), R$1, "")</f>
        <v/>
      </c>
      <c r="S11" s="132" t="str">
        <f>IF(COUNTIF('BEDM-B'!$A:$A, $C11), S$1, "")</f>
        <v/>
      </c>
      <c r="T11" s="132" t="str">
        <f>IF(COUNTIF('Art-A'!$A:$A, $C11), T$1, "")</f>
        <v/>
      </c>
      <c r="U11" s="132" t="str">
        <f>IF(COUNTIF('Art-B'!$A:$A, $C11), U$1, "")</f>
        <v/>
      </c>
      <c r="V11" s="132" t="str">
        <f>IF(COUNTIF('WH-A'!$A:$A, $C11), V$1, "")</f>
        <v/>
      </c>
      <c r="W11" s="132" t="str">
        <f>IF(COUNTIF('WH-B'!$A:$A, $C11), W$1, "")</f>
        <v/>
      </c>
      <c r="X11" s="132" t="str">
        <f>IF(COUNTIF(LETV!$A:$A, $C11), X$1, "")</f>
        <v/>
      </c>
      <c r="Y11" s="132" t="str">
        <f>IF(COUNTIF('Film&amp;Firm-A'!$A:$A, $C11), Y$1, "")</f>
        <v/>
      </c>
      <c r="Z11" s="132" t="str">
        <f>IF(COUNTIF('Film&amp;Firm-B'!$A:$A, $C11), Z$1, "")</f>
        <v/>
      </c>
      <c r="AA11" s="132" t="str">
        <f>IF(COUNTIF(SHRM!$A:$A, $C11), AA$1, "")</f>
        <v/>
      </c>
      <c r="AB11" s="132" t="str">
        <f>IF(COUNTIF('SCM-A'!$A:$A, $C11), AB$1, "")</f>
        <v/>
      </c>
      <c r="AC11" s="132" t="str">
        <f>IF(COUNTIF('SCM-B'!$A:$A, $C11), AC$1, "")</f>
        <v/>
      </c>
      <c r="AD11" s="132" t="str">
        <f>IF(COUNTIF(AIS!$A:$A, $C11), AD$1, "")</f>
        <v>AI AND  STRATEGY</v>
      </c>
      <c r="AE11" s="132" t="str">
        <f>IF(COUNTIF(EB!$A:$A, $C11), AE$1, "")</f>
        <v/>
      </c>
      <c r="AF11" s="132" t="str">
        <f>IF(COUNTIF('AIAM-A'!$A:$A, $C11), AF$1, "")</f>
        <v/>
      </c>
      <c r="AG11" s="132" t="str">
        <f>IF(COUNTIF('AIAM-B'!$A:$A, $C11), AG$1, "")</f>
        <v>AI Applications in Marketing (B)</v>
      </c>
      <c r="AH11" s="132" t="str">
        <f>IF(COUNTIF('SA-A'!$A:$A, $C11), AH$1, "")</f>
        <v/>
      </c>
      <c r="AI11" s="132" t="str">
        <f>IF(COUNTIF('SA-B'!$A:$A, $C11), AI$1, "")</f>
        <v/>
      </c>
      <c r="AJ11" s="132" t="str">
        <f>IF(COUNTIF(CSM!$A:$A, $C11), AJ$1, "")</f>
        <v>Customer Success Management</v>
      </c>
      <c r="AK11" s="132" t="str">
        <f>IF(COUNTIF(EM!$A:$A, $C11), AK$1, "")</f>
        <v/>
      </c>
      <c r="AL11" s="132" t="str">
        <f>IF(COUNTIF(I4TS!$A:$A, $C11), AL$1, "")</f>
        <v/>
      </c>
    </row>
    <row r="12" spans="1:38" ht="15.75" customHeight="1">
      <c r="A12" s="131">
        <v>11</v>
      </c>
      <c r="B12" s="131" t="s">
        <v>371</v>
      </c>
      <c r="C12" s="131" t="s">
        <v>234</v>
      </c>
      <c r="D12" s="106" t="s">
        <v>402</v>
      </c>
      <c r="E12" s="106" t="s">
        <v>403</v>
      </c>
      <c r="F12" s="131">
        <f t="shared" ca="1" si="0"/>
        <v>5</v>
      </c>
      <c r="G12" s="106" t="str">
        <f ca="1">IFERROR(__xludf.DUMMYFUNCTION("INDEX(FILTER($P12:$AL12, $P12:$AL12 &lt;&gt; """"), 1)"),"Fintech (Digital Transformation in Finance) (B)")</f>
        <v>Fintech (Digital Transformation in Finance) (B)</v>
      </c>
      <c r="H12" s="106" t="str">
        <f ca="1">IFERROR(__xludf.DUMMYFUNCTION("INDEX(FILTER($P12:$AL12, $P12:$AL12 &lt;&gt; """"), 2)"),"Film &amp; the Firm: Visual Culture in Business Contexts (B)")</f>
        <v>Film &amp; the Firm: Visual Culture in Business Contexts (B)</v>
      </c>
      <c r="I12" s="106" t="str">
        <f ca="1">IFERROR(__xludf.DUMMYFUNCTION("INDEX(FILTER($P12:$AL12, $P12:$AL12 &lt;&gt; """"), 3)"),"Strategic Career Management (A)")</f>
        <v>Strategic Career Management (A)</v>
      </c>
      <c r="J12" s="106" t="str">
        <f ca="1">IFERROR(__xludf.DUMMYFUNCTION("IFERROR(INDEX(FILTER($P12:$AL12, $P12:$AL12 &lt;&gt; """"), 4),)"),"AI Applications in Marketing (B)")</f>
        <v>AI Applications in Marketing (B)</v>
      </c>
      <c r="K12" s="106" t="str">
        <f ca="1">IFERROR(__xludf.DUMMYFUNCTION("IFERROR(INDEX(FILTER($P12:$AL12, $P12:$AL12 &lt;&gt; """"), 5),)"),"SPORTS ANALYTICS (B)")</f>
        <v>SPORTS ANALYTICS (B)</v>
      </c>
      <c r="L12" s="107"/>
      <c r="M12" s="129" t="s">
        <v>404</v>
      </c>
      <c r="N12" s="133" t="s">
        <v>11</v>
      </c>
      <c r="O12" s="107"/>
      <c r="P12" s="132" t="str">
        <f>IF(COUNTIF('Fintech-A'!$A:$A, $C12), P$1, "")</f>
        <v/>
      </c>
      <c r="Q12" s="132" t="str">
        <f>IF(COUNTIF('Fintech-B'!$A:$A, $C12), Q$1, "")</f>
        <v>Fintech (Digital Transformation in Finance) (B)</v>
      </c>
      <c r="R12" s="132" t="str">
        <f>IF(COUNTIF('BEDM-A'!$A:$A, $C12), R$1, "")</f>
        <v/>
      </c>
      <c r="S12" s="132" t="str">
        <f>IF(COUNTIF('BEDM-B'!$A:$A, $C12), S$1, "")</f>
        <v/>
      </c>
      <c r="T12" s="132" t="str">
        <f>IF(COUNTIF('Art-A'!$A:$A, $C12), T$1, "")</f>
        <v/>
      </c>
      <c r="U12" s="132" t="str">
        <f>IF(COUNTIF('Art-B'!$A:$A, $C12), U$1, "")</f>
        <v/>
      </c>
      <c r="V12" s="132" t="str">
        <f>IF(COUNTIF('WH-A'!$A:$A, $C12), V$1, "")</f>
        <v/>
      </c>
      <c r="W12" s="132" t="str">
        <f>IF(COUNTIF('WH-B'!$A:$A, $C12), W$1, "")</f>
        <v/>
      </c>
      <c r="X12" s="132" t="str">
        <f>IF(COUNTIF(LETV!$A:$A, $C12), X$1, "")</f>
        <v/>
      </c>
      <c r="Y12" s="132" t="str">
        <f>IF(COUNTIF('Film&amp;Firm-A'!$A:$A, $C12), Y$1, "")</f>
        <v/>
      </c>
      <c r="Z12" s="132" t="str">
        <f>IF(COUNTIF('Film&amp;Firm-B'!$A:$A, $C12), Z$1, "")</f>
        <v>Film &amp; the Firm: Visual Culture in Business Contexts (B)</v>
      </c>
      <c r="AA12" s="132" t="str">
        <f>IF(COUNTIF(SHRM!$A:$A, $C12), AA$1, "")</f>
        <v/>
      </c>
      <c r="AB12" s="132" t="str">
        <f>IF(COUNTIF('SCM-A'!$A:$A, $C12), AB$1, "")</f>
        <v>Strategic Career Management (A)</v>
      </c>
      <c r="AC12" s="132" t="str">
        <f>IF(COUNTIF('SCM-B'!$A:$A, $C12), AC$1, "")</f>
        <v/>
      </c>
      <c r="AD12" s="132" t="str">
        <f>IF(COUNTIF(AIS!$A:$A, $C12), AD$1, "")</f>
        <v/>
      </c>
      <c r="AE12" s="132" t="str">
        <f>IF(COUNTIF(EB!$A:$A, $C12), AE$1, "")</f>
        <v/>
      </c>
      <c r="AF12" s="132" t="str">
        <f>IF(COUNTIF('AIAM-A'!$A:$A, $C12), AF$1, "")</f>
        <v/>
      </c>
      <c r="AG12" s="132" t="str">
        <f>IF(COUNTIF('AIAM-B'!$A:$A, $C12), AG$1, "")</f>
        <v>AI Applications in Marketing (B)</v>
      </c>
      <c r="AH12" s="132" t="str">
        <f>IF(COUNTIF('SA-A'!$A:$A, $C12), AH$1, "")</f>
        <v/>
      </c>
      <c r="AI12" s="132" t="str">
        <f>IF(COUNTIF('SA-B'!$A:$A, $C12), AI$1, "")</f>
        <v>SPORTS ANALYTICS (B)</v>
      </c>
      <c r="AJ12" s="132" t="str">
        <f>IF(COUNTIF(CSM!$A:$A, $C12), AJ$1, "")</f>
        <v/>
      </c>
      <c r="AK12" s="132" t="str">
        <f>IF(COUNTIF(EM!$A:$A, $C12), AK$1, "")</f>
        <v/>
      </c>
      <c r="AL12" s="132" t="str">
        <f>IF(COUNTIF(I4TS!$A:$A, $C12), AL$1, "")</f>
        <v/>
      </c>
    </row>
    <row r="13" spans="1:38" ht="15.75" customHeight="1">
      <c r="A13" s="131">
        <v>12</v>
      </c>
      <c r="B13" s="131" t="s">
        <v>371</v>
      </c>
      <c r="C13" s="131" t="s">
        <v>405</v>
      </c>
      <c r="D13" s="106" t="s">
        <v>406</v>
      </c>
      <c r="E13" s="106" t="s">
        <v>407</v>
      </c>
      <c r="F13" s="131">
        <f t="shared" ca="1" si="0"/>
        <v>5</v>
      </c>
      <c r="G13" s="106" t="str">
        <f ca="1">IFERROR(__xludf.DUMMYFUNCTION("INDEX(FILTER($P13:$AL13, $P13:$AL13 &lt;&gt; """"), 1)"),"Behavioural Economics and Decision-Making (A)")</f>
        <v>Behavioural Economics and Decision-Making (A)</v>
      </c>
      <c r="H13" s="106" t="str">
        <f ca="1">IFERROR(__xludf.DUMMYFUNCTION("INDEX(FILTER($P13:$AL13, $P13:$AL13 &lt;&gt; """"), 2)"),"Film &amp; the Firm: Visual Culture in Business Contexts (B)")</f>
        <v>Film &amp; the Firm: Visual Culture in Business Contexts (B)</v>
      </c>
      <c r="I13" s="106" t="str">
        <f ca="1">IFERROR(__xludf.DUMMYFUNCTION("INDEX(FILTER($P13:$AL13, $P13:$AL13 &lt;&gt; """"), 3)"),"AI AND  STRATEGY")</f>
        <v>AI AND  STRATEGY</v>
      </c>
      <c r="J13" s="106" t="str">
        <f ca="1">IFERROR(__xludf.DUMMYFUNCTION("IFERROR(INDEX(FILTER($P13:$AL13, $P13:$AL13 &lt;&gt; """"), 4),)"),"")</f>
        <v/>
      </c>
      <c r="K13" s="106" t="str">
        <f ca="1">IFERROR(__xludf.DUMMYFUNCTION("IFERROR(INDEX(FILTER($P13:$AL13, $P13:$AL13 &lt;&gt; """"), 5),)"),"")</f>
        <v/>
      </c>
      <c r="L13" s="107"/>
      <c r="M13" s="129" t="s">
        <v>408</v>
      </c>
      <c r="N13" s="133" t="s">
        <v>12</v>
      </c>
      <c r="O13" s="107"/>
      <c r="P13" s="132" t="str">
        <f>IF(COUNTIF('Fintech-A'!$A:$A, $C13), P$1, "")</f>
        <v/>
      </c>
      <c r="Q13" s="132" t="str">
        <f>IF(COUNTIF('Fintech-B'!$A:$A, $C13), Q$1, "")</f>
        <v/>
      </c>
      <c r="R13" s="132" t="str">
        <f>IF(COUNTIF('BEDM-A'!$A:$A, $C13), R$1, "")</f>
        <v>Behavioural Economics and Decision-Making (A)</v>
      </c>
      <c r="S13" s="132" t="str">
        <f>IF(COUNTIF('BEDM-B'!$A:$A, $C13), S$1, "")</f>
        <v/>
      </c>
      <c r="T13" s="132" t="str">
        <f>IF(COUNTIF('Art-A'!$A:$A, $C13), T$1, "")</f>
        <v/>
      </c>
      <c r="U13" s="132" t="str">
        <f>IF(COUNTIF('Art-B'!$A:$A, $C13), U$1, "")</f>
        <v/>
      </c>
      <c r="V13" s="132" t="str">
        <f>IF(COUNTIF('WH-A'!$A:$A, $C13), V$1, "")</f>
        <v/>
      </c>
      <c r="W13" s="132" t="str">
        <f>IF(COUNTIF('WH-B'!$A:$A, $C13), W$1, "")</f>
        <v/>
      </c>
      <c r="X13" s="132" t="str">
        <f>IF(COUNTIF(LETV!$A:$A, $C13), X$1, "")</f>
        <v/>
      </c>
      <c r="Y13" s="132" t="str">
        <f>IF(COUNTIF('Film&amp;Firm-A'!$A:$A, $C13), Y$1, "")</f>
        <v/>
      </c>
      <c r="Z13" s="132" t="str">
        <f>IF(COUNTIF('Film&amp;Firm-B'!$A:$A, $C13), Z$1, "")</f>
        <v>Film &amp; the Firm: Visual Culture in Business Contexts (B)</v>
      </c>
      <c r="AA13" s="132" t="str">
        <f>IF(COUNTIF(SHRM!$A:$A, $C13), AA$1, "")</f>
        <v/>
      </c>
      <c r="AB13" s="132" t="str">
        <f>IF(COUNTIF('SCM-A'!$A:$A, $C13), AB$1, "")</f>
        <v/>
      </c>
      <c r="AC13" s="132" t="str">
        <f>IF(COUNTIF('SCM-B'!$A:$A, $C13), AC$1, "")</f>
        <v/>
      </c>
      <c r="AD13" s="132" t="str">
        <f>IF(COUNTIF(AIS!$A:$A, $C13), AD$1, "")</f>
        <v>AI AND  STRATEGY</v>
      </c>
      <c r="AE13" s="132" t="str">
        <f>IF(COUNTIF(EB!$A:$A, $C13), AE$1, "")</f>
        <v/>
      </c>
      <c r="AF13" s="132" t="str">
        <f>IF(COUNTIF('AIAM-A'!$A:$A, $C13), AF$1, "")</f>
        <v/>
      </c>
      <c r="AG13" s="132" t="str">
        <f>IF(COUNTIF('AIAM-B'!$A:$A, $C13), AG$1, "")</f>
        <v/>
      </c>
      <c r="AH13" s="132" t="str">
        <f>IF(COUNTIF('SA-A'!$A:$A, $C13), AH$1, "")</f>
        <v/>
      </c>
      <c r="AI13" s="132" t="str">
        <f>IF(COUNTIF('SA-B'!$A:$A, $C13), AI$1, "")</f>
        <v/>
      </c>
      <c r="AJ13" s="132" t="str">
        <f>IF(COUNTIF(CSM!$A:$A, $C13), AJ$1, "")</f>
        <v/>
      </c>
      <c r="AK13" s="132" t="str">
        <f>IF(COUNTIF(EM!$A:$A, $C13), AK$1, "")</f>
        <v/>
      </c>
      <c r="AL13" s="132" t="str">
        <f>IF(COUNTIF(I4TS!$A:$A, $C13), AL$1, "")</f>
        <v/>
      </c>
    </row>
    <row r="14" spans="1:38" ht="15.75" customHeight="1">
      <c r="A14" s="131">
        <v>13</v>
      </c>
      <c r="B14" s="131" t="s">
        <v>371</v>
      </c>
      <c r="C14" s="131" t="s">
        <v>409</v>
      </c>
      <c r="D14" s="106" t="s">
        <v>410</v>
      </c>
      <c r="E14" s="106" t="s">
        <v>411</v>
      </c>
      <c r="F14" s="131">
        <f t="shared" ca="1" si="0"/>
        <v>5</v>
      </c>
      <c r="G14" s="106" t="str">
        <f ca="1">IFERROR(__xludf.DUMMYFUNCTION("INDEX(FILTER($P14:$AL14, $P14:$AL14 &lt;&gt; """"), 1)"),"Fintech (Digital Transformation in Finance) (B)")</f>
        <v>Fintech (Digital Transformation in Finance) (B)</v>
      </c>
      <c r="H14" s="106" t="str">
        <f ca="1">IFERROR(__xludf.DUMMYFUNCTION("INDEX(FILTER($P14:$AL14, $P14:$AL14 &lt;&gt; """"), 2)"),"Workplace Happiness: Science &amp; Practice (B)")</f>
        <v>Workplace Happiness: Science &amp; Practice (B)</v>
      </c>
      <c r="I14" s="106" t="str">
        <f ca="1">IFERROR(__xludf.DUMMYFUNCTION("INDEX(FILTER($P14:$AL14, $P14:$AL14 &lt;&gt; """"), 3)"),"AI Applications in Marketing (A)")</f>
        <v>AI Applications in Marketing (A)</v>
      </c>
      <c r="J14" s="106" t="str">
        <f ca="1">IFERROR(__xludf.DUMMYFUNCTION("IFERROR(INDEX(FILTER($P14:$AL14, $P14:$AL14 &lt;&gt; """"), 4),)"),"")</f>
        <v/>
      </c>
      <c r="K14" s="106" t="str">
        <f ca="1">IFERROR(__xludf.DUMMYFUNCTION("IFERROR(INDEX(FILTER($P14:$AL14, $P14:$AL14 &lt;&gt; """"), 5),)"),"")</f>
        <v/>
      </c>
      <c r="L14" s="107"/>
      <c r="M14" s="129" t="s">
        <v>412</v>
      </c>
      <c r="N14" s="133" t="s">
        <v>13</v>
      </c>
      <c r="O14" s="107"/>
      <c r="P14" s="132" t="str">
        <f>IF(COUNTIF('Fintech-A'!$A:$A, $C14), P$1, "")</f>
        <v/>
      </c>
      <c r="Q14" s="132" t="str">
        <f>IF(COUNTIF('Fintech-B'!$A:$A, $C14), Q$1, "")</f>
        <v>Fintech (Digital Transformation in Finance) (B)</v>
      </c>
      <c r="R14" s="132" t="str">
        <f>IF(COUNTIF('BEDM-A'!$A:$A, $C14), R$1, "")</f>
        <v/>
      </c>
      <c r="S14" s="132" t="str">
        <f>IF(COUNTIF('BEDM-B'!$A:$A, $C14), S$1, "")</f>
        <v/>
      </c>
      <c r="T14" s="132" t="str">
        <f>IF(COUNTIF('Art-A'!$A:$A, $C14), T$1, "")</f>
        <v/>
      </c>
      <c r="U14" s="132" t="str">
        <f>IF(COUNTIF('Art-B'!$A:$A, $C14), U$1, "")</f>
        <v/>
      </c>
      <c r="V14" s="132" t="str">
        <f>IF(COUNTIF('WH-A'!$A:$A, $C14), V$1, "")</f>
        <v/>
      </c>
      <c r="W14" s="132" t="str">
        <f>IF(COUNTIF('WH-B'!$A:$A, $C14), W$1, "")</f>
        <v>Workplace Happiness: Science &amp; Practice (B)</v>
      </c>
      <c r="X14" s="132" t="str">
        <f>IF(COUNTIF(LETV!$A:$A, $C14), X$1, "")</f>
        <v/>
      </c>
      <c r="Y14" s="132" t="str">
        <f>IF(COUNTIF('Film&amp;Firm-A'!$A:$A, $C14), Y$1, "")</f>
        <v/>
      </c>
      <c r="Z14" s="132" t="str">
        <f>IF(COUNTIF('Film&amp;Firm-B'!$A:$A, $C14), Z$1, "")</f>
        <v/>
      </c>
      <c r="AA14" s="132" t="str">
        <f>IF(COUNTIF(SHRM!$A:$A, $C14), AA$1, "")</f>
        <v/>
      </c>
      <c r="AB14" s="132" t="str">
        <f>IF(COUNTIF('SCM-A'!$A:$A, $C14), AB$1, "")</f>
        <v/>
      </c>
      <c r="AC14" s="132" t="str">
        <f>IF(COUNTIF('SCM-B'!$A:$A, $C14), AC$1, "")</f>
        <v/>
      </c>
      <c r="AD14" s="132" t="str">
        <f>IF(COUNTIF(AIS!$A:$A, $C14), AD$1, "")</f>
        <v/>
      </c>
      <c r="AE14" s="132" t="str">
        <f>IF(COUNTIF(EB!$A:$A, $C14), AE$1, "")</f>
        <v/>
      </c>
      <c r="AF14" s="132" t="str">
        <f>IF(COUNTIF('AIAM-A'!$A:$A, $C14), AF$1, "")</f>
        <v>AI Applications in Marketing (A)</v>
      </c>
      <c r="AG14" s="132" t="str">
        <f>IF(COUNTIF('AIAM-B'!$A:$A, $C14), AG$1, "")</f>
        <v/>
      </c>
      <c r="AH14" s="132" t="str">
        <f>IF(COUNTIF('SA-A'!$A:$A, $C14), AH$1, "")</f>
        <v/>
      </c>
      <c r="AI14" s="132" t="str">
        <f>IF(COUNTIF('SA-B'!$A:$A, $C14), AI$1, "")</f>
        <v/>
      </c>
      <c r="AJ14" s="132" t="str">
        <f>IF(COUNTIF(CSM!$A:$A, $C14), AJ$1, "")</f>
        <v/>
      </c>
      <c r="AK14" s="132" t="str">
        <f>IF(COUNTIF(EM!$A:$A, $C14), AK$1, "")</f>
        <v/>
      </c>
      <c r="AL14" s="132" t="str">
        <f>IF(COUNTIF(I4TS!$A:$A, $C14), AL$1, "")</f>
        <v/>
      </c>
    </row>
    <row r="15" spans="1:38" ht="15.75" customHeight="1">
      <c r="A15" s="131">
        <v>14</v>
      </c>
      <c r="B15" s="131" t="s">
        <v>371</v>
      </c>
      <c r="C15" s="131" t="s">
        <v>413</v>
      </c>
      <c r="D15" s="106" t="s">
        <v>414</v>
      </c>
      <c r="E15" s="106" t="s">
        <v>415</v>
      </c>
      <c r="F15" s="131">
        <f t="shared" ca="1" si="0"/>
        <v>5</v>
      </c>
      <c r="G15" s="106" t="str">
        <f ca="1">IFERROR(__xludf.DUMMYFUNCTION("INDEX(FILTER($P15:$AL15, $P15:$AL15 &lt;&gt; """"), 1)"),"Fintech (Digital Transformation in Finance) (B)")</f>
        <v>Fintech (Digital Transformation in Finance) (B)</v>
      </c>
      <c r="H15" s="106" t="str">
        <f ca="1">IFERROR(__xludf.DUMMYFUNCTION("INDEX(FILTER($P15:$AL15, $P15:$AL15 &lt;&gt; """"), 2)"),"Workplace Happiness: Science &amp; Practice (B)")</f>
        <v>Workplace Happiness: Science &amp; Practice (B)</v>
      </c>
      <c r="I15" s="106" t="str">
        <f ca="1">IFERROR(__xludf.DUMMYFUNCTION("INDEX(FILTER($P15:$AL15, $P15:$AL15 &lt;&gt; """"), 3)"),"Entrepreneurial Marketing")</f>
        <v>Entrepreneurial Marketing</v>
      </c>
      <c r="J15" s="106" t="str">
        <f ca="1">IFERROR(__xludf.DUMMYFUNCTION("IFERROR(INDEX(FILTER($P15:$AL15, $P15:$AL15 &lt;&gt; """"), 4),)"),"")</f>
        <v/>
      </c>
      <c r="K15" s="106" t="str">
        <f ca="1">IFERROR(__xludf.DUMMYFUNCTION("IFERROR(INDEX(FILTER($P15:$AL15, $P15:$AL15 &lt;&gt; """"), 5),)"),"")</f>
        <v/>
      </c>
      <c r="L15" s="107"/>
      <c r="M15" s="129" t="s">
        <v>416</v>
      </c>
      <c r="N15" s="133" t="s">
        <v>14</v>
      </c>
      <c r="O15" s="107"/>
      <c r="P15" s="132" t="str">
        <f>IF(COUNTIF('Fintech-A'!$A:$A, $C15), P$1, "")</f>
        <v/>
      </c>
      <c r="Q15" s="132" t="str">
        <f>IF(COUNTIF('Fintech-B'!$A:$A, $C15), Q$1, "")</f>
        <v>Fintech (Digital Transformation in Finance) (B)</v>
      </c>
      <c r="R15" s="132" t="str">
        <f>IF(COUNTIF('BEDM-A'!$A:$A, $C15), R$1, "")</f>
        <v/>
      </c>
      <c r="S15" s="132" t="str">
        <f>IF(COUNTIF('BEDM-B'!$A:$A, $C15), S$1, "")</f>
        <v/>
      </c>
      <c r="T15" s="132" t="str">
        <f>IF(COUNTIF('Art-A'!$A:$A, $C15), T$1, "")</f>
        <v/>
      </c>
      <c r="U15" s="132" t="str">
        <f>IF(COUNTIF('Art-B'!$A:$A, $C15), U$1, "")</f>
        <v/>
      </c>
      <c r="V15" s="132" t="str">
        <f>IF(COUNTIF('WH-A'!$A:$A, $C15), V$1, "")</f>
        <v/>
      </c>
      <c r="W15" s="132" t="str">
        <f>IF(COUNTIF('WH-B'!$A:$A, $C15), W$1, "")</f>
        <v>Workplace Happiness: Science &amp; Practice (B)</v>
      </c>
      <c r="X15" s="132" t="str">
        <f>IF(COUNTIF(LETV!$A:$A, $C15), X$1, "")</f>
        <v/>
      </c>
      <c r="Y15" s="132" t="str">
        <f>IF(COUNTIF('Film&amp;Firm-A'!$A:$A, $C15), Y$1, "")</f>
        <v/>
      </c>
      <c r="Z15" s="132" t="str">
        <f>IF(COUNTIF('Film&amp;Firm-B'!$A:$A, $C15), Z$1, "")</f>
        <v/>
      </c>
      <c r="AA15" s="132" t="str">
        <f>IF(COUNTIF(SHRM!$A:$A, $C15), AA$1, "")</f>
        <v/>
      </c>
      <c r="AB15" s="132" t="str">
        <f>IF(COUNTIF('SCM-A'!$A:$A, $C15), AB$1, "")</f>
        <v/>
      </c>
      <c r="AC15" s="132" t="str">
        <f>IF(COUNTIF('SCM-B'!$A:$A, $C15), AC$1, "")</f>
        <v/>
      </c>
      <c r="AD15" s="132" t="str">
        <f>IF(COUNTIF(AIS!$A:$A, $C15), AD$1, "")</f>
        <v/>
      </c>
      <c r="AE15" s="132" t="str">
        <f>IF(COUNTIF(EB!$A:$A, $C15), AE$1, "")</f>
        <v/>
      </c>
      <c r="AF15" s="132" t="str">
        <f>IF(COUNTIF('AIAM-A'!$A:$A, $C15), AF$1, "")</f>
        <v/>
      </c>
      <c r="AG15" s="132" t="str">
        <f>IF(COUNTIF('AIAM-B'!$A:$A, $C15), AG$1, "")</f>
        <v/>
      </c>
      <c r="AH15" s="132" t="str">
        <f>IF(COUNTIF('SA-A'!$A:$A, $C15), AH$1, "")</f>
        <v/>
      </c>
      <c r="AI15" s="132" t="str">
        <f>IF(COUNTIF('SA-B'!$A:$A, $C15), AI$1, "")</f>
        <v/>
      </c>
      <c r="AJ15" s="132" t="str">
        <f>IF(COUNTIF(CSM!$A:$A, $C15), AJ$1, "")</f>
        <v/>
      </c>
      <c r="AK15" s="132" t="str">
        <f>IF(COUNTIF(EM!$A:$A, $C15), AK$1, "")</f>
        <v>Entrepreneurial Marketing</v>
      </c>
      <c r="AL15" s="132" t="str">
        <f>IF(COUNTIF(I4TS!$A:$A, $C15), AL$1, "")</f>
        <v/>
      </c>
    </row>
    <row r="16" spans="1:38" ht="15.75" customHeight="1">
      <c r="A16" s="131">
        <v>15</v>
      </c>
      <c r="B16" s="131" t="s">
        <v>371</v>
      </c>
      <c r="C16" s="131" t="s">
        <v>235</v>
      </c>
      <c r="D16" s="106" t="s">
        <v>417</v>
      </c>
      <c r="E16" s="106" t="s">
        <v>418</v>
      </c>
      <c r="F16" s="131">
        <f t="shared" ca="1" si="0"/>
        <v>5</v>
      </c>
      <c r="G16" s="106" t="str">
        <f ca="1">IFERROR(__xludf.DUMMYFUNCTION("INDEX(FILTER($P16:$AL16, $P16:$AL16 &lt;&gt; """"), 1)"),"AI AND  STRATEGY")</f>
        <v>AI AND  STRATEGY</v>
      </c>
      <c r="H16" s="106" t="str">
        <f ca="1">IFERROR(__xludf.DUMMYFUNCTION("INDEX(FILTER($P16:$AL16, $P16:$AL16 &lt;&gt; """"), 2)"),"Employer Branding")</f>
        <v>Employer Branding</v>
      </c>
      <c r="I16" s="106" t="str">
        <f ca="1">IFERROR(__xludf.DUMMYFUNCTION("INDEX(FILTER($P16:$AL16, $P16:$AL16 &lt;&gt; """"), 3)"),"AI Applications in Marketing (B)")</f>
        <v>AI Applications in Marketing (B)</v>
      </c>
      <c r="J16" s="106" t="str">
        <f ca="1">IFERROR(__xludf.DUMMYFUNCTION("IFERROR(INDEX(FILTER($P16:$AL16, $P16:$AL16 &lt;&gt; """"), 4),)"),"Customer Success Management")</f>
        <v>Customer Success Management</v>
      </c>
      <c r="K16" s="106" t="str">
        <f ca="1">IFERROR(__xludf.DUMMYFUNCTION("IFERROR(INDEX(FILTER($P16:$AL16, $P16:$AL16 &lt;&gt; """"), 5),)"),"Industry 4.0 in Transport Sector")</f>
        <v>Industry 4.0 in Transport Sector</v>
      </c>
      <c r="L16" s="107"/>
      <c r="M16" s="129" t="s">
        <v>419</v>
      </c>
      <c r="N16" s="133" t="s">
        <v>15</v>
      </c>
      <c r="O16" s="107"/>
      <c r="P16" s="132" t="str">
        <f>IF(COUNTIF('Fintech-A'!$A:$A, $C16), P$1, "")</f>
        <v/>
      </c>
      <c r="Q16" s="132" t="str">
        <f>IF(COUNTIF('Fintech-B'!$A:$A, $C16), Q$1, "")</f>
        <v/>
      </c>
      <c r="R16" s="132" t="str">
        <f>IF(COUNTIF('BEDM-A'!$A:$A, $C16), R$1, "")</f>
        <v/>
      </c>
      <c r="S16" s="132" t="str">
        <f>IF(COUNTIF('BEDM-B'!$A:$A, $C16), S$1, "")</f>
        <v/>
      </c>
      <c r="T16" s="132" t="str">
        <f>IF(COUNTIF('Art-A'!$A:$A, $C16), T$1, "")</f>
        <v/>
      </c>
      <c r="U16" s="132" t="str">
        <f>IF(COUNTIF('Art-B'!$A:$A, $C16), U$1, "")</f>
        <v/>
      </c>
      <c r="V16" s="132" t="str">
        <f>IF(COUNTIF('WH-A'!$A:$A, $C16), V$1, "")</f>
        <v/>
      </c>
      <c r="W16" s="132" t="str">
        <f>IF(COUNTIF('WH-B'!$A:$A, $C16), W$1, "")</f>
        <v/>
      </c>
      <c r="X16" s="132" t="str">
        <f>IF(COUNTIF(LETV!$A:$A, $C16), X$1, "")</f>
        <v/>
      </c>
      <c r="Y16" s="132" t="str">
        <f>IF(COUNTIF('Film&amp;Firm-A'!$A:$A, $C16), Y$1, "")</f>
        <v/>
      </c>
      <c r="Z16" s="132" t="str">
        <f>IF(COUNTIF('Film&amp;Firm-B'!$A:$A, $C16), Z$1, "")</f>
        <v/>
      </c>
      <c r="AA16" s="132" t="str">
        <f>IF(COUNTIF(SHRM!$A:$A, $C16), AA$1, "")</f>
        <v/>
      </c>
      <c r="AB16" s="132" t="str">
        <f>IF(COUNTIF('SCM-A'!$A:$A, $C16), AB$1, "")</f>
        <v/>
      </c>
      <c r="AC16" s="132" t="str">
        <f>IF(COUNTIF('SCM-B'!$A:$A, $C16), AC$1, "")</f>
        <v/>
      </c>
      <c r="AD16" s="132" t="str">
        <f>IF(COUNTIF(AIS!$A:$A, $C16), AD$1, "")</f>
        <v>AI AND  STRATEGY</v>
      </c>
      <c r="AE16" s="132" t="str">
        <f>IF(COUNTIF(EB!$A:$A, $C16), AE$1, "")</f>
        <v>Employer Branding</v>
      </c>
      <c r="AF16" s="132" t="str">
        <f>IF(COUNTIF('AIAM-A'!$A:$A, $C16), AF$1, "")</f>
        <v/>
      </c>
      <c r="AG16" s="132" t="str">
        <f>IF(COUNTIF('AIAM-B'!$A:$A, $C16), AG$1, "")</f>
        <v>AI Applications in Marketing (B)</v>
      </c>
      <c r="AH16" s="132" t="str">
        <f>IF(COUNTIF('SA-A'!$A:$A, $C16), AH$1, "")</f>
        <v/>
      </c>
      <c r="AI16" s="132" t="str">
        <f>IF(COUNTIF('SA-B'!$A:$A, $C16), AI$1, "")</f>
        <v/>
      </c>
      <c r="AJ16" s="132" t="str">
        <f>IF(COUNTIF(CSM!$A:$A, $C16), AJ$1, "")</f>
        <v>Customer Success Management</v>
      </c>
      <c r="AK16" s="132" t="str">
        <f>IF(COUNTIF(EM!$A:$A, $C16), AK$1, "")</f>
        <v/>
      </c>
      <c r="AL16" s="132" t="str">
        <f>IF(COUNTIF(I4TS!$A:$A, $C16), AL$1, "")</f>
        <v>Industry 4.0 in Transport Sector</v>
      </c>
    </row>
    <row r="17" spans="1:38" ht="15.75" customHeight="1">
      <c r="A17" s="131">
        <v>16</v>
      </c>
      <c r="B17" s="131" t="s">
        <v>371</v>
      </c>
      <c r="C17" s="131" t="s">
        <v>420</v>
      </c>
      <c r="D17" s="106" t="s">
        <v>421</v>
      </c>
      <c r="E17" s="106" t="s">
        <v>422</v>
      </c>
      <c r="F17" s="131">
        <f t="shared" ca="1" si="0"/>
        <v>5</v>
      </c>
      <c r="G17" s="106" t="str">
        <f ca="1">IFERROR(__xludf.DUMMYFUNCTION("INDEX(FILTER($P17:$AL17, $P17:$AL17 &lt;&gt; """"), 1)"),"Fintech (Digital Transformation in Finance) (B)")</f>
        <v>Fintech (Digital Transformation in Finance) (B)</v>
      </c>
      <c r="H17" s="106" t="str">
        <f ca="1">IFERROR(__xludf.DUMMYFUNCTION("INDEX(FILTER($P17:$AL17, $P17:$AL17 &lt;&gt; """"), 2)"),"Behavioural Economics and Decision-Making (B)")</f>
        <v>Behavioural Economics and Decision-Making (B)</v>
      </c>
      <c r="I17" s="106" t="str">
        <f ca="1">IFERROR(__xludf.DUMMYFUNCTION("INDEX(FILTER($P17:$AL17, $P17:$AL17 &lt;&gt; """"), 3)"),"AI Applications in Marketing (B)")</f>
        <v>AI Applications in Marketing (B)</v>
      </c>
      <c r="J17" s="106" t="str">
        <f ca="1">IFERROR(__xludf.DUMMYFUNCTION("IFERROR(INDEX(FILTER($P17:$AL17, $P17:$AL17 &lt;&gt; """"), 4),)"),"")</f>
        <v/>
      </c>
      <c r="K17" s="106" t="str">
        <f ca="1">IFERROR(__xludf.DUMMYFUNCTION("IFERROR(INDEX(FILTER($P17:$AL17, $P17:$AL17 &lt;&gt; """"), 5),)"),"")</f>
        <v/>
      </c>
      <c r="L17" s="107"/>
      <c r="M17" s="129" t="s">
        <v>423</v>
      </c>
      <c r="N17" s="133" t="s">
        <v>16</v>
      </c>
      <c r="O17" s="107"/>
      <c r="P17" s="132" t="str">
        <f>IF(COUNTIF('Fintech-A'!$A:$A, $C17), P$1, "")</f>
        <v/>
      </c>
      <c r="Q17" s="132" t="str">
        <f>IF(COUNTIF('Fintech-B'!$A:$A, $C17), Q$1, "")</f>
        <v>Fintech (Digital Transformation in Finance) (B)</v>
      </c>
      <c r="R17" s="132" t="str">
        <f>IF(COUNTIF('BEDM-A'!$A:$A, $C17), R$1, "")</f>
        <v/>
      </c>
      <c r="S17" s="132" t="str">
        <f>IF(COUNTIF('BEDM-B'!$A:$A, $C17), S$1, "")</f>
        <v>Behavioural Economics and Decision-Making (B)</v>
      </c>
      <c r="T17" s="132" t="str">
        <f>IF(COUNTIF('Art-A'!$A:$A, $C17), T$1, "")</f>
        <v/>
      </c>
      <c r="U17" s="132" t="str">
        <f>IF(COUNTIF('Art-B'!$A:$A, $C17), U$1, "")</f>
        <v/>
      </c>
      <c r="V17" s="132" t="str">
        <f>IF(COUNTIF('WH-A'!$A:$A, $C17), V$1, "")</f>
        <v/>
      </c>
      <c r="W17" s="132" t="str">
        <f>IF(COUNTIF('WH-B'!$A:$A, $C17), W$1, "")</f>
        <v/>
      </c>
      <c r="X17" s="132" t="str">
        <f>IF(COUNTIF(LETV!$A:$A, $C17), X$1, "")</f>
        <v/>
      </c>
      <c r="Y17" s="132" t="str">
        <f>IF(COUNTIF('Film&amp;Firm-A'!$A:$A, $C17), Y$1, "")</f>
        <v/>
      </c>
      <c r="Z17" s="132" t="str">
        <f>IF(COUNTIF('Film&amp;Firm-B'!$A:$A, $C17), Z$1, "")</f>
        <v/>
      </c>
      <c r="AA17" s="132" t="str">
        <f>IF(COUNTIF(SHRM!$A:$A, $C17), AA$1, "")</f>
        <v/>
      </c>
      <c r="AB17" s="132" t="str">
        <f>IF(COUNTIF('SCM-A'!$A:$A, $C17), AB$1, "")</f>
        <v/>
      </c>
      <c r="AC17" s="132" t="str">
        <f>IF(COUNTIF('SCM-B'!$A:$A, $C17), AC$1, "")</f>
        <v/>
      </c>
      <c r="AD17" s="132" t="str">
        <f>IF(COUNTIF(AIS!$A:$A, $C17), AD$1, "")</f>
        <v/>
      </c>
      <c r="AE17" s="132" t="str">
        <f>IF(COUNTIF(EB!$A:$A, $C17), AE$1, "")</f>
        <v/>
      </c>
      <c r="AF17" s="132" t="str">
        <f>IF(COUNTIF('AIAM-A'!$A:$A, $C17), AF$1, "")</f>
        <v/>
      </c>
      <c r="AG17" s="132" t="str">
        <f>IF(COUNTIF('AIAM-B'!$A:$A, $C17), AG$1, "")</f>
        <v>AI Applications in Marketing (B)</v>
      </c>
      <c r="AH17" s="132" t="str">
        <f>IF(COUNTIF('SA-A'!$A:$A, $C17), AH$1, "")</f>
        <v/>
      </c>
      <c r="AI17" s="132" t="str">
        <f>IF(COUNTIF('SA-B'!$A:$A, $C17), AI$1, "")</f>
        <v/>
      </c>
      <c r="AJ17" s="132" t="str">
        <f>IF(COUNTIF(CSM!$A:$A, $C17), AJ$1, "")</f>
        <v/>
      </c>
      <c r="AK17" s="132" t="str">
        <f>IF(COUNTIF(EM!$A:$A, $C17), AK$1, "")</f>
        <v/>
      </c>
      <c r="AL17" s="132" t="str">
        <f>IF(COUNTIF(I4TS!$A:$A, $C17), AL$1, "")</f>
        <v/>
      </c>
    </row>
    <row r="18" spans="1:38" ht="15.75" customHeight="1">
      <c r="A18" s="131">
        <v>17</v>
      </c>
      <c r="B18" s="131" t="s">
        <v>371</v>
      </c>
      <c r="C18" s="131" t="s">
        <v>424</v>
      </c>
      <c r="D18" s="106" t="s">
        <v>425</v>
      </c>
      <c r="E18" s="106" t="s">
        <v>426</v>
      </c>
      <c r="F18" s="131">
        <f t="shared" ca="1" si="0"/>
        <v>5</v>
      </c>
      <c r="G18" s="106" t="str">
        <f ca="1">IFERROR(__xludf.DUMMYFUNCTION("INDEX(FILTER($P18:$AL18, $P18:$AL18 &lt;&gt; """"), 1)"),"Workplace Happiness: Science &amp; Practice (A)")</f>
        <v>Workplace Happiness: Science &amp; Practice (A)</v>
      </c>
      <c r="H18" s="106" t="str">
        <f ca="1">IFERROR(__xludf.DUMMYFUNCTION("INDEX(FILTER($P18:$AL18, $P18:$AL18 &lt;&gt; """"), 2)"),"Leadership Excellence Through Values : Wisdom from the Mahabharata")</f>
        <v>Leadership Excellence Through Values : Wisdom from the Mahabharata</v>
      </c>
      <c r="I18" s="106" t="str">
        <f ca="1">IFERROR(__xludf.DUMMYFUNCTION("INDEX(FILTER($P18:$AL18, $P18:$AL18 &lt;&gt; """"), 3)"),"Customer Success Management")</f>
        <v>Customer Success Management</v>
      </c>
      <c r="J18" s="106" t="str">
        <f ca="1">IFERROR(__xludf.DUMMYFUNCTION("IFERROR(INDEX(FILTER($P18:$AL18, $P18:$AL18 &lt;&gt; """"), 4),)"),"")</f>
        <v/>
      </c>
      <c r="K18" s="106" t="str">
        <f ca="1">IFERROR(__xludf.DUMMYFUNCTION("IFERROR(INDEX(FILTER($P18:$AL18, $P18:$AL18 &lt;&gt; """"), 5),)"),"")</f>
        <v/>
      </c>
      <c r="L18" s="107"/>
      <c r="M18" s="129" t="s">
        <v>427</v>
      </c>
      <c r="N18" s="133" t="s">
        <v>17</v>
      </c>
      <c r="O18" s="107"/>
      <c r="P18" s="132" t="str">
        <f>IF(COUNTIF('Fintech-A'!$A:$A, $C18), P$1, "")</f>
        <v/>
      </c>
      <c r="Q18" s="132" t="str">
        <f>IF(COUNTIF('Fintech-B'!$A:$A, $C18), Q$1, "")</f>
        <v/>
      </c>
      <c r="R18" s="132" t="str">
        <f>IF(COUNTIF('BEDM-A'!$A:$A, $C18), R$1, "")</f>
        <v/>
      </c>
      <c r="S18" s="132" t="str">
        <f>IF(COUNTIF('BEDM-B'!$A:$A, $C18), S$1, "")</f>
        <v/>
      </c>
      <c r="T18" s="132" t="str">
        <f>IF(COUNTIF('Art-A'!$A:$A, $C18), T$1, "")</f>
        <v/>
      </c>
      <c r="U18" s="132" t="str">
        <f>IF(COUNTIF('Art-B'!$A:$A, $C18), U$1, "")</f>
        <v/>
      </c>
      <c r="V18" s="132" t="str">
        <f>IF(COUNTIF('WH-A'!$A:$A, $C18), V$1, "")</f>
        <v>Workplace Happiness: Science &amp; Practice (A)</v>
      </c>
      <c r="W18" s="132" t="str">
        <f>IF(COUNTIF('WH-B'!$A:$A, $C18), W$1, "")</f>
        <v/>
      </c>
      <c r="X18" s="132" t="str">
        <f>IF(COUNTIF(LETV!$A:$A, $C18), X$1, "")</f>
        <v>Leadership Excellence Through Values : Wisdom from the Mahabharata</v>
      </c>
      <c r="Y18" s="132" t="str">
        <f>IF(COUNTIF('Film&amp;Firm-A'!$A:$A, $C18), Y$1, "")</f>
        <v/>
      </c>
      <c r="Z18" s="132" t="str">
        <f>IF(COUNTIF('Film&amp;Firm-B'!$A:$A, $C18), Z$1, "")</f>
        <v/>
      </c>
      <c r="AA18" s="132" t="str">
        <f>IF(COUNTIF(SHRM!$A:$A, $C18), AA$1, "")</f>
        <v/>
      </c>
      <c r="AB18" s="132" t="str">
        <f>IF(COUNTIF('SCM-A'!$A:$A, $C18), AB$1, "")</f>
        <v/>
      </c>
      <c r="AC18" s="132" t="str">
        <f>IF(COUNTIF('SCM-B'!$A:$A, $C18), AC$1, "")</f>
        <v/>
      </c>
      <c r="AD18" s="132" t="str">
        <f>IF(COUNTIF(AIS!$A:$A, $C18), AD$1, "")</f>
        <v/>
      </c>
      <c r="AE18" s="132" t="str">
        <f>IF(COUNTIF(EB!$A:$A, $C18), AE$1, "")</f>
        <v/>
      </c>
      <c r="AF18" s="132" t="str">
        <f>IF(COUNTIF('AIAM-A'!$A:$A, $C18), AF$1, "")</f>
        <v/>
      </c>
      <c r="AG18" s="132" t="str">
        <f>IF(COUNTIF('AIAM-B'!$A:$A, $C18), AG$1, "")</f>
        <v/>
      </c>
      <c r="AH18" s="132" t="str">
        <f>IF(COUNTIF('SA-A'!$A:$A, $C18), AH$1, "")</f>
        <v/>
      </c>
      <c r="AI18" s="132" t="str">
        <f>IF(COUNTIF('SA-B'!$A:$A, $C18), AI$1, "")</f>
        <v/>
      </c>
      <c r="AJ18" s="132" t="str">
        <f>IF(COUNTIF(CSM!$A:$A, $C18), AJ$1, "")</f>
        <v>Customer Success Management</v>
      </c>
      <c r="AK18" s="132" t="str">
        <f>IF(COUNTIF(EM!$A:$A, $C18), AK$1, "")</f>
        <v/>
      </c>
      <c r="AL18" s="132" t="str">
        <f>IF(COUNTIF(I4TS!$A:$A, $C18), AL$1, "")</f>
        <v/>
      </c>
    </row>
    <row r="19" spans="1:38" ht="15.75" customHeight="1">
      <c r="A19" s="131">
        <v>18</v>
      </c>
      <c r="B19" s="131" t="s">
        <v>371</v>
      </c>
      <c r="C19" s="131" t="s">
        <v>236</v>
      </c>
      <c r="D19" s="106" t="s">
        <v>428</v>
      </c>
      <c r="E19" s="106" t="s">
        <v>429</v>
      </c>
      <c r="F19" s="131">
        <f t="shared" ca="1" si="0"/>
        <v>5</v>
      </c>
      <c r="G19" s="106" t="str">
        <f ca="1">IFERROR(__xludf.DUMMYFUNCTION("INDEX(FILTER($P19:$AL19, $P19:$AL19 &lt;&gt; """"), 1)"),"Behavioural Economics and Decision-Making (B)")</f>
        <v>Behavioural Economics and Decision-Making (B)</v>
      </c>
      <c r="H19" s="106" t="str">
        <f ca="1">IFERROR(__xludf.DUMMYFUNCTION("INDEX(FILTER($P19:$AL19, $P19:$AL19 &lt;&gt; """"), 2)"),"AI Applications in Marketing (A)")</f>
        <v>AI Applications in Marketing (A)</v>
      </c>
      <c r="I19" s="106" t="str">
        <f ca="1">IFERROR(__xludf.DUMMYFUNCTION("INDEX(FILTER($P19:$AL19, $P19:$AL19 &lt;&gt; """"), 3)"),"SPORTS ANALYTICS (A)")</f>
        <v>SPORTS ANALYTICS (A)</v>
      </c>
      <c r="J19" s="106" t="str">
        <f ca="1">IFERROR(__xludf.DUMMYFUNCTION("IFERROR(INDEX(FILTER($P19:$AL19, $P19:$AL19 &lt;&gt; """"), 4),)"),"")</f>
        <v/>
      </c>
      <c r="K19" s="106" t="str">
        <f ca="1">IFERROR(__xludf.DUMMYFUNCTION("IFERROR(INDEX(FILTER($P19:$AL19, $P19:$AL19 &lt;&gt; """"), 5),)"),"")</f>
        <v/>
      </c>
      <c r="L19" s="107"/>
      <c r="M19" s="129" t="s">
        <v>430</v>
      </c>
      <c r="N19" s="133" t="s">
        <v>18</v>
      </c>
      <c r="O19" s="107"/>
      <c r="P19" s="132" t="str">
        <f>IF(COUNTIF('Fintech-A'!$A:$A, $C19), P$1, "")</f>
        <v/>
      </c>
      <c r="Q19" s="132" t="str">
        <f>IF(COUNTIF('Fintech-B'!$A:$A, $C19), Q$1, "")</f>
        <v/>
      </c>
      <c r="R19" s="132" t="str">
        <f>IF(COUNTIF('BEDM-A'!$A:$A, $C19), R$1, "")</f>
        <v/>
      </c>
      <c r="S19" s="132" t="str">
        <f>IF(COUNTIF('BEDM-B'!$A:$A, $C19), S$1, "")</f>
        <v>Behavioural Economics and Decision-Making (B)</v>
      </c>
      <c r="T19" s="132" t="str">
        <f>IF(COUNTIF('Art-A'!$A:$A, $C19), T$1, "")</f>
        <v/>
      </c>
      <c r="U19" s="132" t="str">
        <f>IF(COUNTIF('Art-B'!$A:$A, $C19), U$1, "")</f>
        <v/>
      </c>
      <c r="V19" s="132" t="str">
        <f>IF(COUNTIF('WH-A'!$A:$A, $C19), V$1, "")</f>
        <v/>
      </c>
      <c r="W19" s="132" t="str">
        <f>IF(COUNTIF('WH-B'!$A:$A, $C19), W$1, "")</f>
        <v/>
      </c>
      <c r="X19" s="132" t="str">
        <f>IF(COUNTIF(LETV!$A:$A, $C19), X$1, "")</f>
        <v/>
      </c>
      <c r="Y19" s="132" t="str">
        <f>IF(COUNTIF('Film&amp;Firm-A'!$A:$A, $C19), Y$1, "")</f>
        <v/>
      </c>
      <c r="Z19" s="132" t="str">
        <f>IF(COUNTIF('Film&amp;Firm-B'!$A:$A, $C19), Z$1, "")</f>
        <v/>
      </c>
      <c r="AA19" s="132" t="str">
        <f>IF(COUNTIF(SHRM!$A:$A, $C19), AA$1, "")</f>
        <v/>
      </c>
      <c r="AB19" s="132" t="str">
        <f>IF(COUNTIF('SCM-A'!$A:$A, $C19), AB$1, "")</f>
        <v/>
      </c>
      <c r="AC19" s="132" t="str">
        <f>IF(COUNTIF('SCM-B'!$A:$A, $C19), AC$1, "")</f>
        <v/>
      </c>
      <c r="AD19" s="132" t="str">
        <f>IF(COUNTIF(AIS!$A:$A, $C19), AD$1, "")</f>
        <v/>
      </c>
      <c r="AE19" s="132" t="str">
        <f>IF(COUNTIF(EB!$A:$A, $C19), AE$1, "")</f>
        <v/>
      </c>
      <c r="AF19" s="132" t="str">
        <f>IF(COUNTIF('AIAM-A'!$A:$A, $C19), AF$1, "")</f>
        <v>AI Applications in Marketing (A)</v>
      </c>
      <c r="AG19" s="132" t="str">
        <f>IF(COUNTIF('AIAM-B'!$A:$A, $C19), AG$1, "")</f>
        <v/>
      </c>
      <c r="AH19" s="132" t="str">
        <f>IF(COUNTIF('SA-A'!$A:$A, $C19), AH$1, "")</f>
        <v>SPORTS ANALYTICS (A)</v>
      </c>
      <c r="AI19" s="132" t="str">
        <f>IF(COUNTIF('SA-B'!$A:$A, $C19), AI$1, "")</f>
        <v/>
      </c>
      <c r="AJ19" s="132" t="str">
        <f>IF(COUNTIF(CSM!$A:$A, $C19), AJ$1, "")</f>
        <v/>
      </c>
      <c r="AK19" s="132" t="str">
        <f>IF(COUNTIF(EM!$A:$A, $C19), AK$1, "")</f>
        <v/>
      </c>
      <c r="AL19" s="132" t="str">
        <f>IF(COUNTIF(I4TS!$A:$A, $C19), AL$1, "")</f>
        <v/>
      </c>
    </row>
    <row r="20" spans="1:38" ht="15.75" customHeight="1">
      <c r="A20" s="131">
        <v>19</v>
      </c>
      <c r="B20" s="131" t="s">
        <v>371</v>
      </c>
      <c r="C20" s="131" t="s">
        <v>237</v>
      </c>
      <c r="D20" s="106" t="s">
        <v>431</v>
      </c>
      <c r="E20" s="106" t="s">
        <v>432</v>
      </c>
      <c r="F20" s="131">
        <f t="shared" ca="1" si="0"/>
        <v>5</v>
      </c>
      <c r="G20" s="106" t="str">
        <f ca="1">IFERROR(__xludf.DUMMYFUNCTION("INDEX(FILTER($P20:$AL20, $P20:$AL20 &lt;&gt; """"), 1)"),"The Art, Craft, and Science of Management: Learning through Classics and Best Collections (B)")</f>
        <v>The Art, Craft, and Science of Management: Learning through Classics and Best Collections (B)</v>
      </c>
      <c r="H20" s="106" t="str">
        <f ca="1">IFERROR(__xludf.DUMMYFUNCTION("INDEX(FILTER($P20:$AL20, $P20:$AL20 &lt;&gt; """"), 2)"),"Film &amp; the Firm: Visual Culture in Business Contexts (A)")</f>
        <v>Film &amp; the Firm: Visual Culture in Business Contexts (A)</v>
      </c>
      <c r="I20" s="106" t="str">
        <f ca="1">IFERROR(__xludf.DUMMYFUNCTION("INDEX(FILTER($P20:$AL20, $P20:$AL20 &lt;&gt; """"), 3)"),"AI Applications in Marketing (B)")</f>
        <v>AI Applications in Marketing (B)</v>
      </c>
      <c r="J20" s="106" t="str">
        <f ca="1">IFERROR(__xludf.DUMMYFUNCTION("IFERROR(INDEX(FILTER($P20:$AL20, $P20:$AL20 &lt;&gt; """"), 4),)"),"")</f>
        <v/>
      </c>
      <c r="K20" s="106" t="str">
        <f ca="1">IFERROR(__xludf.DUMMYFUNCTION("IFERROR(INDEX(FILTER($P20:$AL20, $P20:$AL20 &lt;&gt; """"), 5),)"),"")</f>
        <v/>
      </c>
      <c r="L20" s="107"/>
      <c r="M20" s="129" t="s">
        <v>433</v>
      </c>
      <c r="N20" s="133" t="s">
        <v>19</v>
      </c>
      <c r="O20" s="107"/>
      <c r="P20" s="132" t="str">
        <f>IF(COUNTIF('Fintech-A'!$A:$A, $C20), P$1, "")</f>
        <v/>
      </c>
      <c r="Q20" s="132" t="str">
        <f>IF(COUNTIF('Fintech-B'!$A:$A, $C20), Q$1, "")</f>
        <v/>
      </c>
      <c r="R20" s="132" t="str">
        <f>IF(COUNTIF('BEDM-A'!$A:$A, $C20), R$1, "")</f>
        <v/>
      </c>
      <c r="S20" s="132" t="str">
        <f>IF(COUNTIF('BEDM-B'!$A:$A, $C20), S$1, "")</f>
        <v/>
      </c>
      <c r="T20" s="132" t="str">
        <f>IF(COUNTIF('Art-A'!$A:$A, $C20), T$1, "")</f>
        <v/>
      </c>
      <c r="U20" s="132" t="str">
        <f>IF(COUNTIF('Art-B'!$A:$A, $C20), U$1, "")</f>
        <v>The Art, Craft, and Science of Management: Learning through Classics and Best Collections (B)</v>
      </c>
      <c r="V20" s="132" t="str">
        <f>IF(COUNTIF('WH-A'!$A:$A, $C20), V$1, "")</f>
        <v/>
      </c>
      <c r="W20" s="132" t="str">
        <f>IF(COUNTIF('WH-B'!$A:$A, $C20), W$1, "")</f>
        <v/>
      </c>
      <c r="X20" s="132" t="str">
        <f>IF(COUNTIF(LETV!$A:$A, $C20), X$1, "")</f>
        <v/>
      </c>
      <c r="Y20" s="132" t="str">
        <f>IF(COUNTIF('Film&amp;Firm-A'!$A:$A, $C20), Y$1, "")</f>
        <v>Film &amp; the Firm: Visual Culture in Business Contexts (A)</v>
      </c>
      <c r="Z20" s="132" t="str">
        <f>IF(COUNTIF('Film&amp;Firm-B'!$A:$A, $C20), Z$1, "")</f>
        <v/>
      </c>
      <c r="AA20" s="132" t="str">
        <f>IF(COUNTIF(SHRM!$A:$A, $C20), AA$1, "")</f>
        <v/>
      </c>
      <c r="AB20" s="132" t="str">
        <f>IF(COUNTIF('SCM-A'!$A:$A, $C20), AB$1, "")</f>
        <v/>
      </c>
      <c r="AC20" s="132" t="str">
        <f>IF(COUNTIF('SCM-B'!$A:$A, $C20), AC$1, "")</f>
        <v/>
      </c>
      <c r="AD20" s="132" t="str">
        <f>IF(COUNTIF(AIS!$A:$A, $C20), AD$1, "")</f>
        <v/>
      </c>
      <c r="AE20" s="132" t="str">
        <f>IF(COUNTIF(EB!$A:$A, $C20), AE$1, "")</f>
        <v/>
      </c>
      <c r="AF20" s="132" t="str">
        <f>IF(COUNTIF('AIAM-A'!$A:$A, $C20), AF$1, "")</f>
        <v/>
      </c>
      <c r="AG20" s="132" t="str">
        <f>IF(COUNTIF('AIAM-B'!$A:$A, $C20), AG$1, "")</f>
        <v>AI Applications in Marketing (B)</v>
      </c>
      <c r="AH20" s="132" t="str">
        <f>IF(COUNTIF('SA-A'!$A:$A, $C20), AH$1, "")</f>
        <v/>
      </c>
      <c r="AI20" s="132" t="str">
        <f>IF(COUNTIF('SA-B'!$A:$A, $C20), AI$1, "")</f>
        <v/>
      </c>
      <c r="AJ20" s="132" t="str">
        <f>IF(COUNTIF(CSM!$A:$A, $C20), AJ$1, "")</f>
        <v/>
      </c>
      <c r="AK20" s="132" t="str">
        <f>IF(COUNTIF(EM!$A:$A, $C20), AK$1, "")</f>
        <v/>
      </c>
      <c r="AL20" s="132" t="str">
        <f>IF(COUNTIF(I4TS!$A:$A, $C20), AL$1, "")</f>
        <v/>
      </c>
    </row>
    <row r="21" spans="1:38" ht="15.75" customHeight="1">
      <c r="A21" s="131">
        <v>20</v>
      </c>
      <c r="B21" s="131" t="s">
        <v>371</v>
      </c>
      <c r="C21" s="131" t="s">
        <v>238</v>
      </c>
      <c r="D21" s="106" t="s">
        <v>434</v>
      </c>
      <c r="E21" s="106" t="s">
        <v>435</v>
      </c>
      <c r="F21" s="131">
        <f t="shared" ca="1" si="0"/>
        <v>5</v>
      </c>
      <c r="G21" s="106" t="str">
        <f ca="1">IFERROR(__xludf.DUMMYFUNCTION("INDEX(FILTER($P21:$AL21, $P21:$AL21 &lt;&gt; """"), 1)"),"Film &amp; the Firm: Visual Culture in Business Contexts (A)")</f>
        <v>Film &amp; the Firm: Visual Culture in Business Contexts (A)</v>
      </c>
      <c r="H21" s="106" t="str">
        <f ca="1">IFERROR(__xludf.DUMMYFUNCTION("INDEX(FILTER($P21:$AL21, $P21:$AL21 &lt;&gt; """"), 2)"),"SPORTS ANALYTICS (B)")</f>
        <v>SPORTS ANALYTICS (B)</v>
      </c>
      <c r="I21" s="106" t="str">
        <f ca="1">IFERROR(__xludf.DUMMYFUNCTION("INDEX(FILTER($P21:$AL21, $P21:$AL21 &lt;&gt; """"), 3)"),"Customer Success Management")</f>
        <v>Customer Success Management</v>
      </c>
      <c r="J21" s="106" t="str">
        <f ca="1">IFERROR(__xludf.DUMMYFUNCTION("IFERROR(INDEX(FILTER($P21:$AL21, $P21:$AL21 &lt;&gt; """"), 4),)"),"")</f>
        <v/>
      </c>
      <c r="K21" s="106" t="str">
        <f ca="1">IFERROR(__xludf.DUMMYFUNCTION("IFERROR(INDEX(FILTER($P21:$AL21, $P21:$AL21 &lt;&gt; """"), 5),)"),"")</f>
        <v/>
      </c>
      <c r="L21" s="107"/>
      <c r="M21" s="129" t="s">
        <v>436</v>
      </c>
      <c r="N21" s="133" t="s">
        <v>20</v>
      </c>
      <c r="O21" s="107"/>
      <c r="P21" s="132" t="str">
        <f>IF(COUNTIF('Fintech-A'!$A:$A, $C21), P$1, "")</f>
        <v/>
      </c>
      <c r="Q21" s="132" t="str">
        <f>IF(COUNTIF('Fintech-B'!$A:$A, $C21), Q$1, "")</f>
        <v/>
      </c>
      <c r="R21" s="132" t="str">
        <f>IF(COUNTIF('BEDM-A'!$A:$A, $C21), R$1, "")</f>
        <v/>
      </c>
      <c r="S21" s="132" t="str">
        <f>IF(COUNTIF('BEDM-B'!$A:$A, $C21), S$1, "")</f>
        <v/>
      </c>
      <c r="T21" s="132" t="str">
        <f>IF(COUNTIF('Art-A'!$A:$A, $C21), T$1, "")</f>
        <v/>
      </c>
      <c r="U21" s="132" t="str">
        <f>IF(COUNTIF('Art-B'!$A:$A, $C21), U$1, "")</f>
        <v/>
      </c>
      <c r="V21" s="132" t="str">
        <f>IF(COUNTIF('WH-A'!$A:$A, $C21), V$1, "")</f>
        <v/>
      </c>
      <c r="W21" s="132" t="str">
        <f>IF(COUNTIF('WH-B'!$A:$A, $C21), W$1, "")</f>
        <v/>
      </c>
      <c r="X21" s="132" t="str">
        <f>IF(COUNTIF(LETV!$A:$A, $C21), X$1, "")</f>
        <v/>
      </c>
      <c r="Y21" s="132" t="str">
        <f>IF(COUNTIF('Film&amp;Firm-A'!$A:$A, $C21), Y$1, "")</f>
        <v>Film &amp; the Firm: Visual Culture in Business Contexts (A)</v>
      </c>
      <c r="Z21" s="132" t="str">
        <f>IF(COUNTIF('Film&amp;Firm-B'!$A:$A, $C21), Z$1, "")</f>
        <v/>
      </c>
      <c r="AA21" s="132" t="str">
        <f>IF(COUNTIF(SHRM!$A:$A, $C21), AA$1, "")</f>
        <v/>
      </c>
      <c r="AB21" s="132" t="str">
        <f>IF(COUNTIF('SCM-A'!$A:$A, $C21), AB$1, "")</f>
        <v/>
      </c>
      <c r="AC21" s="132" t="str">
        <f>IF(COUNTIF('SCM-B'!$A:$A, $C21), AC$1, "")</f>
        <v/>
      </c>
      <c r="AD21" s="132" t="str">
        <f>IF(COUNTIF(AIS!$A:$A, $C21), AD$1, "")</f>
        <v/>
      </c>
      <c r="AE21" s="132" t="str">
        <f>IF(COUNTIF(EB!$A:$A, $C21), AE$1, "")</f>
        <v/>
      </c>
      <c r="AF21" s="132" t="str">
        <f>IF(COUNTIF('AIAM-A'!$A:$A, $C21), AF$1, "")</f>
        <v/>
      </c>
      <c r="AG21" s="132" t="str">
        <f>IF(COUNTIF('AIAM-B'!$A:$A, $C21), AG$1, "")</f>
        <v/>
      </c>
      <c r="AH21" s="132" t="str">
        <f>IF(COUNTIF('SA-A'!$A:$A, $C21), AH$1, "")</f>
        <v/>
      </c>
      <c r="AI21" s="132" t="str">
        <f>IF(COUNTIF('SA-B'!$A:$A, $C21), AI$1, "")</f>
        <v>SPORTS ANALYTICS (B)</v>
      </c>
      <c r="AJ21" s="132" t="str">
        <f>IF(COUNTIF(CSM!$A:$A, $C21), AJ$1, "")</f>
        <v>Customer Success Management</v>
      </c>
      <c r="AK21" s="132" t="str">
        <f>IF(COUNTIF(EM!$A:$A, $C21), AK$1, "")</f>
        <v/>
      </c>
      <c r="AL21" s="132" t="str">
        <f>IF(COUNTIF(I4TS!$A:$A, $C21), AL$1, "")</f>
        <v/>
      </c>
    </row>
    <row r="22" spans="1:38" ht="15.75" customHeight="1">
      <c r="A22" s="131">
        <v>21</v>
      </c>
      <c r="B22" s="131" t="s">
        <v>371</v>
      </c>
      <c r="C22" s="131" t="s">
        <v>437</v>
      </c>
      <c r="D22" s="106" t="s">
        <v>438</v>
      </c>
      <c r="E22" s="106" t="s">
        <v>439</v>
      </c>
      <c r="F22" s="131">
        <f t="shared" ca="1" si="0"/>
        <v>5</v>
      </c>
      <c r="G22" s="106" t="str">
        <f ca="1">IFERROR(__xludf.DUMMYFUNCTION("INDEX(FILTER($P22:$AL22, $P22:$AL22 &lt;&gt; """"), 1)"),"Behavioural Economics and Decision-Making (A)")</f>
        <v>Behavioural Economics and Decision-Making (A)</v>
      </c>
      <c r="H22" s="106" t="str">
        <f ca="1">IFERROR(__xludf.DUMMYFUNCTION("INDEX(FILTER($P22:$AL22, $P22:$AL22 &lt;&gt; """"), 2)"),"Film &amp; the Firm: Visual Culture in Business Contexts (B)")</f>
        <v>Film &amp; the Firm: Visual Culture in Business Contexts (B)</v>
      </c>
      <c r="I22" s="106" t="str">
        <f ca="1">IFERROR(__xludf.DUMMYFUNCTION("INDEX(FILTER($P22:$AL22, $P22:$AL22 &lt;&gt; """"), 3)"),"AI AND  STRATEGY")</f>
        <v>AI AND  STRATEGY</v>
      </c>
      <c r="J22" s="106" t="str">
        <f ca="1">IFERROR(__xludf.DUMMYFUNCTION("IFERROR(INDEX(FILTER($P22:$AL22, $P22:$AL22 &lt;&gt; """"), 4),)"),"")</f>
        <v/>
      </c>
      <c r="K22" s="106" t="str">
        <f ca="1">IFERROR(__xludf.DUMMYFUNCTION("IFERROR(INDEX(FILTER($P22:$AL22, $P22:$AL22 &lt;&gt; """"), 5),)"),"")</f>
        <v/>
      </c>
      <c r="L22" s="107"/>
      <c r="M22" s="129" t="s">
        <v>440</v>
      </c>
      <c r="N22" s="133" t="s">
        <v>21</v>
      </c>
      <c r="O22" s="107"/>
      <c r="P22" s="132" t="str">
        <f>IF(COUNTIF('Fintech-A'!$A:$A, $C22), P$1, "")</f>
        <v/>
      </c>
      <c r="Q22" s="132" t="str">
        <f>IF(COUNTIF('Fintech-B'!$A:$A, $C22), Q$1, "")</f>
        <v/>
      </c>
      <c r="R22" s="132" t="str">
        <f>IF(COUNTIF('BEDM-A'!$A:$A, $C22), R$1, "")</f>
        <v>Behavioural Economics and Decision-Making (A)</v>
      </c>
      <c r="S22" s="132" t="str">
        <f>IF(COUNTIF('BEDM-B'!$A:$A, $C22), S$1, "")</f>
        <v/>
      </c>
      <c r="T22" s="132" t="str">
        <f>IF(COUNTIF('Art-A'!$A:$A, $C22), T$1, "")</f>
        <v/>
      </c>
      <c r="U22" s="132" t="str">
        <f>IF(COUNTIF('Art-B'!$A:$A, $C22), U$1, "")</f>
        <v/>
      </c>
      <c r="V22" s="132" t="str">
        <f>IF(COUNTIF('WH-A'!$A:$A, $C22), V$1, "")</f>
        <v/>
      </c>
      <c r="W22" s="132" t="str">
        <f>IF(COUNTIF('WH-B'!$A:$A, $C22), W$1, "")</f>
        <v/>
      </c>
      <c r="X22" s="132" t="str">
        <f>IF(COUNTIF(LETV!$A:$A, $C22), X$1, "")</f>
        <v/>
      </c>
      <c r="Y22" s="132" t="str">
        <f>IF(COUNTIF('Film&amp;Firm-A'!$A:$A, $C22), Y$1, "")</f>
        <v/>
      </c>
      <c r="Z22" s="132" t="str">
        <f>IF(COUNTIF('Film&amp;Firm-B'!$A:$A, $C22), Z$1, "")</f>
        <v>Film &amp; the Firm: Visual Culture in Business Contexts (B)</v>
      </c>
      <c r="AA22" s="132" t="str">
        <f>IF(COUNTIF(SHRM!$A:$A, $C22), AA$1, "")</f>
        <v/>
      </c>
      <c r="AB22" s="132" t="str">
        <f>IF(COUNTIF('SCM-A'!$A:$A, $C22), AB$1, "")</f>
        <v/>
      </c>
      <c r="AC22" s="132" t="str">
        <f>IF(COUNTIF('SCM-B'!$A:$A, $C22), AC$1, "")</f>
        <v/>
      </c>
      <c r="AD22" s="132" t="str">
        <f>IF(COUNTIF(AIS!$A:$A, $C22), AD$1, "")</f>
        <v>AI AND  STRATEGY</v>
      </c>
      <c r="AE22" s="132" t="str">
        <f>IF(COUNTIF(EB!$A:$A, $C22), AE$1, "")</f>
        <v/>
      </c>
      <c r="AF22" s="132" t="str">
        <f>IF(COUNTIF('AIAM-A'!$A:$A, $C22), AF$1, "")</f>
        <v/>
      </c>
      <c r="AG22" s="132" t="str">
        <f>IF(COUNTIF('AIAM-B'!$A:$A, $C22), AG$1, "")</f>
        <v/>
      </c>
      <c r="AH22" s="132" t="str">
        <f>IF(COUNTIF('SA-A'!$A:$A, $C22), AH$1, "")</f>
        <v/>
      </c>
      <c r="AI22" s="132" t="str">
        <f>IF(COUNTIF('SA-B'!$A:$A, $C22), AI$1, "")</f>
        <v/>
      </c>
      <c r="AJ22" s="132" t="str">
        <f>IF(COUNTIF(CSM!$A:$A, $C22), AJ$1, "")</f>
        <v/>
      </c>
      <c r="AK22" s="132" t="str">
        <f>IF(COUNTIF(EM!$A:$A, $C22), AK$1, "")</f>
        <v/>
      </c>
      <c r="AL22" s="132" t="str">
        <f>IF(COUNTIF(I4TS!$A:$A, $C22), AL$1, "")</f>
        <v/>
      </c>
    </row>
    <row r="23" spans="1:38" ht="15.75" customHeight="1">
      <c r="A23" s="131">
        <v>22</v>
      </c>
      <c r="B23" s="131" t="s">
        <v>371</v>
      </c>
      <c r="C23" s="131" t="s">
        <v>239</v>
      </c>
      <c r="D23" s="106" t="s">
        <v>441</v>
      </c>
      <c r="E23" s="106" t="s">
        <v>442</v>
      </c>
      <c r="F23" s="131">
        <f t="shared" ca="1" si="0"/>
        <v>5</v>
      </c>
      <c r="G23" s="106" t="str">
        <f ca="1">IFERROR(__xludf.DUMMYFUNCTION("INDEX(FILTER($P23:$AL23, $P23:$AL23 &lt;&gt; """"), 1)"),"Film &amp; the Firm: Visual Culture in Business Contexts (A)")</f>
        <v>Film &amp; the Firm: Visual Culture in Business Contexts (A)</v>
      </c>
      <c r="H23" s="106" t="str">
        <f ca="1">IFERROR(__xludf.DUMMYFUNCTION("INDEX(FILTER($P23:$AL23, $P23:$AL23 &lt;&gt; """"), 2)"),"SPORTS ANALYTICS (B)")</f>
        <v>SPORTS ANALYTICS (B)</v>
      </c>
      <c r="I23" s="106" t="str">
        <f ca="1">IFERROR(__xludf.DUMMYFUNCTION("INDEX(FILTER($P23:$AL23, $P23:$AL23 &lt;&gt; """"), 3)"),"Industry 4.0 in Transport Sector")</f>
        <v>Industry 4.0 in Transport Sector</v>
      </c>
      <c r="J23" s="106" t="str">
        <f ca="1">IFERROR(__xludf.DUMMYFUNCTION("IFERROR(INDEX(FILTER($P23:$AL23, $P23:$AL23 &lt;&gt; """"), 4),)"),"")</f>
        <v/>
      </c>
      <c r="K23" s="106" t="str">
        <f ca="1">IFERROR(__xludf.DUMMYFUNCTION("IFERROR(INDEX(FILTER($P23:$AL23, $P23:$AL23 &lt;&gt; """"), 5),)"),"")</f>
        <v/>
      </c>
      <c r="L23" s="107"/>
      <c r="M23" s="129" t="s">
        <v>443</v>
      </c>
      <c r="N23" s="133" t="s">
        <v>22</v>
      </c>
      <c r="O23" s="107"/>
      <c r="P23" s="132" t="str">
        <f>IF(COUNTIF('Fintech-A'!$A:$A, $C23), P$1, "")</f>
        <v/>
      </c>
      <c r="Q23" s="132" t="str">
        <f>IF(COUNTIF('Fintech-B'!$A:$A, $C23), Q$1, "")</f>
        <v/>
      </c>
      <c r="R23" s="132" t="str">
        <f>IF(COUNTIF('BEDM-A'!$A:$A, $C23), R$1, "")</f>
        <v/>
      </c>
      <c r="S23" s="132" t="str">
        <f>IF(COUNTIF('BEDM-B'!$A:$A, $C23), S$1, "")</f>
        <v/>
      </c>
      <c r="T23" s="132" t="str">
        <f>IF(COUNTIF('Art-A'!$A:$A, $C23), T$1, "")</f>
        <v/>
      </c>
      <c r="U23" s="132" t="str">
        <f>IF(COUNTIF('Art-B'!$A:$A, $C23), U$1, "")</f>
        <v/>
      </c>
      <c r="V23" s="132" t="str">
        <f>IF(COUNTIF('WH-A'!$A:$A, $C23), V$1, "")</f>
        <v/>
      </c>
      <c r="W23" s="132" t="str">
        <f>IF(COUNTIF('WH-B'!$A:$A, $C23), W$1, "")</f>
        <v/>
      </c>
      <c r="X23" s="132" t="str">
        <f>IF(COUNTIF(LETV!$A:$A, $C23), X$1, "")</f>
        <v/>
      </c>
      <c r="Y23" s="132" t="str">
        <f>IF(COUNTIF('Film&amp;Firm-A'!$A:$A, $C23), Y$1, "")</f>
        <v>Film &amp; the Firm: Visual Culture in Business Contexts (A)</v>
      </c>
      <c r="Z23" s="132" t="str">
        <f>IF(COUNTIF('Film&amp;Firm-B'!$A:$A, $C23), Z$1, "")</f>
        <v/>
      </c>
      <c r="AA23" s="132" t="str">
        <f>IF(COUNTIF(SHRM!$A:$A, $C23), AA$1, "")</f>
        <v/>
      </c>
      <c r="AB23" s="132" t="str">
        <f>IF(COUNTIF('SCM-A'!$A:$A, $C23), AB$1, "")</f>
        <v/>
      </c>
      <c r="AC23" s="132" t="str">
        <f>IF(COUNTIF('SCM-B'!$A:$A, $C23), AC$1, "")</f>
        <v/>
      </c>
      <c r="AD23" s="132" t="str">
        <f>IF(COUNTIF(AIS!$A:$A, $C23), AD$1, "")</f>
        <v/>
      </c>
      <c r="AE23" s="132" t="str">
        <f>IF(COUNTIF(EB!$A:$A, $C23), AE$1, "")</f>
        <v/>
      </c>
      <c r="AF23" s="132" t="str">
        <f>IF(COUNTIF('AIAM-A'!$A:$A, $C23), AF$1, "")</f>
        <v/>
      </c>
      <c r="AG23" s="132" t="str">
        <f>IF(COUNTIF('AIAM-B'!$A:$A, $C23), AG$1, "")</f>
        <v/>
      </c>
      <c r="AH23" s="132" t="str">
        <f>IF(COUNTIF('SA-A'!$A:$A, $C23), AH$1, "")</f>
        <v/>
      </c>
      <c r="AI23" s="132" t="str">
        <f>IF(COUNTIF('SA-B'!$A:$A, $C23), AI$1, "")</f>
        <v>SPORTS ANALYTICS (B)</v>
      </c>
      <c r="AJ23" s="132" t="str">
        <f>IF(COUNTIF(CSM!$A:$A, $C23), AJ$1, "")</f>
        <v/>
      </c>
      <c r="AK23" s="132" t="str">
        <f>IF(COUNTIF(EM!$A:$A, $C23), AK$1, "")</f>
        <v/>
      </c>
      <c r="AL23" s="132" t="str">
        <f>IF(COUNTIF(I4TS!$A:$A, $C23), AL$1, "")</f>
        <v>Industry 4.0 in Transport Sector</v>
      </c>
    </row>
    <row r="24" spans="1:38" ht="15.75" customHeight="1">
      <c r="A24" s="131">
        <v>23</v>
      </c>
      <c r="B24" s="131" t="s">
        <v>371</v>
      </c>
      <c r="C24" s="131" t="s">
        <v>444</v>
      </c>
      <c r="D24" s="106" t="s">
        <v>445</v>
      </c>
      <c r="E24" s="106" t="s">
        <v>446</v>
      </c>
      <c r="F24" s="131">
        <f t="shared" ca="1" si="0"/>
        <v>5</v>
      </c>
      <c r="G24" s="106" t="str">
        <f ca="1">IFERROR(__xludf.DUMMYFUNCTION("INDEX(FILTER($P24:$AL24, $P24:$AL24 &lt;&gt; """"), 1)"),"The Art, Craft, and Science of Management: Learning through Classics and Best Collections (A)")</f>
        <v>The Art, Craft, and Science of Management: Learning through Classics and Best Collections (A)</v>
      </c>
      <c r="H24" s="106" t="str">
        <f ca="1">IFERROR(__xludf.DUMMYFUNCTION("INDEX(FILTER($P24:$AL24, $P24:$AL24 &lt;&gt; """"), 2)"),"AI AND  STRATEGY")</f>
        <v>AI AND  STRATEGY</v>
      </c>
      <c r="I24" s="106" t="str">
        <f ca="1">IFERROR(__xludf.DUMMYFUNCTION("INDEX(FILTER($P24:$AL24, $P24:$AL24 &lt;&gt; """"), 3)"),"Industry 4.0 in Transport Sector")</f>
        <v>Industry 4.0 in Transport Sector</v>
      </c>
      <c r="J24" s="106" t="str">
        <f ca="1">IFERROR(__xludf.DUMMYFUNCTION("IFERROR(INDEX(FILTER($P24:$AL24, $P24:$AL24 &lt;&gt; """"), 4),)"),"")</f>
        <v/>
      </c>
      <c r="K24" s="106" t="str">
        <f ca="1">IFERROR(__xludf.DUMMYFUNCTION("IFERROR(INDEX(FILTER($P24:$AL24, $P24:$AL24 &lt;&gt; """"), 5),)"),"")</f>
        <v/>
      </c>
      <c r="L24" s="107"/>
      <c r="M24" s="107"/>
      <c r="N24" s="107"/>
      <c r="O24" s="107"/>
      <c r="P24" s="132" t="str">
        <f>IF(COUNTIF('Fintech-A'!$A:$A, $C24), P$1, "")</f>
        <v/>
      </c>
      <c r="Q24" s="132" t="str">
        <f>IF(COUNTIF('Fintech-B'!$A:$A, $C24), Q$1, "")</f>
        <v/>
      </c>
      <c r="R24" s="132" t="str">
        <f>IF(COUNTIF('BEDM-A'!$A:$A, $C24), R$1, "")</f>
        <v/>
      </c>
      <c r="S24" s="132" t="str">
        <f>IF(COUNTIF('BEDM-B'!$A:$A, $C24), S$1, "")</f>
        <v/>
      </c>
      <c r="T24" s="132" t="str">
        <f>IF(COUNTIF('Art-A'!$A:$A, $C24), T$1, "")</f>
        <v>The Art, Craft, and Science of Management: Learning through Classics and Best Collections (A)</v>
      </c>
      <c r="U24" s="132" t="str">
        <f>IF(COUNTIF('Art-B'!$A:$A, $C24), U$1, "")</f>
        <v/>
      </c>
      <c r="V24" s="132" t="str">
        <f>IF(COUNTIF('WH-A'!$A:$A, $C24), V$1, "")</f>
        <v/>
      </c>
      <c r="W24" s="132" t="str">
        <f>IF(COUNTIF('WH-B'!$A:$A, $C24), W$1, "")</f>
        <v/>
      </c>
      <c r="X24" s="132" t="str">
        <f>IF(COUNTIF(LETV!$A:$A, $C24), X$1, "")</f>
        <v/>
      </c>
      <c r="Y24" s="132" t="str">
        <f>IF(COUNTIF('Film&amp;Firm-A'!$A:$A, $C24), Y$1, "")</f>
        <v/>
      </c>
      <c r="Z24" s="132" t="str">
        <f>IF(COUNTIF('Film&amp;Firm-B'!$A:$A, $C24), Z$1, "")</f>
        <v/>
      </c>
      <c r="AA24" s="132" t="str">
        <f>IF(COUNTIF(SHRM!$A:$A, $C24), AA$1, "")</f>
        <v/>
      </c>
      <c r="AB24" s="132" t="str">
        <f>IF(COUNTIF('SCM-A'!$A:$A, $C24), AB$1, "")</f>
        <v/>
      </c>
      <c r="AC24" s="132" t="str">
        <f>IF(COUNTIF('SCM-B'!$A:$A, $C24), AC$1, "")</f>
        <v/>
      </c>
      <c r="AD24" s="132" t="str">
        <f>IF(COUNTIF(AIS!$A:$A, $C24), AD$1, "")</f>
        <v>AI AND  STRATEGY</v>
      </c>
      <c r="AE24" s="132" t="str">
        <f>IF(COUNTIF(EB!$A:$A, $C24), AE$1, "")</f>
        <v/>
      </c>
      <c r="AF24" s="132" t="str">
        <f>IF(COUNTIF('AIAM-A'!$A:$A, $C24), AF$1, "")</f>
        <v/>
      </c>
      <c r="AG24" s="132" t="str">
        <f>IF(COUNTIF('AIAM-B'!$A:$A, $C24), AG$1, "")</f>
        <v/>
      </c>
      <c r="AH24" s="132" t="str">
        <f>IF(COUNTIF('SA-A'!$A:$A, $C24), AH$1, "")</f>
        <v/>
      </c>
      <c r="AI24" s="132" t="str">
        <f>IF(COUNTIF('SA-B'!$A:$A, $C24), AI$1, "")</f>
        <v/>
      </c>
      <c r="AJ24" s="132" t="str">
        <f>IF(COUNTIF(CSM!$A:$A, $C24), AJ$1, "")</f>
        <v/>
      </c>
      <c r="AK24" s="132" t="str">
        <f>IF(COUNTIF(EM!$A:$A, $C24), AK$1, "")</f>
        <v/>
      </c>
      <c r="AL24" s="132" t="str">
        <f>IF(COUNTIF(I4TS!$A:$A, $C24), AL$1, "")</f>
        <v>Industry 4.0 in Transport Sector</v>
      </c>
    </row>
    <row r="25" spans="1:38" ht="15.75" customHeight="1">
      <c r="A25" s="131">
        <v>24</v>
      </c>
      <c r="B25" s="131" t="s">
        <v>371</v>
      </c>
      <c r="C25" s="131" t="s">
        <v>447</v>
      </c>
      <c r="D25" s="106" t="s">
        <v>448</v>
      </c>
      <c r="E25" s="106" t="s">
        <v>449</v>
      </c>
      <c r="F25" s="131">
        <f t="shared" ca="1" si="0"/>
        <v>5</v>
      </c>
      <c r="G25" s="106" t="str">
        <f ca="1">IFERROR(__xludf.DUMMYFUNCTION("INDEX(FILTER($P25:$AL25, $P25:$AL25 &lt;&gt; """"), 1)"),"AI AND  STRATEGY")</f>
        <v>AI AND  STRATEGY</v>
      </c>
      <c r="H25" s="106" t="str">
        <f ca="1">IFERROR(__xludf.DUMMYFUNCTION("INDEX(FILTER($P25:$AL25, $P25:$AL25 &lt;&gt; """"), 2)"),"SPORTS ANALYTICS (A)")</f>
        <v>SPORTS ANALYTICS (A)</v>
      </c>
      <c r="I25" s="106" t="str">
        <f ca="1">IFERROR(__xludf.DUMMYFUNCTION("INDEX(FILTER($P25:$AL25, $P25:$AL25 &lt;&gt; """"), 3)"),"Industry 4.0 in Transport Sector")</f>
        <v>Industry 4.0 in Transport Sector</v>
      </c>
      <c r="J25" s="106" t="str">
        <f ca="1">IFERROR(__xludf.DUMMYFUNCTION("IFERROR(INDEX(FILTER($P25:$AL25, $P25:$AL25 &lt;&gt; """"), 4),)"),"")</f>
        <v/>
      </c>
      <c r="K25" s="106" t="str">
        <f ca="1">IFERROR(__xludf.DUMMYFUNCTION("IFERROR(INDEX(FILTER($P25:$AL25, $P25:$AL25 &lt;&gt; """"), 5),)"),"")</f>
        <v/>
      </c>
      <c r="L25" s="107"/>
      <c r="M25" s="107"/>
      <c r="N25" s="107"/>
      <c r="O25" s="107"/>
      <c r="P25" s="132" t="str">
        <f>IF(COUNTIF('Fintech-A'!$A:$A, $C25), P$1, "")</f>
        <v/>
      </c>
      <c r="Q25" s="132" t="str">
        <f>IF(COUNTIF('Fintech-B'!$A:$A, $C25), Q$1, "")</f>
        <v/>
      </c>
      <c r="R25" s="132" t="str">
        <f>IF(COUNTIF('BEDM-A'!$A:$A, $C25), R$1, "")</f>
        <v/>
      </c>
      <c r="S25" s="132" t="str">
        <f>IF(COUNTIF('BEDM-B'!$A:$A, $C25), S$1, "")</f>
        <v/>
      </c>
      <c r="T25" s="132" t="str">
        <f>IF(COUNTIF('Art-A'!$A:$A, $C25), T$1, "")</f>
        <v/>
      </c>
      <c r="U25" s="132" t="str">
        <f>IF(COUNTIF('Art-B'!$A:$A, $C25), U$1, "")</f>
        <v/>
      </c>
      <c r="V25" s="132" t="str">
        <f>IF(COUNTIF('WH-A'!$A:$A, $C25), V$1, "")</f>
        <v/>
      </c>
      <c r="W25" s="132" t="str">
        <f>IF(COUNTIF('WH-B'!$A:$A, $C25), W$1, "")</f>
        <v/>
      </c>
      <c r="X25" s="132" t="str">
        <f>IF(COUNTIF(LETV!$A:$A, $C25), X$1, "")</f>
        <v/>
      </c>
      <c r="Y25" s="132" t="str">
        <f>IF(COUNTIF('Film&amp;Firm-A'!$A:$A, $C25), Y$1, "")</f>
        <v/>
      </c>
      <c r="Z25" s="132" t="str">
        <f>IF(COUNTIF('Film&amp;Firm-B'!$A:$A, $C25), Z$1, "")</f>
        <v/>
      </c>
      <c r="AA25" s="132" t="str">
        <f>IF(COUNTIF(SHRM!$A:$A, $C25), AA$1, "")</f>
        <v/>
      </c>
      <c r="AB25" s="132" t="str">
        <f>IF(COUNTIF('SCM-A'!$A:$A, $C25), AB$1, "")</f>
        <v/>
      </c>
      <c r="AC25" s="132" t="str">
        <f>IF(COUNTIF('SCM-B'!$A:$A, $C25), AC$1, "")</f>
        <v/>
      </c>
      <c r="AD25" s="132" t="str">
        <f>IF(COUNTIF(AIS!$A:$A, $C25), AD$1, "")</f>
        <v>AI AND  STRATEGY</v>
      </c>
      <c r="AE25" s="132" t="str">
        <f>IF(COUNTIF(EB!$A:$A, $C25), AE$1, "")</f>
        <v/>
      </c>
      <c r="AF25" s="132" t="str">
        <f>IF(COUNTIF('AIAM-A'!$A:$A, $C25), AF$1, "")</f>
        <v/>
      </c>
      <c r="AG25" s="132" t="str">
        <f>IF(COUNTIF('AIAM-B'!$A:$A, $C25), AG$1, "")</f>
        <v/>
      </c>
      <c r="AH25" s="132" t="str">
        <f>IF(COUNTIF('SA-A'!$A:$A, $C25), AH$1, "")</f>
        <v>SPORTS ANALYTICS (A)</v>
      </c>
      <c r="AI25" s="132" t="str">
        <f>IF(COUNTIF('SA-B'!$A:$A, $C25), AI$1, "")</f>
        <v/>
      </c>
      <c r="AJ25" s="132" t="str">
        <f>IF(COUNTIF(CSM!$A:$A, $C25), AJ$1, "")</f>
        <v/>
      </c>
      <c r="AK25" s="132" t="str">
        <f>IF(COUNTIF(EM!$A:$A, $C25), AK$1, "")</f>
        <v/>
      </c>
      <c r="AL25" s="132" t="str">
        <f>IF(COUNTIF(I4TS!$A:$A, $C25), AL$1, "")</f>
        <v>Industry 4.0 in Transport Sector</v>
      </c>
    </row>
    <row r="26" spans="1:38" ht="15.75" customHeight="1">
      <c r="A26" s="131">
        <v>25</v>
      </c>
      <c r="B26" s="131" t="s">
        <v>371</v>
      </c>
      <c r="C26" s="131" t="s">
        <v>240</v>
      </c>
      <c r="D26" s="106" t="s">
        <v>450</v>
      </c>
      <c r="E26" s="106" t="s">
        <v>451</v>
      </c>
      <c r="F26" s="131">
        <f t="shared" ca="1" si="0"/>
        <v>5</v>
      </c>
      <c r="G26" s="106" t="str">
        <f ca="1">IFERROR(__xludf.DUMMYFUNCTION("INDEX(FILTER($P26:$AL26, $P26:$AL26 &lt;&gt; """"), 1)"),"Behavioural Economics and Decision-Making (B)")</f>
        <v>Behavioural Economics and Decision-Making (B)</v>
      </c>
      <c r="H26" s="106" t="str">
        <f ca="1">IFERROR(__xludf.DUMMYFUNCTION("INDEX(FILTER($P26:$AL26, $P26:$AL26 &lt;&gt; """"), 2)"),"AI Applications in Marketing (A)")</f>
        <v>AI Applications in Marketing (A)</v>
      </c>
      <c r="I26" s="106" t="str">
        <f ca="1">IFERROR(__xludf.DUMMYFUNCTION("INDEX(FILTER($P26:$AL26, $P26:$AL26 &lt;&gt; """"), 3)"),"SPORTS ANALYTICS (A)")</f>
        <v>SPORTS ANALYTICS (A)</v>
      </c>
      <c r="J26" s="106" t="str">
        <f ca="1">IFERROR(__xludf.DUMMYFUNCTION("IFERROR(INDEX(FILTER($P26:$AL26, $P26:$AL26 &lt;&gt; """"), 4),)"),"")</f>
        <v/>
      </c>
      <c r="K26" s="106" t="str">
        <f ca="1">IFERROR(__xludf.DUMMYFUNCTION("IFERROR(INDEX(FILTER($P26:$AL26, $P26:$AL26 &lt;&gt; """"), 5),)"),"")</f>
        <v/>
      </c>
      <c r="L26" s="107"/>
      <c r="M26" s="107"/>
      <c r="N26" s="107"/>
      <c r="O26" s="107"/>
      <c r="P26" s="132" t="str">
        <f>IF(COUNTIF('Fintech-A'!$A:$A, $C26), P$1, "")</f>
        <v/>
      </c>
      <c r="Q26" s="132" t="str">
        <f>IF(COUNTIF('Fintech-B'!$A:$A, $C26), Q$1, "")</f>
        <v/>
      </c>
      <c r="R26" s="132" t="str">
        <f>IF(COUNTIF('BEDM-A'!$A:$A, $C26), R$1, "")</f>
        <v/>
      </c>
      <c r="S26" s="132" t="str">
        <f>IF(COUNTIF('BEDM-B'!$A:$A, $C26), S$1, "")</f>
        <v>Behavioural Economics and Decision-Making (B)</v>
      </c>
      <c r="T26" s="132" t="str">
        <f>IF(COUNTIF('Art-A'!$A:$A, $C26), T$1, "")</f>
        <v/>
      </c>
      <c r="U26" s="132" t="str">
        <f>IF(COUNTIF('Art-B'!$A:$A, $C26), U$1, "")</f>
        <v/>
      </c>
      <c r="V26" s="132" t="str">
        <f>IF(COUNTIF('WH-A'!$A:$A, $C26), V$1, "")</f>
        <v/>
      </c>
      <c r="W26" s="132" t="str">
        <f>IF(COUNTIF('WH-B'!$A:$A, $C26), W$1, "")</f>
        <v/>
      </c>
      <c r="X26" s="132" t="str">
        <f>IF(COUNTIF(LETV!$A:$A, $C26), X$1, "")</f>
        <v/>
      </c>
      <c r="Y26" s="132" t="str">
        <f>IF(COUNTIF('Film&amp;Firm-A'!$A:$A, $C26), Y$1, "")</f>
        <v/>
      </c>
      <c r="Z26" s="132" t="str">
        <f>IF(COUNTIF('Film&amp;Firm-B'!$A:$A, $C26), Z$1, "")</f>
        <v/>
      </c>
      <c r="AA26" s="132" t="str">
        <f>IF(COUNTIF(SHRM!$A:$A, $C26), AA$1, "")</f>
        <v/>
      </c>
      <c r="AB26" s="132" t="str">
        <f>IF(COUNTIF('SCM-A'!$A:$A, $C26), AB$1, "")</f>
        <v/>
      </c>
      <c r="AC26" s="132" t="str">
        <f>IF(COUNTIF('SCM-B'!$A:$A, $C26), AC$1, "")</f>
        <v/>
      </c>
      <c r="AD26" s="132" t="str">
        <f>IF(COUNTIF(AIS!$A:$A, $C26), AD$1, "")</f>
        <v/>
      </c>
      <c r="AE26" s="132" t="str">
        <f>IF(COUNTIF(EB!$A:$A, $C26), AE$1, "")</f>
        <v/>
      </c>
      <c r="AF26" s="132" t="str">
        <f>IF(COUNTIF('AIAM-A'!$A:$A, $C26), AF$1, "")</f>
        <v>AI Applications in Marketing (A)</v>
      </c>
      <c r="AG26" s="132" t="str">
        <f>IF(COUNTIF('AIAM-B'!$A:$A, $C26), AG$1, "")</f>
        <v/>
      </c>
      <c r="AH26" s="132" t="str">
        <f>IF(COUNTIF('SA-A'!$A:$A, $C26), AH$1, "")</f>
        <v>SPORTS ANALYTICS (A)</v>
      </c>
      <c r="AI26" s="132" t="str">
        <f>IF(COUNTIF('SA-B'!$A:$A, $C26), AI$1, "")</f>
        <v/>
      </c>
      <c r="AJ26" s="132" t="str">
        <f>IF(COUNTIF(CSM!$A:$A, $C26), AJ$1, "")</f>
        <v/>
      </c>
      <c r="AK26" s="132" t="str">
        <f>IF(COUNTIF(EM!$A:$A, $C26), AK$1, "")</f>
        <v/>
      </c>
      <c r="AL26" s="132" t="str">
        <f>IF(COUNTIF(I4TS!$A:$A, $C26), AL$1, "")</f>
        <v/>
      </c>
    </row>
    <row r="27" spans="1:38" ht="15.75" customHeight="1">
      <c r="A27" s="131">
        <v>26</v>
      </c>
      <c r="B27" s="131" t="s">
        <v>371</v>
      </c>
      <c r="C27" s="131" t="s">
        <v>241</v>
      </c>
      <c r="D27" s="106" t="s">
        <v>452</v>
      </c>
      <c r="E27" s="106" t="s">
        <v>453</v>
      </c>
      <c r="F27" s="131">
        <f t="shared" ca="1" si="0"/>
        <v>5</v>
      </c>
      <c r="G27" s="106" t="str">
        <f ca="1">IFERROR(__xludf.DUMMYFUNCTION("INDEX(FILTER($P27:$AL27, $P27:$AL27 &lt;&gt; """"), 1)"),"Fintech (Digital Transformation in Finance) (A)")</f>
        <v>Fintech (Digital Transformation in Finance) (A)</v>
      </c>
      <c r="H27" s="106" t="str">
        <f ca="1">IFERROR(__xludf.DUMMYFUNCTION("INDEX(FILTER($P27:$AL27, $P27:$AL27 &lt;&gt; """"), 2)"),"Film &amp; the Firm: Visual Culture in Business Contexts (A)")</f>
        <v>Film &amp; the Firm: Visual Culture in Business Contexts (A)</v>
      </c>
      <c r="I27" s="106" t="str">
        <f ca="1">IFERROR(__xludf.DUMMYFUNCTION("INDEX(FILTER($P27:$AL27, $P27:$AL27 &lt;&gt; """"), 3)"),"AI Applications in Marketing (B)")</f>
        <v>AI Applications in Marketing (B)</v>
      </c>
      <c r="J27" s="106" t="str">
        <f ca="1">IFERROR(__xludf.DUMMYFUNCTION("IFERROR(INDEX(FILTER($P27:$AL27, $P27:$AL27 &lt;&gt; """"), 4),)"),"")</f>
        <v/>
      </c>
      <c r="K27" s="106" t="str">
        <f ca="1">IFERROR(__xludf.DUMMYFUNCTION("IFERROR(INDEX(FILTER($P27:$AL27, $P27:$AL27 &lt;&gt; """"), 5),)"),"")</f>
        <v/>
      </c>
      <c r="L27" s="107"/>
      <c r="M27" s="107"/>
      <c r="N27" s="107"/>
      <c r="O27" s="107"/>
      <c r="P27" s="132" t="str">
        <f>IF(COUNTIF('Fintech-A'!$A:$A, $C27), P$1, "")</f>
        <v>Fintech (Digital Transformation in Finance) (A)</v>
      </c>
      <c r="Q27" s="132" t="str">
        <f>IF(COUNTIF('Fintech-B'!$A:$A, $C27), Q$1, "")</f>
        <v/>
      </c>
      <c r="R27" s="132" t="str">
        <f>IF(COUNTIF('BEDM-A'!$A:$A, $C27), R$1, "")</f>
        <v/>
      </c>
      <c r="S27" s="132" t="str">
        <f>IF(COUNTIF('BEDM-B'!$A:$A, $C27), S$1, "")</f>
        <v/>
      </c>
      <c r="T27" s="132" t="str">
        <f>IF(COUNTIF('Art-A'!$A:$A, $C27), T$1, "")</f>
        <v/>
      </c>
      <c r="U27" s="132" t="str">
        <f>IF(COUNTIF('Art-B'!$A:$A, $C27), U$1, "")</f>
        <v/>
      </c>
      <c r="V27" s="132" t="str">
        <f>IF(COUNTIF('WH-A'!$A:$A, $C27), V$1, "")</f>
        <v/>
      </c>
      <c r="W27" s="132" t="str">
        <f>IF(COUNTIF('WH-B'!$A:$A, $C27), W$1, "")</f>
        <v/>
      </c>
      <c r="X27" s="132" t="str">
        <f>IF(COUNTIF(LETV!$A:$A, $C27), X$1, "")</f>
        <v/>
      </c>
      <c r="Y27" s="132" t="str">
        <f>IF(COUNTIF('Film&amp;Firm-A'!$A:$A, $C27), Y$1, "")</f>
        <v>Film &amp; the Firm: Visual Culture in Business Contexts (A)</v>
      </c>
      <c r="Z27" s="132" t="str">
        <f>IF(COUNTIF('Film&amp;Firm-B'!$A:$A, $C27), Z$1, "")</f>
        <v/>
      </c>
      <c r="AA27" s="132" t="str">
        <f>IF(COUNTIF(SHRM!$A:$A, $C27), AA$1, "")</f>
        <v/>
      </c>
      <c r="AB27" s="132" t="str">
        <f>IF(COUNTIF('SCM-A'!$A:$A, $C27), AB$1, "")</f>
        <v/>
      </c>
      <c r="AC27" s="132" t="str">
        <f>IF(COUNTIF('SCM-B'!$A:$A, $C27), AC$1, "")</f>
        <v/>
      </c>
      <c r="AD27" s="132" t="str">
        <f>IF(COUNTIF(AIS!$A:$A, $C27), AD$1, "")</f>
        <v/>
      </c>
      <c r="AE27" s="132" t="str">
        <f>IF(COUNTIF(EB!$A:$A, $C27), AE$1, "")</f>
        <v/>
      </c>
      <c r="AF27" s="132" t="str">
        <f>IF(COUNTIF('AIAM-A'!$A:$A, $C27), AF$1, "")</f>
        <v/>
      </c>
      <c r="AG27" s="132" t="str">
        <f>IF(COUNTIF('AIAM-B'!$A:$A, $C27), AG$1, "")</f>
        <v>AI Applications in Marketing (B)</v>
      </c>
      <c r="AH27" s="132" t="str">
        <f>IF(COUNTIF('SA-A'!$A:$A, $C27), AH$1, "")</f>
        <v/>
      </c>
      <c r="AI27" s="132" t="str">
        <f>IF(COUNTIF('SA-B'!$A:$A, $C27), AI$1, "")</f>
        <v/>
      </c>
      <c r="AJ27" s="132" t="str">
        <f>IF(COUNTIF(CSM!$A:$A, $C27), AJ$1, "")</f>
        <v/>
      </c>
      <c r="AK27" s="132" t="str">
        <f>IF(COUNTIF(EM!$A:$A, $C27), AK$1, "")</f>
        <v/>
      </c>
      <c r="AL27" s="132" t="str">
        <f>IF(COUNTIF(I4TS!$A:$A, $C27), AL$1, "")</f>
        <v/>
      </c>
    </row>
    <row r="28" spans="1:38" ht="15.75" customHeight="1">
      <c r="A28" s="131">
        <v>27</v>
      </c>
      <c r="B28" s="131" t="s">
        <v>371</v>
      </c>
      <c r="C28" s="131" t="s">
        <v>454</v>
      </c>
      <c r="D28" s="106" t="s">
        <v>455</v>
      </c>
      <c r="E28" s="106" t="s">
        <v>456</v>
      </c>
      <c r="F28" s="131">
        <f t="shared" ca="1" si="0"/>
        <v>5</v>
      </c>
      <c r="G28" s="106" t="str">
        <f ca="1">IFERROR(__xludf.DUMMYFUNCTION("INDEX(FILTER($P28:$AL28, $P28:$AL28 &lt;&gt; """"), 1)"),"AI Applications in Marketing (B)")</f>
        <v>AI Applications in Marketing (B)</v>
      </c>
      <c r="H28" s="106" t="str">
        <f ca="1">IFERROR(__xludf.DUMMYFUNCTION("INDEX(FILTER($P28:$AL28, $P28:$AL28 &lt;&gt; """"), 2)"),"SPORTS ANALYTICS (B)")</f>
        <v>SPORTS ANALYTICS (B)</v>
      </c>
      <c r="I28" s="106" t="str">
        <f ca="1">IFERROR(__xludf.DUMMYFUNCTION("INDEX(FILTER($P28:$AL28, $P28:$AL28 &lt;&gt; """"), 3)"),"Industry 4.0 in Transport Sector")</f>
        <v>Industry 4.0 in Transport Sector</v>
      </c>
      <c r="J28" s="106" t="str">
        <f ca="1">IFERROR(__xludf.DUMMYFUNCTION("IFERROR(INDEX(FILTER($P28:$AL28, $P28:$AL28 &lt;&gt; """"), 4),)"),"")</f>
        <v/>
      </c>
      <c r="K28" s="106" t="str">
        <f ca="1">IFERROR(__xludf.DUMMYFUNCTION("IFERROR(INDEX(FILTER($P28:$AL28, $P28:$AL28 &lt;&gt; """"), 5),)"),"")</f>
        <v/>
      </c>
      <c r="L28" s="107"/>
      <c r="M28" s="107"/>
      <c r="N28" s="107"/>
      <c r="O28" s="107"/>
      <c r="P28" s="132" t="str">
        <f>IF(COUNTIF('Fintech-A'!$A:$A, $C28), P$1, "")</f>
        <v/>
      </c>
      <c r="Q28" s="132" t="str">
        <f>IF(COUNTIF('Fintech-B'!$A:$A, $C28), Q$1, "")</f>
        <v/>
      </c>
      <c r="R28" s="132" t="str">
        <f>IF(COUNTIF('BEDM-A'!$A:$A, $C28), R$1, "")</f>
        <v/>
      </c>
      <c r="S28" s="132" t="str">
        <f>IF(COUNTIF('BEDM-B'!$A:$A, $C28), S$1, "")</f>
        <v/>
      </c>
      <c r="T28" s="132" t="str">
        <f>IF(COUNTIF('Art-A'!$A:$A, $C28), T$1, "")</f>
        <v/>
      </c>
      <c r="U28" s="132" t="str">
        <f>IF(COUNTIF('Art-B'!$A:$A, $C28), U$1, "")</f>
        <v/>
      </c>
      <c r="V28" s="132" t="str">
        <f>IF(COUNTIF('WH-A'!$A:$A, $C28), V$1, "")</f>
        <v/>
      </c>
      <c r="W28" s="132" t="str">
        <f>IF(COUNTIF('WH-B'!$A:$A, $C28), W$1, "")</f>
        <v/>
      </c>
      <c r="X28" s="132" t="str">
        <f>IF(COUNTIF(LETV!$A:$A, $C28), X$1, "")</f>
        <v/>
      </c>
      <c r="Y28" s="132" t="str">
        <f>IF(COUNTIF('Film&amp;Firm-A'!$A:$A, $C28), Y$1, "")</f>
        <v/>
      </c>
      <c r="Z28" s="132" t="str">
        <f>IF(COUNTIF('Film&amp;Firm-B'!$A:$A, $C28), Z$1, "")</f>
        <v/>
      </c>
      <c r="AA28" s="132" t="str">
        <f>IF(COUNTIF(SHRM!$A:$A, $C28), AA$1, "")</f>
        <v/>
      </c>
      <c r="AB28" s="132" t="str">
        <f>IF(COUNTIF('SCM-A'!$A:$A, $C28), AB$1, "")</f>
        <v/>
      </c>
      <c r="AC28" s="132" t="str">
        <f>IF(COUNTIF('SCM-B'!$A:$A, $C28), AC$1, "")</f>
        <v/>
      </c>
      <c r="AD28" s="132" t="str">
        <f>IF(COUNTIF(AIS!$A:$A, $C28), AD$1, "")</f>
        <v/>
      </c>
      <c r="AE28" s="132" t="str">
        <f>IF(COUNTIF(EB!$A:$A, $C28), AE$1, "")</f>
        <v/>
      </c>
      <c r="AF28" s="132" t="str">
        <f>IF(COUNTIF('AIAM-A'!$A:$A, $C28), AF$1, "")</f>
        <v/>
      </c>
      <c r="AG28" s="132" t="str">
        <f>IF(COUNTIF('AIAM-B'!$A:$A, $C28), AG$1, "")</f>
        <v>AI Applications in Marketing (B)</v>
      </c>
      <c r="AH28" s="132" t="str">
        <f>IF(COUNTIF('SA-A'!$A:$A, $C28), AH$1, "")</f>
        <v/>
      </c>
      <c r="AI28" s="132" t="str">
        <f>IF(COUNTIF('SA-B'!$A:$A, $C28), AI$1, "")</f>
        <v>SPORTS ANALYTICS (B)</v>
      </c>
      <c r="AJ28" s="132" t="str">
        <f>IF(COUNTIF(CSM!$A:$A, $C28), AJ$1, "")</f>
        <v/>
      </c>
      <c r="AK28" s="132" t="str">
        <f>IF(COUNTIF(EM!$A:$A, $C28), AK$1, "")</f>
        <v/>
      </c>
      <c r="AL28" s="132" t="str">
        <f>IF(COUNTIF(I4TS!$A:$A, $C28), AL$1, "")</f>
        <v>Industry 4.0 in Transport Sector</v>
      </c>
    </row>
    <row r="29" spans="1:38" ht="15.75" customHeight="1">
      <c r="A29" s="131">
        <v>28</v>
      </c>
      <c r="B29" s="131" t="s">
        <v>371</v>
      </c>
      <c r="C29" s="131" t="s">
        <v>457</v>
      </c>
      <c r="D29" s="106" t="s">
        <v>458</v>
      </c>
      <c r="E29" s="106" t="s">
        <v>459</v>
      </c>
      <c r="F29" s="131">
        <f t="shared" ca="1" si="0"/>
        <v>5</v>
      </c>
      <c r="G29" s="106" t="str">
        <f ca="1">IFERROR(__xludf.DUMMYFUNCTION("INDEX(FILTER($P29:$AL29, $P29:$AL29 &lt;&gt; """"), 1)"),"Behavioural Economics and Decision-Making (B)")</f>
        <v>Behavioural Economics and Decision-Making (B)</v>
      </c>
      <c r="H29" s="106" t="str">
        <f ca="1">IFERROR(__xludf.DUMMYFUNCTION("INDEX(FILTER($P29:$AL29, $P29:$AL29 &lt;&gt; """"), 2)"),"Film &amp; the Firm: Visual Culture in Business Contexts (A)")</f>
        <v>Film &amp; the Firm: Visual Culture in Business Contexts (A)</v>
      </c>
      <c r="I29" s="106" t="str">
        <f ca="1">IFERROR(__xludf.DUMMYFUNCTION("INDEX(FILTER($P29:$AL29, $P29:$AL29 &lt;&gt; """"), 3)"),"SPORTS ANALYTICS (A)")</f>
        <v>SPORTS ANALYTICS (A)</v>
      </c>
      <c r="J29" s="106" t="str">
        <f ca="1">IFERROR(__xludf.DUMMYFUNCTION("IFERROR(INDEX(FILTER($P29:$AL29, $P29:$AL29 &lt;&gt; """"), 4),)"),"")</f>
        <v/>
      </c>
      <c r="K29" s="106" t="str">
        <f ca="1">IFERROR(__xludf.DUMMYFUNCTION("IFERROR(INDEX(FILTER($P29:$AL29, $P29:$AL29 &lt;&gt; """"), 5),)"),"")</f>
        <v/>
      </c>
      <c r="L29" s="107"/>
      <c r="M29" s="107"/>
      <c r="N29" s="107"/>
      <c r="O29" s="107"/>
      <c r="P29" s="132" t="str">
        <f>IF(COUNTIF('Fintech-A'!$A:$A, $C29), P$1, "")</f>
        <v/>
      </c>
      <c r="Q29" s="132" t="str">
        <f>IF(COUNTIF('Fintech-B'!$A:$A, $C29), Q$1, "")</f>
        <v/>
      </c>
      <c r="R29" s="132" t="str">
        <f>IF(COUNTIF('BEDM-A'!$A:$A, $C29), R$1, "")</f>
        <v/>
      </c>
      <c r="S29" s="132" t="str">
        <f>IF(COUNTIF('BEDM-B'!$A:$A, $C29), S$1, "")</f>
        <v>Behavioural Economics and Decision-Making (B)</v>
      </c>
      <c r="T29" s="132" t="str">
        <f>IF(COUNTIF('Art-A'!$A:$A, $C29), T$1, "")</f>
        <v/>
      </c>
      <c r="U29" s="132" t="str">
        <f>IF(COUNTIF('Art-B'!$A:$A, $C29), U$1, "")</f>
        <v/>
      </c>
      <c r="V29" s="132" t="str">
        <f>IF(COUNTIF('WH-A'!$A:$A, $C29), V$1, "")</f>
        <v/>
      </c>
      <c r="W29" s="132" t="str">
        <f>IF(COUNTIF('WH-B'!$A:$A, $C29), W$1, "")</f>
        <v/>
      </c>
      <c r="X29" s="132" t="str">
        <f>IF(COUNTIF(LETV!$A:$A, $C29), X$1, "")</f>
        <v/>
      </c>
      <c r="Y29" s="132" t="str">
        <f>IF(COUNTIF('Film&amp;Firm-A'!$A:$A, $C29), Y$1, "")</f>
        <v>Film &amp; the Firm: Visual Culture in Business Contexts (A)</v>
      </c>
      <c r="Z29" s="132" t="str">
        <f>IF(COUNTIF('Film&amp;Firm-B'!$A:$A, $C29), Z$1, "")</f>
        <v/>
      </c>
      <c r="AA29" s="132" t="str">
        <f>IF(COUNTIF(SHRM!$A:$A, $C29), AA$1, "")</f>
        <v/>
      </c>
      <c r="AB29" s="132" t="str">
        <f>IF(COUNTIF('SCM-A'!$A:$A, $C29), AB$1, "")</f>
        <v/>
      </c>
      <c r="AC29" s="132" t="str">
        <f>IF(COUNTIF('SCM-B'!$A:$A, $C29), AC$1, "")</f>
        <v/>
      </c>
      <c r="AD29" s="132" t="str">
        <f>IF(COUNTIF(AIS!$A:$A, $C29), AD$1, "")</f>
        <v/>
      </c>
      <c r="AE29" s="132" t="str">
        <f>IF(COUNTIF(EB!$A:$A, $C29), AE$1, "")</f>
        <v/>
      </c>
      <c r="AF29" s="132" t="str">
        <f>IF(COUNTIF('AIAM-A'!$A:$A, $C29), AF$1, "")</f>
        <v/>
      </c>
      <c r="AG29" s="132" t="str">
        <f>IF(COUNTIF('AIAM-B'!$A:$A, $C29), AG$1, "")</f>
        <v/>
      </c>
      <c r="AH29" s="132" t="str">
        <f>IF(COUNTIF('SA-A'!$A:$A, $C29), AH$1, "")</f>
        <v>SPORTS ANALYTICS (A)</v>
      </c>
      <c r="AI29" s="132" t="str">
        <f>IF(COUNTIF('SA-B'!$A:$A, $C29), AI$1, "")</f>
        <v/>
      </c>
      <c r="AJ29" s="132" t="str">
        <f>IF(COUNTIF(CSM!$A:$A, $C29), AJ$1, "")</f>
        <v/>
      </c>
      <c r="AK29" s="132" t="str">
        <f>IF(COUNTIF(EM!$A:$A, $C29), AK$1, "")</f>
        <v/>
      </c>
      <c r="AL29" s="132" t="str">
        <f>IF(COUNTIF(I4TS!$A:$A, $C29), AL$1, "")</f>
        <v/>
      </c>
    </row>
    <row r="30" spans="1:38" ht="15.75" customHeight="1">
      <c r="A30" s="131">
        <v>29</v>
      </c>
      <c r="B30" s="131" t="s">
        <v>371</v>
      </c>
      <c r="C30" s="131" t="s">
        <v>242</v>
      </c>
      <c r="D30" s="106" t="s">
        <v>460</v>
      </c>
      <c r="E30" s="106" t="s">
        <v>461</v>
      </c>
      <c r="F30" s="131">
        <f t="shared" ca="1" si="0"/>
        <v>5</v>
      </c>
      <c r="G30" s="106" t="str">
        <f ca="1">IFERROR(__xludf.DUMMYFUNCTION("INDEX(FILTER($P30:$AL30, $P30:$AL30 &lt;&gt; """"), 1)"),"Leadership Excellence Through Values : Wisdom from the Mahabharata")</f>
        <v>Leadership Excellence Through Values : Wisdom from the Mahabharata</v>
      </c>
      <c r="H30" s="106" t="str">
        <f ca="1">IFERROR(__xludf.DUMMYFUNCTION("INDEX(FILTER($P30:$AL30, $P30:$AL30 &lt;&gt; """"), 2)"),"Strategic HRM")</f>
        <v>Strategic HRM</v>
      </c>
      <c r="I30" s="106" t="str">
        <f ca="1">IFERROR(__xludf.DUMMYFUNCTION("INDEX(FILTER($P30:$AL30, $P30:$AL30 &lt;&gt; """"), 3)"),"AI Applications in Marketing (A)")</f>
        <v>AI Applications in Marketing (A)</v>
      </c>
      <c r="J30" s="106" t="str">
        <f ca="1">IFERROR(__xludf.DUMMYFUNCTION("IFERROR(INDEX(FILTER($P30:$AL30, $P30:$AL30 &lt;&gt; """"), 4),)"),"")</f>
        <v/>
      </c>
      <c r="K30" s="106" t="str">
        <f ca="1">IFERROR(__xludf.DUMMYFUNCTION("IFERROR(INDEX(FILTER($P30:$AL30, $P30:$AL30 &lt;&gt; """"), 5),)"),"")</f>
        <v/>
      </c>
      <c r="L30" s="107"/>
      <c r="M30" s="107"/>
      <c r="N30" s="107"/>
      <c r="O30" s="107"/>
      <c r="P30" s="132" t="str">
        <f>IF(COUNTIF('Fintech-A'!$A:$A, $C30), P$1, "")</f>
        <v/>
      </c>
      <c r="Q30" s="132" t="str">
        <f>IF(COUNTIF('Fintech-B'!$A:$A, $C30), Q$1, "")</f>
        <v/>
      </c>
      <c r="R30" s="132" t="str">
        <f>IF(COUNTIF('BEDM-A'!$A:$A, $C30), R$1, "")</f>
        <v/>
      </c>
      <c r="S30" s="132" t="str">
        <f>IF(COUNTIF('BEDM-B'!$A:$A, $C30), S$1, "")</f>
        <v/>
      </c>
      <c r="T30" s="132" t="str">
        <f>IF(COUNTIF('Art-A'!$A:$A, $C30), T$1, "")</f>
        <v/>
      </c>
      <c r="U30" s="132" t="str">
        <f>IF(COUNTIF('Art-B'!$A:$A, $C30), U$1, "")</f>
        <v/>
      </c>
      <c r="V30" s="132" t="str">
        <f>IF(COUNTIF('WH-A'!$A:$A, $C30), V$1, "")</f>
        <v/>
      </c>
      <c r="W30" s="132" t="str">
        <f>IF(COUNTIF('WH-B'!$A:$A, $C30), W$1, "")</f>
        <v/>
      </c>
      <c r="X30" s="132" t="str">
        <f>IF(COUNTIF(LETV!$A:$A, $C30), X$1, "")</f>
        <v>Leadership Excellence Through Values : Wisdom from the Mahabharata</v>
      </c>
      <c r="Y30" s="132" t="str">
        <f>IF(COUNTIF('Film&amp;Firm-A'!$A:$A, $C30), Y$1, "")</f>
        <v/>
      </c>
      <c r="Z30" s="132" t="str">
        <f>IF(COUNTIF('Film&amp;Firm-B'!$A:$A, $C30), Z$1, "")</f>
        <v/>
      </c>
      <c r="AA30" s="132" t="str">
        <f>IF(COUNTIF(SHRM!$A:$A, $C30), AA$1, "")</f>
        <v>Strategic HRM</v>
      </c>
      <c r="AB30" s="132" t="str">
        <f>IF(COUNTIF('SCM-A'!$A:$A, $C30), AB$1, "")</f>
        <v/>
      </c>
      <c r="AC30" s="132" t="str">
        <f>IF(COUNTIF('SCM-B'!$A:$A, $C30), AC$1, "")</f>
        <v/>
      </c>
      <c r="AD30" s="132" t="str">
        <f>IF(COUNTIF(AIS!$A:$A, $C30), AD$1, "")</f>
        <v/>
      </c>
      <c r="AE30" s="132" t="str">
        <f>IF(COUNTIF(EB!$A:$A, $C30), AE$1, "")</f>
        <v/>
      </c>
      <c r="AF30" s="132" t="str">
        <f>IF(COUNTIF('AIAM-A'!$A:$A, $C30), AF$1, "")</f>
        <v>AI Applications in Marketing (A)</v>
      </c>
      <c r="AG30" s="132" t="str">
        <f>IF(COUNTIF('AIAM-B'!$A:$A, $C30), AG$1, "")</f>
        <v/>
      </c>
      <c r="AH30" s="132" t="str">
        <f>IF(COUNTIF('SA-A'!$A:$A, $C30), AH$1, "")</f>
        <v/>
      </c>
      <c r="AI30" s="132" t="str">
        <f>IF(COUNTIF('SA-B'!$A:$A, $C30), AI$1, "")</f>
        <v/>
      </c>
      <c r="AJ30" s="132" t="str">
        <f>IF(COUNTIF(CSM!$A:$A, $C30), AJ$1, "")</f>
        <v/>
      </c>
      <c r="AK30" s="132" t="str">
        <f>IF(COUNTIF(EM!$A:$A, $C30), AK$1, "")</f>
        <v/>
      </c>
      <c r="AL30" s="132" t="str">
        <f>IF(COUNTIF(I4TS!$A:$A, $C30), AL$1, "")</f>
        <v/>
      </c>
    </row>
    <row r="31" spans="1:38" ht="15.75" customHeight="1">
      <c r="A31" s="131">
        <v>30</v>
      </c>
      <c r="B31" s="131" t="s">
        <v>371</v>
      </c>
      <c r="C31" s="131" t="s">
        <v>243</v>
      </c>
      <c r="D31" s="106" t="s">
        <v>462</v>
      </c>
      <c r="E31" s="106" t="s">
        <v>463</v>
      </c>
      <c r="F31" s="131">
        <f t="shared" ca="1" si="0"/>
        <v>5</v>
      </c>
      <c r="G31" s="106" t="str">
        <f ca="1">IFERROR(__xludf.DUMMYFUNCTION("INDEX(FILTER($P31:$AL31, $P31:$AL31 &lt;&gt; """"), 1)"),"AI AND  STRATEGY")</f>
        <v>AI AND  STRATEGY</v>
      </c>
      <c r="H31" s="106" t="str">
        <f ca="1">IFERROR(__xludf.DUMMYFUNCTION("INDEX(FILTER($P31:$AL31, $P31:$AL31 &lt;&gt; """"), 2)"),"Customer Success Management")</f>
        <v>Customer Success Management</v>
      </c>
      <c r="I31" s="106" t="str">
        <f ca="1">IFERROR(__xludf.DUMMYFUNCTION("INDEX(FILTER($P31:$AL31, $P31:$AL31 &lt;&gt; """"), 3)"),"Entrepreneurial Marketing")</f>
        <v>Entrepreneurial Marketing</v>
      </c>
      <c r="J31" s="106" t="str">
        <f ca="1">IFERROR(__xludf.DUMMYFUNCTION("IFERROR(INDEX(FILTER($P31:$AL31, $P31:$AL31 &lt;&gt; """"), 4),)"),"")</f>
        <v/>
      </c>
      <c r="K31" s="106" t="str">
        <f ca="1">IFERROR(__xludf.DUMMYFUNCTION("IFERROR(INDEX(FILTER($P31:$AL31, $P31:$AL31 &lt;&gt; """"), 5),)"),"")</f>
        <v/>
      </c>
      <c r="L31" s="107"/>
      <c r="M31" s="107"/>
      <c r="N31" s="107"/>
      <c r="O31" s="107"/>
      <c r="P31" s="132" t="str">
        <f>IF(COUNTIF('Fintech-A'!$A:$A, $C31), P$1, "")</f>
        <v/>
      </c>
      <c r="Q31" s="132" t="str">
        <f>IF(COUNTIF('Fintech-B'!$A:$A, $C31), Q$1, "")</f>
        <v/>
      </c>
      <c r="R31" s="132" t="str">
        <f>IF(COUNTIF('BEDM-A'!$A:$A, $C31), R$1, "")</f>
        <v/>
      </c>
      <c r="S31" s="132" t="str">
        <f>IF(COUNTIF('BEDM-B'!$A:$A, $C31), S$1, "")</f>
        <v/>
      </c>
      <c r="T31" s="132" t="str">
        <f>IF(COUNTIF('Art-A'!$A:$A, $C31), T$1, "")</f>
        <v/>
      </c>
      <c r="U31" s="132" t="str">
        <f>IF(COUNTIF('Art-B'!$A:$A, $C31), U$1, "")</f>
        <v/>
      </c>
      <c r="V31" s="132" t="str">
        <f>IF(COUNTIF('WH-A'!$A:$A, $C31), V$1, "")</f>
        <v/>
      </c>
      <c r="W31" s="132" t="str">
        <f>IF(COUNTIF('WH-B'!$A:$A, $C31), W$1, "")</f>
        <v/>
      </c>
      <c r="X31" s="132" t="str">
        <f>IF(COUNTIF(LETV!$A:$A, $C31), X$1, "")</f>
        <v/>
      </c>
      <c r="Y31" s="132" t="str">
        <f>IF(COUNTIF('Film&amp;Firm-A'!$A:$A, $C31), Y$1, "")</f>
        <v/>
      </c>
      <c r="Z31" s="132" t="str">
        <f>IF(COUNTIF('Film&amp;Firm-B'!$A:$A, $C31), Z$1, "")</f>
        <v/>
      </c>
      <c r="AA31" s="132" t="str">
        <f>IF(COUNTIF(SHRM!$A:$A, $C31), AA$1, "")</f>
        <v/>
      </c>
      <c r="AB31" s="132" t="str">
        <f>IF(COUNTIF('SCM-A'!$A:$A, $C31), AB$1, "")</f>
        <v/>
      </c>
      <c r="AC31" s="132" t="str">
        <f>IF(COUNTIF('SCM-B'!$A:$A, $C31), AC$1, "")</f>
        <v/>
      </c>
      <c r="AD31" s="132" t="str">
        <f>IF(COUNTIF(AIS!$A:$A, $C31), AD$1, "")</f>
        <v>AI AND  STRATEGY</v>
      </c>
      <c r="AE31" s="132" t="str">
        <f>IF(COUNTIF(EB!$A:$A, $C31), AE$1, "")</f>
        <v/>
      </c>
      <c r="AF31" s="132" t="str">
        <f>IF(COUNTIF('AIAM-A'!$A:$A, $C31), AF$1, "")</f>
        <v/>
      </c>
      <c r="AG31" s="132" t="str">
        <f>IF(COUNTIF('AIAM-B'!$A:$A, $C31), AG$1, "")</f>
        <v/>
      </c>
      <c r="AH31" s="132" t="str">
        <f>IF(COUNTIF('SA-A'!$A:$A, $C31), AH$1, "")</f>
        <v/>
      </c>
      <c r="AI31" s="132" t="str">
        <f>IF(COUNTIF('SA-B'!$A:$A, $C31), AI$1, "")</f>
        <v/>
      </c>
      <c r="AJ31" s="132" t="str">
        <f>IF(COUNTIF(CSM!$A:$A, $C31), AJ$1, "")</f>
        <v>Customer Success Management</v>
      </c>
      <c r="AK31" s="132" t="str">
        <f>IF(COUNTIF(EM!$A:$A, $C31), AK$1, "")</f>
        <v>Entrepreneurial Marketing</v>
      </c>
      <c r="AL31" s="132" t="str">
        <f>IF(COUNTIF(I4TS!$A:$A, $C31), AL$1, "")</f>
        <v/>
      </c>
    </row>
    <row r="32" spans="1:38" ht="15.75" customHeight="1">
      <c r="A32" s="131">
        <v>31</v>
      </c>
      <c r="B32" s="131" t="s">
        <v>371</v>
      </c>
      <c r="C32" s="131" t="s">
        <v>464</v>
      </c>
      <c r="D32" s="106" t="s">
        <v>465</v>
      </c>
      <c r="E32" s="106" t="s">
        <v>466</v>
      </c>
      <c r="F32" s="131">
        <f t="shared" ca="1" si="0"/>
        <v>5</v>
      </c>
      <c r="G32" s="106" t="str">
        <f ca="1">IFERROR(__xludf.DUMMYFUNCTION("INDEX(FILTER($P32:$AL32, $P32:$AL32 &lt;&gt; """"), 1)"),"Workplace Happiness: Science &amp; Practice (A)")</f>
        <v>Workplace Happiness: Science &amp; Practice (A)</v>
      </c>
      <c r="H32" s="106" t="str">
        <f ca="1">IFERROR(__xludf.DUMMYFUNCTION("INDEX(FILTER($P32:$AL32, $P32:$AL32 &lt;&gt; """"), 2)"),"AI Applications in Marketing (B)")</f>
        <v>AI Applications in Marketing (B)</v>
      </c>
      <c r="I32" s="106" t="str">
        <f ca="1">IFERROR(__xludf.DUMMYFUNCTION("INDEX(FILTER($P32:$AL32, $P32:$AL32 &lt;&gt; """"), 3)"),"Industry 4.0 in Transport Sector")</f>
        <v>Industry 4.0 in Transport Sector</v>
      </c>
      <c r="J32" s="106" t="str">
        <f ca="1">IFERROR(__xludf.DUMMYFUNCTION("IFERROR(INDEX(FILTER($P32:$AL32, $P32:$AL32 &lt;&gt; """"), 4),)"),"")</f>
        <v/>
      </c>
      <c r="K32" s="106" t="str">
        <f ca="1">IFERROR(__xludf.DUMMYFUNCTION("IFERROR(INDEX(FILTER($P32:$AL32, $P32:$AL32 &lt;&gt; """"), 5),)"),"")</f>
        <v/>
      </c>
      <c r="L32" s="107"/>
      <c r="M32" s="107"/>
      <c r="N32" s="107"/>
      <c r="O32" s="107"/>
      <c r="P32" s="132" t="str">
        <f>IF(COUNTIF('Fintech-A'!$A:$A, $C32), P$1, "")</f>
        <v/>
      </c>
      <c r="Q32" s="132" t="str">
        <f>IF(COUNTIF('Fintech-B'!$A:$A, $C32), Q$1, "")</f>
        <v/>
      </c>
      <c r="R32" s="132" t="str">
        <f>IF(COUNTIF('BEDM-A'!$A:$A, $C32), R$1, "")</f>
        <v/>
      </c>
      <c r="S32" s="132" t="str">
        <f>IF(COUNTIF('BEDM-B'!$A:$A, $C32), S$1, "")</f>
        <v/>
      </c>
      <c r="T32" s="132" t="str">
        <f>IF(COUNTIF('Art-A'!$A:$A, $C32), T$1, "")</f>
        <v/>
      </c>
      <c r="U32" s="132" t="str">
        <f>IF(COUNTIF('Art-B'!$A:$A, $C32), U$1, "")</f>
        <v/>
      </c>
      <c r="V32" s="132" t="str">
        <f>IF(COUNTIF('WH-A'!$A:$A, $C32), V$1, "")</f>
        <v>Workplace Happiness: Science &amp; Practice (A)</v>
      </c>
      <c r="W32" s="132" t="str">
        <f>IF(COUNTIF('WH-B'!$A:$A, $C32), W$1, "")</f>
        <v/>
      </c>
      <c r="X32" s="132" t="str">
        <f>IF(COUNTIF(LETV!$A:$A, $C32), X$1, "")</f>
        <v/>
      </c>
      <c r="Y32" s="132" t="str">
        <f>IF(COUNTIF('Film&amp;Firm-A'!$A:$A, $C32), Y$1, "")</f>
        <v/>
      </c>
      <c r="Z32" s="132" t="str">
        <f>IF(COUNTIF('Film&amp;Firm-B'!$A:$A, $C32), Z$1, "")</f>
        <v/>
      </c>
      <c r="AA32" s="132" t="str">
        <f>IF(COUNTIF(SHRM!$A:$A, $C32), AA$1, "")</f>
        <v/>
      </c>
      <c r="AB32" s="132" t="str">
        <f>IF(COUNTIF('SCM-A'!$A:$A, $C32), AB$1, "")</f>
        <v/>
      </c>
      <c r="AC32" s="132" t="str">
        <f>IF(COUNTIF('SCM-B'!$A:$A, $C32), AC$1, "")</f>
        <v/>
      </c>
      <c r="AD32" s="132" t="str">
        <f>IF(COUNTIF(AIS!$A:$A, $C32), AD$1, "")</f>
        <v/>
      </c>
      <c r="AE32" s="132" t="str">
        <f>IF(COUNTIF(EB!$A:$A, $C32), AE$1, "")</f>
        <v/>
      </c>
      <c r="AF32" s="132" t="str">
        <f>IF(COUNTIF('AIAM-A'!$A:$A, $C32), AF$1, "")</f>
        <v/>
      </c>
      <c r="AG32" s="132" t="str">
        <f>IF(COUNTIF('AIAM-B'!$A:$A, $C32), AG$1, "")</f>
        <v>AI Applications in Marketing (B)</v>
      </c>
      <c r="AH32" s="132" t="str">
        <f>IF(COUNTIF('SA-A'!$A:$A, $C32), AH$1, "")</f>
        <v/>
      </c>
      <c r="AI32" s="132" t="str">
        <f>IF(COUNTIF('SA-B'!$A:$A, $C32), AI$1, "")</f>
        <v/>
      </c>
      <c r="AJ32" s="132" t="str">
        <f>IF(COUNTIF(CSM!$A:$A, $C32), AJ$1, "")</f>
        <v/>
      </c>
      <c r="AK32" s="132" t="str">
        <f>IF(COUNTIF(EM!$A:$A, $C32), AK$1, "")</f>
        <v/>
      </c>
      <c r="AL32" s="132" t="str">
        <f>IF(COUNTIF(I4TS!$A:$A, $C32), AL$1, "")</f>
        <v>Industry 4.0 in Transport Sector</v>
      </c>
    </row>
    <row r="33" spans="1:38" ht="15.75" customHeight="1">
      <c r="A33" s="131">
        <v>32</v>
      </c>
      <c r="B33" s="131" t="s">
        <v>371</v>
      </c>
      <c r="C33" s="131" t="s">
        <v>467</v>
      </c>
      <c r="D33" s="106" t="s">
        <v>468</v>
      </c>
      <c r="E33" s="106" t="s">
        <v>469</v>
      </c>
      <c r="F33" s="131">
        <f t="shared" ca="1" si="0"/>
        <v>5</v>
      </c>
      <c r="G33" s="106" t="str">
        <f ca="1">IFERROR(__xludf.DUMMYFUNCTION("INDEX(FILTER($P33:$AL33, $P33:$AL33 &lt;&gt; """"), 1)"),"Customer Success Management")</f>
        <v>Customer Success Management</v>
      </c>
      <c r="H33" s="106" t="str">
        <f ca="1">IFERROR(__xludf.DUMMYFUNCTION("INDEX(FILTER($P33:$AL33, $P33:$AL33 &lt;&gt; """"), 2)"),"Entrepreneurial Marketing")</f>
        <v>Entrepreneurial Marketing</v>
      </c>
      <c r="I33" s="106" t="str">
        <f ca="1">IFERROR(__xludf.DUMMYFUNCTION("INDEX(FILTER($P33:$AL33, $P33:$AL33 &lt;&gt; """"), 3)"),"Industry 4.0 in Transport Sector")</f>
        <v>Industry 4.0 in Transport Sector</v>
      </c>
      <c r="J33" s="106" t="str">
        <f ca="1">IFERROR(__xludf.DUMMYFUNCTION("IFERROR(INDEX(FILTER($P33:$AL33, $P33:$AL33 &lt;&gt; """"), 4),)"),"")</f>
        <v/>
      </c>
      <c r="K33" s="106" t="str">
        <f ca="1">IFERROR(__xludf.DUMMYFUNCTION("IFERROR(INDEX(FILTER($P33:$AL33, $P33:$AL33 &lt;&gt; """"), 5),)"),"")</f>
        <v/>
      </c>
      <c r="L33" s="107"/>
      <c r="M33" s="107"/>
      <c r="N33" s="107"/>
      <c r="O33" s="107"/>
      <c r="P33" s="132" t="str">
        <f>IF(COUNTIF('Fintech-A'!$A:$A, $C33), P$1, "")</f>
        <v/>
      </c>
      <c r="Q33" s="132" t="str">
        <f>IF(COUNTIF('Fintech-B'!$A:$A, $C33), Q$1, "")</f>
        <v/>
      </c>
      <c r="R33" s="132" t="str">
        <f>IF(COUNTIF('BEDM-A'!$A:$A, $C33), R$1, "")</f>
        <v/>
      </c>
      <c r="S33" s="132" t="str">
        <f>IF(COUNTIF('BEDM-B'!$A:$A, $C33), S$1, "")</f>
        <v/>
      </c>
      <c r="T33" s="132" t="str">
        <f>IF(COUNTIF('Art-A'!$A:$A, $C33), T$1, "")</f>
        <v/>
      </c>
      <c r="U33" s="132" t="str">
        <f>IF(COUNTIF('Art-B'!$A:$A, $C33), U$1, "")</f>
        <v/>
      </c>
      <c r="V33" s="132" t="str">
        <f>IF(COUNTIF('WH-A'!$A:$A, $C33), V$1, "")</f>
        <v/>
      </c>
      <c r="W33" s="132" t="str">
        <f>IF(COUNTIF('WH-B'!$A:$A, $C33), W$1, "")</f>
        <v/>
      </c>
      <c r="X33" s="132" t="str">
        <f>IF(COUNTIF(LETV!$A:$A, $C33), X$1, "")</f>
        <v/>
      </c>
      <c r="Y33" s="132" t="str">
        <f>IF(COUNTIF('Film&amp;Firm-A'!$A:$A, $C33), Y$1, "")</f>
        <v/>
      </c>
      <c r="Z33" s="132" t="str">
        <f>IF(COUNTIF('Film&amp;Firm-B'!$A:$A, $C33), Z$1, "")</f>
        <v/>
      </c>
      <c r="AA33" s="132" t="str">
        <f>IF(COUNTIF(SHRM!$A:$A, $C33), AA$1, "")</f>
        <v/>
      </c>
      <c r="AB33" s="132" t="str">
        <f>IF(COUNTIF('SCM-A'!$A:$A, $C33), AB$1, "")</f>
        <v/>
      </c>
      <c r="AC33" s="132" t="str">
        <f>IF(COUNTIF('SCM-B'!$A:$A, $C33), AC$1, "")</f>
        <v/>
      </c>
      <c r="AD33" s="132" t="str">
        <f>IF(COUNTIF(AIS!$A:$A, $C33), AD$1, "")</f>
        <v/>
      </c>
      <c r="AE33" s="132" t="str">
        <f>IF(COUNTIF(EB!$A:$A, $C33), AE$1, "")</f>
        <v/>
      </c>
      <c r="AF33" s="132" t="str">
        <f>IF(COUNTIF('AIAM-A'!$A:$A, $C33), AF$1, "")</f>
        <v/>
      </c>
      <c r="AG33" s="132" t="str">
        <f>IF(COUNTIF('AIAM-B'!$A:$A, $C33), AG$1, "")</f>
        <v/>
      </c>
      <c r="AH33" s="132" t="str">
        <f>IF(COUNTIF('SA-A'!$A:$A, $C33), AH$1, "")</f>
        <v/>
      </c>
      <c r="AI33" s="132" t="str">
        <f>IF(COUNTIF('SA-B'!$A:$A, $C33), AI$1, "")</f>
        <v/>
      </c>
      <c r="AJ33" s="132" t="str">
        <f>IF(COUNTIF(CSM!$A:$A, $C33), AJ$1, "")</f>
        <v>Customer Success Management</v>
      </c>
      <c r="AK33" s="132" t="str">
        <f>IF(COUNTIF(EM!$A:$A, $C33), AK$1, "")</f>
        <v>Entrepreneurial Marketing</v>
      </c>
      <c r="AL33" s="132" t="str">
        <f>IF(COUNTIF(I4TS!$A:$A, $C33), AL$1, "")</f>
        <v>Industry 4.0 in Transport Sector</v>
      </c>
    </row>
    <row r="34" spans="1:38" ht="15.75" customHeight="1">
      <c r="A34" s="131">
        <v>33</v>
      </c>
      <c r="B34" s="131" t="s">
        <v>371</v>
      </c>
      <c r="C34" s="131" t="s">
        <v>244</v>
      </c>
      <c r="D34" s="106" t="s">
        <v>470</v>
      </c>
      <c r="E34" s="106" t="s">
        <v>471</v>
      </c>
      <c r="F34" s="131">
        <f t="shared" ca="1" si="0"/>
        <v>5</v>
      </c>
      <c r="G34" s="106" t="str">
        <f ca="1">IFERROR(__xludf.DUMMYFUNCTION("INDEX(FILTER($P34:$AL34, $P34:$AL34 &lt;&gt; """"), 1)"),"Fintech (Digital Transformation in Finance) (B)")</f>
        <v>Fintech (Digital Transformation in Finance) (B)</v>
      </c>
      <c r="H34" s="106" t="str">
        <f ca="1">IFERROR(__xludf.DUMMYFUNCTION("INDEX(FILTER($P34:$AL34, $P34:$AL34 &lt;&gt; """"), 2)"),"Behavioural Economics and Decision-Making (B)")</f>
        <v>Behavioural Economics and Decision-Making (B)</v>
      </c>
      <c r="I34" s="106" t="str">
        <f ca="1">IFERROR(__xludf.DUMMYFUNCTION("INDEX(FILTER($P34:$AL34, $P34:$AL34 &lt;&gt; """"), 3)"),"Entrepreneurial Marketing")</f>
        <v>Entrepreneurial Marketing</v>
      </c>
      <c r="J34" s="106" t="str">
        <f ca="1">IFERROR(__xludf.DUMMYFUNCTION("IFERROR(INDEX(FILTER($P34:$AL34, $P34:$AL34 &lt;&gt; """"), 4),)"),"")</f>
        <v/>
      </c>
      <c r="K34" s="106" t="str">
        <f ca="1">IFERROR(__xludf.DUMMYFUNCTION("IFERROR(INDEX(FILTER($P34:$AL34, $P34:$AL34 &lt;&gt; """"), 5),)"),"")</f>
        <v/>
      </c>
      <c r="L34" s="107"/>
      <c r="M34" s="107"/>
      <c r="N34" s="107"/>
      <c r="O34" s="107"/>
      <c r="P34" s="132" t="str">
        <f>IF(COUNTIF('Fintech-A'!$A:$A, $C34), P$1, "")</f>
        <v/>
      </c>
      <c r="Q34" s="132" t="str">
        <f>IF(COUNTIF('Fintech-B'!$A:$A, $C34), Q$1, "")</f>
        <v>Fintech (Digital Transformation in Finance) (B)</v>
      </c>
      <c r="R34" s="132" t="str">
        <f>IF(COUNTIF('BEDM-A'!$A:$A, $C34), R$1, "")</f>
        <v/>
      </c>
      <c r="S34" s="132" t="str">
        <f>IF(COUNTIF('BEDM-B'!$A:$A, $C34), S$1, "")</f>
        <v>Behavioural Economics and Decision-Making (B)</v>
      </c>
      <c r="T34" s="132" t="str">
        <f>IF(COUNTIF('Art-A'!$A:$A, $C34), T$1, "")</f>
        <v/>
      </c>
      <c r="U34" s="132" t="str">
        <f>IF(COUNTIF('Art-B'!$A:$A, $C34), U$1, "")</f>
        <v/>
      </c>
      <c r="V34" s="132" t="str">
        <f>IF(COUNTIF('WH-A'!$A:$A, $C34), V$1, "")</f>
        <v/>
      </c>
      <c r="W34" s="132" t="str">
        <f>IF(COUNTIF('WH-B'!$A:$A, $C34), W$1, "")</f>
        <v/>
      </c>
      <c r="X34" s="132" t="str">
        <f>IF(COUNTIF(LETV!$A:$A, $C34), X$1, "")</f>
        <v/>
      </c>
      <c r="Y34" s="132" t="str">
        <f>IF(COUNTIF('Film&amp;Firm-A'!$A:$A, $C34), Y$1, "")</f>
        <v/>
      </c>
      <c r="Z34" s="132" t="str">
        <f>IF(COUNTIF('Film&amp;Firm-B'!$A:$A, $C34), Z$1, "")</f>
        <v/>
      </c>
      <c r="AA34" s="132" t="str">
        <f>IF(COUNTIF(SHRM!$A:$A, $C34), AA$1, "")</f>
        <v/>
      </c>
      <c r="AB34" s="132" t="str">
        <f>IF(COUNTIF('SCM-A'!$A:$A, $C34), AB$1, "")</f>
        <v/>
      </c>
      <c r="AC34" s="132" t="str">
        <f>IF(COUNTIF('SCM-B'!$A:$A, $C34), AC$1, "")</f>
        <v/>
      </c>
      <c r="AD34" s="132" t="str">
        <f>IF(COUNTIF(AIS!$A:$A, $C34), AD$1, "")</f>
        <v/>
      </c>
      <c r="AE34" s="132" t="str">
        <f>IF(COUNTIF(EB!$A:$A, $C34), AE$1, "")</f>
        <v/>
      </c>
      <c r="AF34" s="132" t="str">
        <f>IF(COUNTIF('AIAM-A'!$A:$A, $C34), AF$1, "")</f>
        <v/>
      </c>
      <c r="AG34" s="132" t="str">
        <f>IF(COUNTIF('AIAM-B'!$A:$A, $C34), AG$1, "")</f>
        <v/>
      </c>
      <c r="AH34" s="132" t="str">
        <f>IF(COUNTIF('SA-A'!$A:$A, $C34), AH$1, "")</f>
        <v/>
      </c>
      <c r="AI34" s="132" t="str">
        <f>IF(COUNTIF('SA-B'!$A:$A, $C34), AI$1, "")</f>
        <v/>
      </c>
      <c r="AJ34" s="132" t="str">
        <f>IF(COUNTIF(CSM!$A:$A, $C34), AJ$1, "")</f>
        <v/>
      </c>
      <c r="AK34" s="132" t="str">
        <f>IF(COUNTIF(EM!$A:$A, $C34), AK$1, "")</f>
        <v>Entrepreneurial Marketing</v>
      </c>
      <c r="AL34" s="132" t="str">
        <f>IF(COUNTIF(I4TS!$A:$A, $C34), AL$1, "")</f>
        <v/>
      </c>
    </row>
    <row r="35" spans="1:38" ht="15.75" customHeight="1">
      <c r="A35" s="131">
        <v>34</v>
      </c>
      <c r="B35" s="131" t="s">
        <v>371</v>
      </c>
      <c r="C35" s="131" t="s">
        <v>472</v>
      </c>
      <c r="D35" s="106" t="s">
        <v>473</v>
      </c>
      <c r="E35" s="106" t="s">
        <v>474</v>
      </c>
      <c r="F35" s="131">
        <f t="shared" ca="1" si="0"/>
        <v>5</v>
      </c>
      <c r="G35" s="106" t="str">
        <f ca="1">IFERROR(__xludf.DUMMYFUNCTION("INDEX(FILTER($P35:$AL35, $P35:$AL35 &lt;&gt; """"), 1)"),"The Art, Craft, and Science of Management: Learning through Classics and Best Collections (A)")</f>
        <v>The Art, Craft, and Science of Management: Learning through Classics and Best Collections (A)</v>
      </c>
      <c r="H35" s="106" t="str">
        <f ca="1">IFERROR(__xludf.DUMMYFUNCTION("INDEX(FILTER($P35:$AL35, $P35:$AL35 &lt;&gt; """"), 2)"),"Strategic HRM")</f>
        <v>Strategic HRM</v>
      </c>
      <c r="I35" s="106" t="str">
        <f ca="1">IFERROR(__xludf.DUMMYFUNCTION("INDEX(FILTER($P35:$AL35, $P35:$AL35 &lt;&gt; """"), 3)"),"Entrepreneurial Marketing")</f>
        <v>Entrepreneurial Marketing</v>
      </c>
      <c r="J35" s="106" t="str">
        <f ca="1">IFERROR(__xludf.DUMMYFUNCTION("IFERROR(INDEX(FILTER($P35:$AL35, $P35:$AL35 &lt;&gt; """"), 4),)"),"")</f>
        <v/>
      </c>
      <c r="K35" s="106" t="str">
        <f ca="1">IFERROR(__xludf.DUMMYFUNCTION("IFERROR(INDEX(FILTER($P35:$AL35, $P35:$AL35 &lt;&gt; """"), 5),)"),"")</f>
        <v/>
      </c>
      <c r="L35" s="107"/>
      <c r="M35" s="107"/>
      <c r="N35" s="107"/>
      <c r="O35" s="107"/>
      <c r="P35" s="132" t="str">
        <f>IF(COUNTIF('Fintech-A'!$A:$A, $C35), P$1, "")</f>
        <v/>
      </c>
      <c r="Q35" s="132" t="str">
        <f>IF(COUNTIF('Fintech-B'!$A:$A, $C35), Q$1, "")</f>
        <v/>
      </c>
      <c r="R35" s="132" t="str">
        <f>IF(COUNTIF('BEDM-A'!$A:$A, $C35), R$1, "")</f>
        <v/>
      </c>
      <c r="S35" s="132" t="str">
        <f>IF(COUNTIF('BEDM-B'!$A:$A, $C35), S$1, "")</f>
        <v/>
      </c>
      <c r="T35" s="132" t="str">
        <f>IF(COUNTIF('Art-A'!$A:$A, $C35), T$1, "")</f>
        <v>The Art, Craft, and Science of Management: Learning through Classics and Best Collections (A)</v>
      </c>
      <c r="U35" s="132" t="str">
        <f>IF(COUNTIF('Art-B'!$A:$A, $C35), U$1, "")</f>
        <v/>
      </c>
      <c r="V35" s="132" t="str">
        <f>IF(COUNTIF('WH-A'!$A:$A, $C35), V$1, "")</f>
        <v/>
      </c>
      <c r="W35" s="132" t="str">
        <f>IF(COUNTIF('WH-B'!$A:$A, $C35), W$1, "")</f>
        <v/>
      </c>
      <c r="X35" s="132" t="str">
        <f>IF(COUNTIF(LETV!$A:$A, $C35), X$1, "")</f>
        <v/>
      </c>
      <c r="Y35" s="132" t="str">
        <f>IF(COUNTIF('Film&amp;Firm-A'!$A:$A, $C35), Y$1, "")</f>
        <v/>
      </c>
      <c r="Z35" s="132" t="str">
        <f>IF(COUNTIF('Film&amp;Firm-B'!$A:$A, $C35), Z$1, "")</f>
        <v/>
      </c>
      <c r="AA35" s="132" t="str">
        <f>IF(COUNTIF(SHRM!$A:$A, $C35), AA$1, "")</f>
        <v>Strategic HRM</v>
      </c>
      <c r="AB35" s="132" t="str">
        <f>IF(COUNTIF('SCM-A'!$A:$A, $C35), AB$1, "")</f>
        <v/>
      </c>
      <c r="AC35" s="132" t="str">
        <f>IF(COUNTIF('SCM-B'!$A:$A, $C35), AC$1, "")</f>
        <v/>
      </c>
      <c r="AD35" s="132" t="str">
        <f>IF(COUNTIF(AIS!$A:$A, $C35), AD$1, "")</f>
        <v/>
      </c>
      <c r="AE35" s="132" t="str">
        <f>IF(COUNTIF(EB!$A:$A, $C35), AE$1, "")</f>
        <v/>
      </c>
      <c r="AF35" s="132" t="str">
        <f>IF(COUNTIF('AIAM-A'!$A:$A, $C35), AF$1, "")</f>
        <v/>
      </c>
      <c r="AG35" s="132" t="str">
        <f>IF(COUNTIF('AIAM-B'!$A:$A, $C35), AG$1, "")</f>
        <v/>
      </c>
      <c r="AH35" s="132" t="str">
        <f>IF(COUNTIF('SA-A'!$A:$A, $C35), AH$1, "")</f>
        <v/>
      </c>
      <c r="AI35" s="132" t="str">
        <f>IF(COUNTIF('SA-B'!$A:$A, $C35), AI$1, "")</f>
        <v/>
      </c>
      <c r="AJ35" s="132" t="str">
        <f>IF(COUNTIF(CSM!$A:$A, $C35), AJ$1, "")</f>
        <v/>
      </c>
      <c r="AK35" s="132" t="str">
        <f>IF(COUNTIF(EM!$A:$A, $C35), AK$1, "")</f>
        <v>Entrepreneurial Marketing</v>
      </c>
      <c r="AL35" s="132" t="str">
        <f>IF(COUNTIF(I4TS!$A:$A, $C35), AL$1, "")</f>
        <v/>
      </c>
    </row>
    <row r="36" spans="1:38" ht="15.75" customHeight="1">
      <c r="A36" s="131">
        <v>35</v>
      </c>
      <c r="B36" s="131" t="s">
        <v>371</v>
      </c>
      <c r="C36" s="131" t="s">
        <v>245</v>
      </c>
      <c r="D36" s="106" t="s">
        <v>475</v>
      </c>
      <c r="E36" s="106" t="s">
        <v>476</v>
      </c>
      <c r="F36" s="131">
        <f t="shared" ca="1" si="0"/>
        <v>5</v>
      </c>
      <c r="G36" s="106" t="str">
        <f ca="1">IFERROR(__xludf.DUMMYFUNCTION("INDEX(FILTER($P36:$AL36, $P36:$AL36 &lt;&gt; """"), 1)"),"Fintech (Digital Transformation in Finance) (B)")</f>
        <v>Fintech (Digital Transformation in Finance) (B)</v>
      </c>
      <c r="H36" s="106" t="str">
        <f ca="1">IFERROR(__xludf.DUMMYFUNCTION("INDEX(FILTER($P36:$AL36, $P36:$AL36 &lt;&gt; """"), 2)"),"Customer Success Management")</f>
        <v>Customer Success Management</v>
      </c>
      <c r="I36" s="106" t="str">
        <f ca="1">IFERROR(__xludf.DUMMYFUNCTION("INDEX(FILTER($P36:$AL36, $P36:$AL36 &lt;&gt; """"), 3)"),"Entrepreneurial Marketing")</f>
        <v>Entrepreneurial Marketing</v>
      </c>
      <c r="J36" s="106" t="str">
        <f ca="1">IFERROR(__xludf.DUMMYFUNCTION("IFERROR(INDEX(FILTER($P36:$AL36, $P36:$AL36 &lt;&gt; """"), 4),)"),"")</f>
        <v/>
      </c>
      <c r="K36" s="106" t="str">
        <f ca="1">IFERROR(__xludf.DUMMYFUNCTION("IFERROR(INDEX(FILTER($P36:$AL36, $P36:$AL36 &lt;&gt; """"), 5),)"),"")</f>
        <v/>
      </c>
      <c r="L36" s="107"/>
      <c r="M36" s="107"/>
      <c r="N36" s="107"/>
      <c r="O36" s="107"/>
      <c r="P36" s="132" t="str">
        <f>IF(COUNTIF('Fintech-A'!$A:$A, $C36), P$1, "")</f>
        <v/>
      </c>
      <c r="Q36" s="132" t="str">
        <f>IF(COUNTIF('Fintech-B'!$A:$A, $C36), Q$1, "")</f>
        <v>Fintech (Digital Transformation in Finance) (B)</v>
      </c>
      <c r="R36" s="132" t="str">
        <f>IF(COUNTIF('BEDM-A'!$A:$A, $C36), R$1, "")</f>
        <v/>
      </c>
      <c r="S36" s="132" t="str">
        <f>IF(COUNTIF('BEDM-B'!$A:$A, $C36), S$1, "")</f>
        <v/>
      </c>
      <c r="T36" s="132" t="str">
        <f>IF(COUNTIF('Art-A'!$A:$A, $C36), T$1, "")</f>
        <v/>
      </c>
      <c r="U36" s="132" t="str">
        <f>IF(COUNTIF('Art-B'!$A:$A, $C36), U$1, "")</f>
        <v/>
      </c>
      <c r="V36" s="132" t="str">
        <f>IF(COUNTIF('WH-A'!$A:$A, $C36), V$1, "")</f>
        <v/>
      </c>
      <c r="W36" s="132" t="str">
        <f>IF(COUNTIF('WH-B'!$A:$A, $C36), W$1, "")</f>
        <v/>
      </c>
      <c r="X36" s="132" t="str">
        <f>IF(COUNTIF(LETV!$A:$A, $C36), X$1, "")</f>
        <v/>
      </c>
      <c r="Y36" s="132" t="str">
        <f>IF(COUNTIF('Film&amp;Firm-A'!$A:$A, $C36), Y$1, "")</f>
        <v/>
      </c>
      <c r="Z36" s="132" t="str">
        <f>IF(COUNTIF('Film&amp;Firm-B'!$A:$A, $C36), Z$1, "")</f>
        <v/>
      </c>
      <c r="AA36" s="132" t="str">
        <f>IF(COUNTIF(SHRM!$A:$A, $C36), AA$1, "")</f>
        <v/>
      </c>
      <c r="AB36" s="132" t="str">
        <f>IF(COUNTIF('SCM-A'!$A:$A, $C36), AB$1, "")</f>
        <v/>
      </c>
      <c r="AC36" s="132" t="str">
        <f>IF(COUNTIF('SCM-B'!$A:$A, $C36), AC$1, "")</f>
        <v/>
      </c>
      <c r="AD36" s="132" t="str">
        <f>IF(COUNTIF(AIS!$A:$A, $C36), AD$1, "")</f>
        <v/>
      </c>
      <c r="AE36" s="132" t="str">
        <f>IF(COUNTIF(EB!$A:$A, $C36), AE$1, "")</f>
        <v/>
      </c>
      <c r="AF36" s="132" t="str">
        <f>IF(COUNTIF('AIAM-A'!$A:$A, $C36), AF$1, "")</f>
        <v/>
      </c>
      <c r="AG36" s="132" t="str">
        <f>IF(COUNTIF('AIAM-B'!$A:$A, $C36), AG$1, "")</f>
        <v/>
      </c>
      <c r="AH36" s="132" t="str">
        <f>IF(COUNTIF('SA-A'!$A:$A, $C36), AH$1, "")</f>
        <v/>
      </c>
      <c r="AI36" s="132" t="str">
        <f>IF(COUNTIF('SA-B'!$A:$A, $C36), AI$1, "")</f>
        <v/>
      </c>
      <c r="AJ36" s="132" t="str">
        <f>IF(COUNTIF(CSM!$A:$A, $C36), AJ$1, "")</f>
        <v>Customer Success Management</v>
      </c>
      <c r="AK36" s="132" t="str">
        <f>IF(COUNTIF(EM!$A:$A, $C36), AK$1, "")</f>
        <v>Entrepreneurial Marketing</v>
      </c>
      <c r="AL36" s="132" t="str">
        <f>IF(COUNTIF(I4TS!$A:$A, $C36), AL$1, "")</f>
        <v/>
      </c>
    </row>
    <row r="37" spans="1:38" ht="13">
      <c r="A37" s="131">
        <v>36</v>
      </c>
      <c r="B37" s="131" t="s">
        <v>371</v>
      </c>
      <c r="C37" s="131" t="s">
        <v>477</v>
      </c>
      <c r="D37" s="106" t="s">
        <v>478</v>
      </c>
      <c r="E37" s="106" t="s">
        <v>479</v>
      </c>
      <c r="F37" s="131">
        <f t="shared" ca="1" si="0"/>
        <v>5</v>
      </c>
      <c r="G37" s="106" t="str">
        <f ca="1">IFERROR(__xludf.DUMMYFUNCTION("INDEX(FILTER($P37:$AL37, $P37:$AL37 &lt;&gt; """"), 1)"),"Fintech (Digital Transformation in Finance) (B)")</f>
        <v>Fintech (Digital Transformation in Finance) (B)</v>
      </c>
      <c r="H37" s="106" t="str">
        <f ca="1">IFERROR(__xludf.DUMMYFUNCTION("INDEX(FILTER($P37:$AL37, $P37:$AL37 &lt;&gt; """"), 2)"),"SPORTS ANALYTICS (B)")</f>
        <v>SPORTS ANALYTICS (B)</v>
      </c>
      <c r="I37" s="106" t="str">
        <f ca="1">IFERROR(__xludf.DUMMYFUNCTION("INDEX(FILTER($P37:$AL37, $P37:$AL37 &lt;&gt; """"), 3)"),"Entrepreneurial Marketing")</f>
        <v>Entrepreneurial Marketing</v>
      </c>
      <c r="J37" s="106" t="str">
        <f ca="1">IFERROR(__xludf.DUMMYFUNCTION("IFERROR(INDEX(FILTER($P37:$AL37, $P37:$AL37 &lt;&gt; """"), 4),)"),"")</f>
        <v/>
      </c>
      <c r="K37" s="106" t="str">
        <f ca="1">IFERROR(__xludf.DUMMYFUNCTION("IFERROR(INDEX(FILTER($P37:$AL37, $P37:$AL37 &lt;&gt; """"), 5),)"),"")</f>
        <v/>
      </c>
      <c r="L37" s="107"/>
      <c r="M37" s="107"/>
      <c r="N37" s="107"/>
      <c r="O37" s="107"/>
      <c r="P37" s="132" t="str">
        <f>IF(COUNTIF('Fintech-A'!$A:$A, $C37), P$1, "")</f>
        <v/>
      </c>
      <c r="Q37" s="132" t="str">
        <f>IF(COUNTIF('Fintech-B'!$A:$A, $C37), Q$1, "")</f>
        <v>Fintech (Digital Transformation in Finance) (B)</v>
      </c>
      <c r="R37" s="132" t="str">
        <f>IF(COUNTIF('BEDM-A'!$A:$A, $C37), R$1, "")</f>
        <v/>
      </c>
      <c r="S37" s="132" t="str">
        <f>IF(COUNTIF('BEDM-B'!$A:$A, $C37), S$1, "")</f>
        <v/>
      </c>
      <c r="T37" s="132" t="str">
        <f>IF(COUNTIF('Art-A'!$A:$A, $C37), T$1, "")</f>
        <v/>
      </c>
      <c r="U37" s="132" t="str">
        <f>IF(COUNTIF('Art-B'!$A:$A, $C37), U$1, "")</f>
        <v/>
      </c>
      <c r="V37" s="132" t="str">
        <f>IF(COUNTIF('WH-A'!$A:$A, $C37), V$1, "")</f>
        <v/>
      </c>
      <c r="W37" s="132" t="str">
        <f>IF(COUNTIF('WH-B'!$A:$A, $C37), W$1, "")</f>
        <v/>
      </c>
      <c r="X37" s="132" t="str">
        <f>IF(COUNTIF(LETV!$A:$A, $C37), X$1, "")</f>
        <v/>
      </c>
      <c r="Y37" s="132" t="str">
        <f>IF(COUNTIF('Film&amp;Firm-A'!$A:$A, $C37), Y$1, "")</f>
        <v/>
      </c>
      <c r="Z37" s="132" t="str">
        <f>IF(COUNTIF('Film&amp;Firm-B'!$A:$A, $C37), Z$1, "")</f>
        <v/>
      </c>
      <c r="AA37" s="132" t="str">
        <f>IF(COUNTIF(SHRM!$A:$A, $C37), AA$1, "")</f>
        <v/>
      </c>
      <c r="AB37" s="132" t="str">
        <f>IF(COUNTIF('SCM-A'!$A:$A, $C37), AB$1, "")</f>
        <v/>
      </c>
      <c r="AC37" s="132" t="str">
        <f>IF(COUNTIF('SCM-B'!$A:$A, $C37), AC$1, "")</f>
        <v/>
      </c>
      <c r="AD37" s="132" t="str">
        <f>IF(COUNTIF(AIS!$A:$A, $C37), AD$1, "")</f>
        <v/>
      </c>
      <c r="AE37" s="132" t="str">
        <f>IF(COUNTIF(EB!$A:$A, $C37), AE$1, "")</f>
        <v/>
      </c>
      <c r="AF37" s="132" t="str">
        <f>IF(COUNTIF('AIAM-A'!$A:$A, $C37), AF$1, "")</f>
        <v/>
      </c>
      <c r="AG37" s="132" t="str">
        <f>IF(COUNTIF('AIAM-B'!$A:$A, $C37), AG$1, "")</f>
        <v/>
      </c>
      <c r="AH37" s="132" t="str">
        <f>IF(COUNTIF('SA-A'!$A:$A, $C37), AH$1, "")</f>
        <v/>
      </c>
      <c r="AI37" s="132" t="str">
        <f>IF(COUNTIF('SA-B'!$A:$A, $C37), AI$1, "")</f>
        <v>SPORTS ANALYTICS (B)</v>
      </c>
      <c r="AJ37" s="132" t="str">
        <f>IF(COUNTIF(CSM!$A:$A, $C37), AJ$1, "")</f>
        <v/>
      </c>
      <c r="AK37" s="132" t="str">
        <f>IF(COUNTIF(EM!$A:$A, $C37), AK$1, "")</f>
        <v>Entrepreneurial Marketing</v>
      </c>
      <c r="AL37" s="132" t="str">
        <f>IF(COUNTIF(I4TS!$A:$A, $C37), AL$1, "")</f>
        <v/>
      </c>
    </row>
    <row r="38" spans="1:38" ht="13">
      <c r="A38" s="131">
        <v>37</v>
      </c>
      <c r="B38" s="131" t="s">
        <v>371</v>
      </c>
      <c r="C38" s="131" t="s">
        <v>480</v>
      </c>
      <c r="D38" s="106" t="s">
        <v>481</v>
      </c>
      <c r="E38" s="106" t="s">
        <v>482</v>
      </c>
      <c r="F38" s="131">
        <f t="shared" ca="1" si="0"/>
        <v>5</v>
      </c>
      <c r="G38" s="106" t="str">
        <f ca="1">IFERROR(__xludf.DUMMYFUNCTION("INDEX(FILTER($P38:$AL38, $P38:$AL38 &lt;&gt; """"), 1)"),"Workplace Happiness: Science &amp; Practice (A)")</f>
        <v>Workplace Happiness: Science &amp; Practice (A)</v>
      </c>
      <c r="H38" s="106" t="str">
        <f ca="1">IFERROR(__xludf.DUMMYFUNCTION("INDEX(FILTER($P38:$AL38, $P38:$AL38 &lt;&gt; """"), 2)"),"Film &amp; the Firm: Visual Culture in Business Contexts (B)")</f>
        <v>Film &amp; the Firm: Visual Culture in Business Contexts (B)</v>
      </c>
      <c r="I38" s="106" t="str">
        <f ca="1">IFERROR(__xludf.DUMMYFUNCTION("INDEX(FILTER($P38:$AL38, $P38:$AL38 &lt;&gt; """"), 3)"),"Strategic Career Management (A)")</f>
        <v>Strategic Career Management (A)</v>
      </c>
      <c r="J38" s="106" t="str">
        <f ca="1">IFERROR(__xludf.DUMMYFUNCTION("IFERROR(INDEX(FILTER($P38:$AL38, $P38:$AL38 &lt;&gt; """"), 4),)"),"")</f>
        <v/>
      </c>
      <c r="K38" s="106" t="str">
        <f ca="1">IFERROR(__xludf.DUMMYFUNCTION("IFERROR(INDEX(FILTER($P38:$AL38, $P38:$AL38 &lt;&gt; """"), 5),)"),"")</f>
        <v/>
      </c>
      <c r="L38" s="107"/>
      <c r="M38" s="107"/>
      <c r="N38" s="107"/>
      <c r="O38" s="107"/>
      <c r="P38" s="132" t="str">
        <f>IF(COUNTIF('Fintech-A'!$A:$A, $C38), P$1, "")</f>
        <v/>
      </c>
      <c r="Q38" s="132" t="str">
        <f>IF(COUNTIF('Fintech-B'!$A:$A, $C38), Q$1, "")</f>
        <v/>
      </c>
      <c r="R38" s="132" t="str">
        <f>IF(COUNTIF('BEDM-A'!$A:$A, $C38), R$1, "")</f>
        <v/>
      </c>
      <c r="S38" s="132" t="str">
        <f>IF(COUNTIF('BEDM-B'!$A:$A, $C38), S$1, "")</f>
        <v/>
      </c>
      <c r="T38" s="132" t="str">
        <f>IF(COUNTIF('Art-A'!$A:$A, $C38), T$1, "")</f>
        <v/>
      </c>
      <c r="U38" s="132" t="str">
        <f>IF(COUNTIF('Art-B'!$A:$A, $C38), U$1, "")</f>
        <v/>
      </c>
      <c r="V38" s="132" t="str">
        <f>IF(COUNTIF('WH-A'!$A:$A, $C38), V$1, "")</f>
        <v>Workplace Happiness: Science &amp; Practice (A)</v>
      </c>
      <c r="W38" s="132" t="str">
        <f>IF(COUNTIF('WH-B'!$A:$A, $C38), W$1, "")</f>
        <v/>
      </c>
      <c r="X38" s="132" t="str">
        <f>IF(COUNTIF(LETV!$A:$A, $C38), X$1, "")</f>
        <v/>
      </c>
      <c r="Y38" s="132" t="str">
        <f>IF(COUNTIF('Film&amp;Firm-A'!$A:$A, $C38), Y$1, "")</f>
        <v/>
      </c>
      <c r="Z38" s="132" t="str">
        <f>IF(COUNTIF('Film&amp;Firm-B'!$A:$A, $C38), Z$1, "")</f>
        <v>Film &amp; the Firm: Visual Culture in Business Contexts (B)</v>
      </c>
      <c r="AA38" s="132" t="str">
        <f>IF(COUNTIF(SHRM!$A:$A, $C38), AA$1, "")</f>
        <v/>
      </c>
      <c r="AB38" s="132" t="str">
        <f>IF(COUNTIF('SCM-A'!$A:$A, $C38), AB$1, "")</f>
        <v>Strategic Career Management (A)</v>
      </c>
      <c r="AC38" s="132" t="str">
        <f>IF(COUNTIF('SCM-B'!$A:$A, $C38), AC$1, "")</f>
        <v/>
      </c>
      <c r="AD38" s="132" t="str">
        <f>IF(COUNTIF(AIS!$A:$A, $C38), AD$1, "")</f>
        <v/>
      </c>
      <c r="AE38" s="132" t="str">
        <f>IF(COUNTIF(EB!$A:$A, $C38), AE$1, "")</f>
        <v/>
      </c>
      <c r="AF38" s="132" t="str">
        <f>IF(COUNTIF('AIAM-A'!$A:$A, $C38), AF$1, "")</f>
        <v/>
      </c>
      <c r="AG38" s="132" t="str">
        <f>IF(COUNTIF('AIAM-B'!$A:$A, $C38), AG$1, "")</f>
        <v/>
      </c>
      <c r="AH38" s="132" t="str">
        <f>IF(COUNTIF('SA-A'!$A:$A, $C38), AH$1, "")</f>
        <v/>
      </c>
      <c r="AI38" s="132" t="str">
        <f>IF(COUNTIF('SA-B'!$A:$A, $C38), AI$1, "")</f>
        <v/>
      </c>
      <c r="AJ38" s="132" t="str">
        <f>IF(COUNTIF(CSM!$A:$A, $C38), AJ$1, "")</f>
        <v/>
      </c>
      <c r="AK38" s="132" t="str">
        <f>IF(COUNTIF(EM!$A:$A, $C38), AK$1, "")</f>
        <v/>
      </c>
      <c r="AL38" s="132" t="str">
        <f>IF(COUNTIF(I4TS!$A:$A, $C38), AL$1, "")</f>
        <v/>
      </c>
    </row>
    <row r="39" spans="1:38" ht="13">
      <c r="A39" s="131">
        <v>38</v>
      </c>
      <c r="B39" s="131" t="s">
        <v>371</v>
      </c>
      <c r="C39" s="131" t="s">
        <v>247</v>
      </c>
      <c r="D39" s="106" t="s">
        <v>483</v>
      </c>
      <c r="E39" s="106" t="s">
        <v>484</v>
      </c>
      <c r="F39" s="131">
        <f t="shared" ca="1" si="0"/>
        <v>5</v>
      </c>
      <c r="G39" s="106" t="str">
        <f ca="1">IFERROR(__xludf.DUMMYFUNCTION("INDEX(FILTER($P39:$AL39, $P39:$AL39 &lt;&gt; """"), 1)"),"AI AND  STRATEGY")</f>
        <v>AI AND  STRATEGY</v>
      </c>
      <c r="H39" s="106" t="str">
        <f ca="1">IFERROR(__xludf.DUMMYFUNCTION("INDEX(FILTER($P39:$AL39, $P39:$AL39 &lt;&gt; """"), 2)"),"Customer Success Management")</f>
        <v>Customer Success Management</v>
      </c>
      <c r="I39" s="106" t="str">
        <f ca="1">IFERROR(__xludf.DUMMYFUNCTION("INDEX(FILTER($P39:$AL39, $P39:$AL39 &lt;&gt; """"), 3)"),"Entrepreneurial Marketing")</f>
        <v>Entrepreneurial Marketing</v>
      </c>
      <c r="J39" s="106" t="str">
        <f ca="1">IFERROR(__xludf.DUMMYFUNCTION("IFERROR(INDEX(FILTER($P39:$AL39, $P39:$AL39 &lt;&gt; """"), 4),)"),"")</f>
        <v/>
      </c>
      <c r="K39" s="106" t="str">
        <f ca="1">IFERROR(__xludf.DUMMYFUNCTION("IFERROR(INDEX(FILTER($P39:$AL39, $P39:$AL39 &lt;&gt; """"), 5),)"),"")</f>
        <v/>
      </c>
      <c r="L39" s="107"/>
      <c r="M39" s="107"/>
      <c r="N39" s="107"/>
      <c r="O39" s="107"/>
      <c r="P39" s="132" t="str">
        <f>IF(COUNTIF('Fintech-A'!$A:$A, $C39), P$1, "")</f>
        <v/>
      </c>
      <c r="Q39" s="132" t="str">
        <f>IF(COUNTIF('Fintech-B'!$A:$A, $C39), Q$1, "")</f>
        <v/>
      </c>
      <c r="R39" s="132" t="str">
        <f>IF(COUNTIF('BEDM-A'!$A:$A, $C39), R$1, "")</f>
        <v/>
      </c>
      <c r="S39" s="132" t="str">
        <f>IF(COUNTIF('BEDM-B'!$A:$A, $C39), S$1, "")</f>
        <v/>
      </c>
      <c r="T39" s="132" t="str">
        <f>IF(COUNTIF('Art-A'!$A:$A, $C39), T$1, "")</f>
        <v/>
      </c>
      <c r="U39" s="132" t="str">
        <f>IF(COUNTIF('Art-B'!$A:$A, $C39), U$1, "")</f>
        <v/>
      </c>
      <c r="V39" s="132" t="str">
        <f>IF(COUNTIF('WH-A'!$A:$A, $C39), V$1, "")</f>
        <v/>
      </c>
      <c r="W39" s="132" t="str">
        <f>IF(COUNTIF('WH-B'!$A:$A, $C39), W$1, "")</f>
        <v/>
      </c>
      <c r="X39" s="132" t="str">
        <f>IF(COUNTIF(LETV!$A:$A, $C39), X$1, "")</f>
        <v/>
      </c>
      <c r="Y39" s="132" t="str">
        <f>IF(COUNTIF('Film&amp;Firm-A'!$A:$A, $C39), Y$1, "")</f>
        <v/>
      </c>
      <c r="Z39" s="132" t="str">
        <f>IF(COUNTIF('Film&amp;Firm-B'!$A:$A, $C39), Z$1, "")</f>
        <v/>
      </c>
      <c r="AA39" s="132" t="str">
        <f>IF(COUNTIF(SHRM!$A:$A, $C39), AA$1, "")</f>
        <v/>
      </c>
      <c r="AB39" s="132" t="str">
        <f>IF(COUNTIF('SCM-A'!$A:$A, $C39), AB$1, "")</f>
        <v/>
      </c>
      <c r="AC39" s="132" t="str">
        <f>IF(COUNTIF('SCM-B'!$A:$A, $C39), AC$1, "")</f>
        <v/>
      </c>
      <c r="AD39" s="132" t="str">
        <f>IF(COUNTIF(AIS!$A:$A, $C39), AD$1, "")</f>
        <v>AI AND  STRATEGY</v>
      </c>
      <c r="AE39" s="132" t="str">
        <f>IF(COUNTIF(EB!$A:$A, $C39), AE$1, "")</f>
        <v/>
      </c>
      <c r="AF39" s="132" t="str">
        <f>IF(COUNTIF('AIAM-A'!$A:$A, $C39), AF$1, "")</f>
        <v/>
      </c>
      <c r="AG39" s="132" t="str">
        <f>IF(COUNTIF('AIAM-B'!$A:$A, $C39), AG$1, "")</f>
        <v/>
      </c>
      <c r="AH39" s="132" t="str">
        <f>IF(COUNTIF('SA-A'!$A:$A, $C39), AH$1, "")</f>
        <v/>
      </c>
      <c r="AI39" s="132" t="str">
        <f>IF(COUNTIF('SA-B'!$A:$A, $C39), AI$1, "")</f>
        <v/>
      </c>
      <c r="AJ39" s="132" t="str">
        <f>IF(COUNTIF(CSM!$A:$A, $C39), AJ$1, "")</f>
        <v>Customer Success Management</v>
      </c>
      <c r="AK39" s="132" t="str">
        <f>IF(COUNTIF(EM!$A:$A, $C39), AK$1, "")</f>
        <v>Entrepreneurial Marketing</v>
      </c>
      <c r="AL39" s="132" t="str">
        <f>IF(COUNTIF(I4TS!$A:$A, $C39), AL$1, "")</f>
        <v/>
      </c>
    </row>
    <row r="40" spans="1:38" ht="13">
      <c r="A40" s="131">
        <v>39</v>
      </c>
      <c r="B40" s="131" t="s">
        <v>371</v>
      </c>
      <c r="C40" s="131" t="s">
        <v>485</v>
      </c>
      <c r="D40" s="106" t="s">
        <v>486</v>
      </c>
      <c r="E40" s="106" t="s">
        <v>487</v>
      </c>
      <c r="F40" s="131">
        <f t="shared" ca="1" si="0"/>
        <v>5</v>
      </c>
      <c r="G40" s="106" t="str">
        <f ca="1">IFERROR(__xludf.DUMMYFUNCTION("INDEX(FILTER($P40:$AL40, $P40:$AL40 &lt;&gt; """"), 1)"),"Behavioural Economics and Decision-Making (B)")</f>
        <v>Behavioural Economics and Decision-Making (B)</v>
      </c>
      <c r="H40" s="106" t="str">
        <f ca="1">IFERROR(__xludf.DUMMYFUNCTION("INDEX(FILTER($P40:$AL40, $P40:$AL40 &lt;&gt; """"), 2)"),"Strategic Career Management (A)")</f>
        <v>Strategic Career Management (A)</v>
      </c>
      <c r="I40" s="106" t="str">
        <f ca="1">IFERROR(__xludf.DUMMYFUNCTION("INDEX(FILTER($P40:$AL40, $P40:$AL40 &lt;&gt; """"), 3)"),"AI Applications in Marketing (B)")</f>
        <v>AI Applications in Marketing (B)</v>
      </c>
      <c r="J40" s="106" t="str">
        <f ca="1">IFERROR(__xludf.DUMMYFUNCTION("IFERROR(INDEX(FILTER($P40:$AL40, $P40:$AL40 &lt;&gt; """"), 4),)"),"")</f>
        <v/>
      </c>
      <c r="K40" s="106" t="str">
        <f ca="1">IFERROR(__xludf.DUMMYFUNCTION("IFERROR(INDEX(FILTER($P40:$AL40, $P40:$AL40 &lt;&gt; """"), 5),)"),"")</f>
        <v/>
      </c>
      <c r="L40" s="107"/>
      <c r="M40" s="107"/>
      <c r="N40" s="107"/>
      <c r="O40" s="107"/>
      <c r="P40" s="132" t="str">
        <f>IF(COUNTIF('Fintech-A'!$A:$A, $C40), P$1, "")</f>
        <v/>
      </c>
      <c r="Q40" s="132" t="str">
        <f>IF(COUNTIF('Fintech-B'!$A:$A, $C40), Q$1, "")</f>
        <v/>
      </c>
      <c r="R40" s="132" t="str">
        <f>IF(COUNTIF('BEDM-A'!$A:$A, $C40), R$1, "")</f>
        <v/>
      </c>
      <c r="S40" s="132" t="str">
        <f>IF(COUNTIF('BEDM-B'!$A:$A, $C40), S$1, "")</f>
        <v>Behavioural Economics and Decision-Making (B)</v>
      </c>
      <c r="T40" s="132" t="str">
        <f>IF(COUNTIF('Art-A'!$A:$A, $C40), T$1, "")</f>
        <v/>
      </c>
      <c r="U40" s="132" t="str">
        <f>IF(COUNTIF('Art-B'!$A:$A, $C40), U$1, "")</f>
        <v/>
      </c>
      <c r="V40" s="132" t="str">
        <f>IF(COUNTIF('WH-A'!$A:$A, $C40), V$1, "")</f>
        <v/>
      </c>
      <c r="W40" s="132" t="str">
        <f>IF(COUNTIF('WH-B'!$A:$A, $C40), W$1, "")</f>
        <v/>
      </c>
      <c r="X40" s="132" t="str">
        <f>IF(COUNTIF(LETV!$A:$A, $C40), X$1, "")</f>
        <v/>
      </c>
      <c r="Y40" s="132" t="str">
        <f>IF(COUNTIF('Film&amp;Firm-A'!$A:$A, $C40), Y$1, "")</f>
        <v/>
      </c>
      <c r="Z40" s="132" t="str">
        <f>IF(COUNTIF('Film&amp;Firm-B'!$A:$A, $C40), Z$1, "")</f>
        <v/>
      </c>
      <c r="AA40" s="132" t="str">
        <f>IF(COUNTIF(SHRM!$A:$A, $C40), AA$1, "")</f>
        <v/>
      </c>
      <c r="AB40" s="132" t="str">
        <f>IF(COUNTIF('SCM-A'!$A:$A, $C40), AB$1, "")</f>
        <v>Strategic Career Management (A)</v>
      </c>
      <c r="AC40" s="132" t="str">
        <f>IF(COUNTIF('SCM-B'!$A:$A, $C40), AC$1, "")</f>
        <v/>
      </c>
      <c r="AD40" s="132" t="str">
        <f>IF(COUNTIF(AIS!$A:$A, $C40), AD$1, "")</f>
        <v/>
      </c>
      <c r="AE40" s="132" t="str">
        <f>IF(COUNTIF(EB!$A:$A, $C40), AE$1, "")</f>
        <v/>
      </c>
      <c r="AF40" s="132" t="str">
        <f>IF(COUNTIF('AIAM-A'!$A:$A, $C40), AF$1, "")</f>
        <v/>
      </c>
      <c r="AG40" s="132" t="str">
        <f>IF(COUNTIF('AIAM-B'!$A:$A, $C40), AG$1, "")</f>
        <v>AI Applications in Marketing (B)</v>
      </c>
      <c r="AH40" s="132" t="str">
        <f>IF(COUNTIF('SA-A'!$A:$A, $C40), AH$1, "")</f>
        <v/>
      </c>
      <c r="AI40" s="132" t="str">
        <f>IF(COUNTIF('SA-B'!$A:$A, $C40), AI$1, "")</f>
        <v/>
      </c>
      <c r="AJ40" s="132" t="str">
        <f>IF(COUNTIF(CSM!$A:$A, $C40), AJ$1, "")</f>
        <v/>
      </c>
      <c r="AK40" s="132" t="str">
        <f>IF(COUNTIF(EM!$A:$A, $C40), AK$1, "")</f>
        <v/>
      </c>
      <c r="AL40" s="132" t="str">
        <f>IF(COUNTIF(I4TS!$A:$A, $C40), AL$1, "")</f>
        <v/>
      </c>
    </row>
    <row r="41" spans="1:38" ht="13">
      <c r="A41" s="131">
        <v>40</v>
      </c>
      <c r="B41" s="131" t="s">
        <v>371</v>
      </c>
      <c r="C41" s="131" t="s">
        <v>248</v>
      </c>
      <c r="D41" s="106" t="s">
        <v>488</v>
      </c>
      <c r="E41" s="106" t="s">
        <v>489</v>
      </c>
      <c r="F41" s="131">
        <f t="shared" ca="1" si="0"/>
        <v>5</v>
      </c>
      <c r="G41" s="106" t="str">
        <f ca="1">IFERROR(__xludf.DUMMYFUNCTION("INDEX(FILTER($P41:$AL41, $P41:$AL41 &lt;&gt; """"), 1)"),"Strategic HRM")</f>
        <v>Strategic HRM</v>
      </c>
      <c r="H41" s="106" t="str">
        <f ca="1">IFERROR(__xludf.DUMMYFUNCTION("INDEX(FILTER($P41:$AL41, $P41:$AL41 &lt;&gt; """"), 2)"),"Strategic Career Management (B)")</f>
        <v>Strategic Career Management (B)</v>
      </c>
      <c r="I41" s="106" t="str">
        <f ca="1">IFERROR(__xludf.DUMMYFUNCTION("INDEX(FILTER($P41:$AL41, $P41:$AL41 &lt;&gt; """"), 3)"),"AI Applications in Marketing (A)")</f>
        <v>AI Applications in Marketing (A)</v>
      </c>
      <c r="J41" s="106" t="str">
        <f ca="1">IFERROR(__xludf.DUMMYFUNCTION("IFERROR(INDEX(FILTER($P41:$AL41, $P41:$AL41 &lt;&gt; """"), 4),)"),"")</f>
        <v/>
      </c>
      <c r="K41" s="106" t="str">
        <f ca="1">IFERROR(__xludf.DUMMYFUNCTION("IFERROR(INDEX(FILTER($P41:$AL41, $P41:$AL41 &lt;&gt; """"), 5),)"),"")</f>
        <v/>
      </c>
      <c r="L41" s="107"/>
      <c r="M41" s="107"/>
      <c r="N41" s="107"/>
      <c r="O41" s="107"/>
      <c r="P41" s="132" t="str">
        <f>IF(COUNTIF('Fintech-A'!$A:$A, $C41), P$1, "")</f>
        <v/>
      </c>
      <c r="Q41" s="132" t="str">
        <f>IF(COUNTIF('Fintech-B'!$A:$A, $C41), Q$1, "")</f>
        <v/>
      </c>
      <c r="R41" s="132" t="str">
        <f>IF(COUNTIF('BEDM-A'!$A:$A, $C41), R$1, "")</f>
        <v/>
      </c>
      <c r="S41" s="132" t="str">
        <f>IF(COUNTIF('BEDM-B'!$A:$A, $C41), S$1, "")</f>
        <v/>
      </c>
      <c r="T41" s="132" t="str">
        <f>IF(COUNTIF('Art-A'!$A:$A, $C41), T$1, "")</f>
        <v/>
      </c>
      <c r="U41" s="132" t="str">
        <f>IF(COUNTIF('Art-B'!$A:$A, $C41), U$1, "")</f>
        <v/>
      </c>
      <c r="V41" s="132" t="str">
        <f>IF(COUNTIF('WH-A'!$A:$A, $C41), V$1, "")</f>
        <v/>
      </c>
      <c r="W41" s="132" t="str">
        <f>IF(COUNTIF('WH-B'!$A:$A, $C41), W$1, "")</f>
        <v/>
      </c>
      <c r="X41" s="132" t="str">
        <f>IF(COUNTIF(LETV!$A:$A, $C41), X$1, "")</f>
        <v/>
      </c>
      <c r="Y41" s="132" t="str">
        <f>IF(COUNTIF('Film&amp;Firm-A'!$A:$A, $C41), Y$1, "")</f>
        <v/>
      </c>
      <c r="Z41" s="132" t="str">
        <f>IF(COUNTIF('Film&amp;Firm-B'!$A:$A, $C41), Z$1, "")</f>
        <v/>
      </c>
      <c r="AA41" s="132" t="str">
        <f>IF(COUNTIF(SHRM!$A:$A, $C41), AA$1, "")</f>
        <v>Strategic HRM</v>
      </c>
      <c r="AB41" s="132" t="str">
        <f>IF(COUNTIF('SCM-A'!$A:$A, $C41), AB$1, "")</f>
        <v/>
      </c>
      <c r="AC41" s="132" t="str">
        <f>IF(COUNTIF('SCM-B'!$A:$A, $C41), AC$1, "")</f>
        <v>Strategic Career Management (B)</v>
      </c>
      <c r="AD41" s="132" t="str">
        <f>IF(COUNTIF(AIS!$A:$A, $C41), AD$1, "")</f>
        <v/>
      </c>
      <c r="AE41" s="132" t="str">
        <f>IF(COUNTIF(EB!$A:$A, $C41), AE$1, "")</f>
        <v/>
      </c>
      <c r="AF41" s="132" t="str">
        <f>IF(COUNTIF('AIAM-A'!$A:$A, $C41), AF$1, "")</f>
        <v>AI Applications in Marketing (A)</v>
      </c>
      <c r="AG41" s="132" t="str">
        <f>IF(COUNTIF('AIAM-B'!$A:$A, $C41), AG$1, "")</f>
        <v/>
      </c>
      <c r="AH41" s="132" t="str">
        <f>IF(COUNTIF('SA-A'!$A:$A, $C41), AH$1, "")</f>
        <v/>
      </c>
      <c r="AI41" s="132" t="str">
        <f>IF(COUNTIF('SA-B'!$A:$A, $C41), AI$1, "")</f>
        <v/>
      </c>
      <c r="AJ41" s="132" t="str">
        <f>IF(COUNTIF(CSM!$A:$A, $C41), AJ$1, "")</f>
        <v/>
      </c>
      <c r="AK41" s="132" t="str">
        <f>IF(COUNTIF(EM!$A:$A, $C41), AK$1, "")</f>
        <v/>
      </c>
      <c r="AL41" s="132" t="str">
        <f>IF(COUNTIF(I4TS!$A:$A, $C41), AL$1, "")</f>
        <v/>
      </c>
    </row>
    <row r="42" spans="1:38" ht="13">
      <c r="A42" s="131">
        <v>41</v>
      </c>
      <c r="B42" s="131" t="s">
        <v>371</v>
      </c>
      <c r="C42" s="131" t="s">
        <v>490</v>
      </c>
      <c r="D42" s="106" t="s">
        <v>491</v>
      </c>
      <c r="E42" s="106" t="s">
        <v>492</v>
      </c>
      <c r="F42" s="131">
        <f t="shared" ca="1" si="0"/>
        <v>5</v>
      </c>
      <c r="G42" s="106" t="str">
        <f ca="1">IFERROR(__xludf.DUMMYFUNCTION("INDEX(FILTER($P42:$AL42, $P42:$AL42 &lt;&gt; """"), 1)"),"Workplace Happiness: Science &amp; Practice (A)")</f>
        <v>Workplace Happiness: Science &amp; Practice (A)</v>
      </c>
      <c r="H42" s="106" t="str">
        <f ca="1">IFERROR(__xludf.DUMMYFUNCTION("INDEX(FILTER($P42:$AL42, $P42:$AL42 &lt;&gt; """"), 2)"),"Leadership Excellence Through Values : Wisdom from the Mahabharata")</f>
        <v>Leadership Excellence Through Values : Wisdom from the Mahabharata</v>
      </c>
      <c r="I42" s="106" t="str">
        <f ca="1">IFERROR(__xludf.DUMMYFUNCTION("INDEX(FILTER($P42:$AL42, $P42:$AL42 &lt;&gt; """"), 3)"),"Industry 4.0 in Transport Sector")</f>
        <v>Industry 4.0 in Transport Sector</v>
      </c>
      <c r="J42" s="106" t="str">
        <f ca="1">IFERROR(__xludf.DUMMYFUNCTION("IFERROR(INDEX(FILTER($P42:$AL42, $P42:$AL42 &lt;&gt; """"), 4),)"),"")</f>
        <v/>
      </c>
      <c r="K42" s="106" t="str">
        <f ca="1">IFERROR(__xludf.DUMMYFUNCTION("IFERROR(INDEX(FILTER($P42:$AL42, $P42:$AL42 &lt;&gt; """"), 5),)"),"")</f>
        <v/>
      </c>
      <c r="L42" s="107"/>
      <c r="M42" s="107"/>
      <c r="N42" s="107"/>
      <c r="O42" s="107"/>
      <c r="P42" s="132" t="str">
        <f>IF(COUNTIF('Fintech-A'!$A:$A, $C42), P$1, "")</f>
        <v/>
      </c>
      <c r="Q42" s="132" t="str">
        <f>IF(COUNTIF('Fintech-B'!$A:$A, $C42), Q$1, "")</f>
        <v/>
      </c>
      <c r="R42" s="132" t="str">
        <f>IF(COUNTIF('BEDM-A'!$A:$A, $C42), R$1, "")</f>
        <v/>
      </c>
      <c r="S42" s="132" t="str">
        <f>IF(COUNTIF('BEDM-B'!$A:$A, $C42), S$1, "")</f>
        <v/>
      </c>
      <c r="T42" s="132" t="str">
        <f>IF(COUNTIF('Art-A'!$A:$A, $C42), T$1, "")</f>
        <v/>
      </c>
      <c r="U42" s="132" t="str">
        <f>IF(COUNTIF('Art-B'!$A:$A, $C42), U$1, "")</f>
        <v/>
      </c>
      <c r="V42" s="132" t="str">
        <f>IF(COUNTIF('WH-A'!$A:$A, $C42), V$1, "")</f>
        <v>Workplace Happiness: Science &amp; Practice (A)</v>
      </c>
      <c r="W42" s="132" t="str">
        <f>IF(COUNTIF('WH-B'!$A:$A, $C42), W$1, "")</f>
        <v/>
      </c>
      <c r="X42" s="132" t="str">
        <f>IF(COUNTIF(LETV!$A:$A, $C42), X$1, "")</f>
        <v>Leadership Excellence Through Values : Wisdom from the Mahabharata</v>
      </c>
      <c r="Y42" s="132" t="str">
        <f>IF(COUNTIF('Film&amp;Firm-A'!$A:$A, $C42), Y$1, "")</f>
        <v/>
      </c>
      <c r="Z42" s="132" t="str">
        <f>IF(COUNTIF('Film&amp;Firm-B'!$A:$A, $C42), Z$1, "")</f>
        <v/>
      </c>
      <c r="AA42" s="132" t="str">
        <f>IF(COUNTIF(SHRM!$A:$A, $C42), AA$1, "")</f>
        <v/>
      </c>
      <c r="AB42" s="132" t="str">
        <f>IF(COUNTIF('SCM-A'!$A:$A, $C42), AB$1, "")</f>
        <v/>
      </c>
      <c r="AC42" s="132" t="str">
        <f>IF(COUNTIF('SCM-B'!$A:$A, $C42), AC$1, "")</f>
        <v/>
      </c>
      <c r="AD42" s="132" t="str">
        <f>IF(COUNTIF(AIS!$A:$A, $C42), AD$1, "")</f>
        <v/>
      </c>
      <c r="AE42" s="132" t="str">
        <f>IF(COUNTIF(EB!$A:$A, $C42), AE$1, "")</f>
        <v/>
      </c>
      <c r="AF42" s="132" t="str">
        <f>IF(COUNTIF('AIAM-A'!$A:$A, $C42), AF$1, "")</f>
        <v/>
      </c>
      <c r="AG42" s="132" t="str">
        <f>IF(COUNTIF('AIAM-B'!$A:$A, $C42), AG$1, "")</f>
        <v/>
      </c>
      <c r="AH42" s="132" t="str">
        <f>IF(COUNTIF('SA-A'!$A:$A, $C42), AH$1, "")</f>
        <v/>
      </c>
      <c r="AI42" s="132" t="str">
        <f>IF(COUNTIF('SA-B'!$A:$A, $C42), AI$1, "")</f>
        <v/>
      </c>
      <c r="AJ42" s="132" t="str">
        <f>IF(COUNTIF(CSM!$A:$A, $C42), AJ$1, "")</f>
        <v/>
      </c>
      <c r="AK42" s="132" t="str">
        <f>IF(COUNTIF(EM!$A:$A, $C42), AK$1, "")</f>
        <v/>
      </c>
      <c r="AL42" s="132" t="str">
        <f>IF(COUNTIF(I4TS!$A:$A, $C42), AL$1, "")</f>
        <v>Industry 4.0 in Transport Sector</v>
      </c>
    </row>
    <row r="43" spans="1:38" ht="13">
      <c r="A43" s="131">
        <v>42</v>
      </c>
      <c r="B43" s="131" t="s">
        <v>371</v>
      </c>
      <c r="C43" s="131" t="s">
        <v>493</v>
      </c>
      <c r="D43" s="106" t="s">
        <v>494</v>
      </c>
      <c r="E43" s="106" t="s">
        <v>495</v>
      </c>
      <c r="F43" s="131">
        <f t="shared" ca="1" si="0"/>
        <v>5</v>
      </c>
      <c r="G43" s="106" t="str">
        <f ca="1">IFERROR(__xludf.DUMMYFUNCTION("INDEX(FILTER($P43:$AL43, $P43:$AL43 &lt;&gt; """"), 1)"),"The Art, Craft, and Science of Management: Learning through Classics and Best Collections (A)")</f>
        <v>The Art, Craft, and Science of Management: Learning through Classics and Best Collections (A)</v>
      </c>
      <c r="H43" s="106" t="str">
        <f ca="1">IFERROR(__xludf.DUMMYFUNCTION("INDEX(FILTER($P43:$AL43, $P43:$AL43 &lt;&gt; """"), 2)"),"Film &amp; the Firm: Visual Culture in Business Contexts (A)")</f>
        <v>Film &amp; the Firm: Visual Culture in Business Contexts (A)</v>
      </c>
      <c r="I43" s="106" t="str">
        <f ca="1">IFERROR(__xludf.DUMMYFUNCTION("INDEX(FILTER($P43:$AL43, $P43:$AL43 &lt;&gt; """"), 3)"),"Strategic HRM")</f>
        <v>Strategic HRM</v>
      </c>
      <c r="J43" s="106" t="str">
        <f ca="1">IFERROR(__xludf.DUMMYFUNCTION("IFERROR(INDEX(FILTER($P43:$AL43, $P43:$AL43 &lt;&gt; """"), 4),)"),"")</f>
        <v/>
      </c>
      <c r="K43" s="106" t="str">
        <f ca="1">IFERROR(__xludf.DUMMYFUNCTION("IFERROR(INDEX(FILTER($P43:$AL43, $P43:$AL43 &lt;&gt; """"), 5),)"),"")</f>
        <v/>
      </c>
      <c r="L43" s="107"/>
      <c r="M43" s="107"/>
      <c r="N43" s="107"/>
      <c r="O43" s="107"/>
      <c r="P43" s="132" t="str">
        <f>IF(COUNTIF('Fintech-A'!$A:$A, $C43), P$1, "")</f>
        <v/>
      </c>
      <c r="Q43" s="132" t="str">
        <f>IF(COUNTIF('Fintech-B'!$A:$A, $C43), Q$1, "")</f>
        <v/>
      </c>
      <c r="R43" s="132" t="str">
        <f>IF(COUNTIF('BEDM-A'!$A:$A, $C43), R$1, "")</f>
        <v/>
      </c>
      <c r="S43" s="132" t="str">
        <f>IF(COUNTIF('BEDM-B'!$A:$A, $C43), S$1, "")</f>
        <v/>
      </c>
      <c r="T43" s="132" t="str">
        <f>IF(COUNTIF('Art-A'!$A:$A, $C43), T$1, "")</f>
        <v>The Art, Craft, and Science of Management: Learning through Classics and Best Collections (A)</v>
      </c>
      <c r="U43" s="132" t="str">
        <f>IF(COUNTIF('Art-B'!$A:$A, $C43), U$1, "")</f>
        <v/>
      </c>
      <c r="V43" s="132" t="str">
        <f>IF(COUNTIF('WH-A'!$A:$A, $C43), V$1, "")</f>
        <v/>
      </c>
      <c r="W43" s="132" t="str">
        <f>IF(COUNTIF('WH-B'!$A:$A, $C43), W$1, "")</f>
        <v/>
      </c>
      <c r="X43" s="132" t="str">
        <f>IF(COUNTIF(LETV!$A:$A, $C43), X$1, "")</f>
        <v/>
      </c>
      <c r="Y43" s="132" t="str">
        <f>IF(COUNTIF('Film&amp;Firm-A'!$A:$A, $C43), Y$1, "")</f>
        <v>Film &amp; the Firm: Visual Culture in Business Contexts (A)</v>
      </c>
      <c r="Z43" s="132" t="str">
        <f>IF(COUNTIF('Film&amp;Firm-B'!$A:$A, $C43), Z$1, "")</f>
        <v/>
      </c>
      <c r="AA43" s="132" t="str">
        <f>IF(COUNTIF(SHRM!$A:$A, $C43), AA$1, "")</f>
        <v>Strategic HRM</v>
      </c>
      <c r="AB43" s="132" t="str">
        <f>IF(COUNTIF('SCM-A'!$A:$A, $C43), AB$1, "")</f>
        <v/>
      </c>
      <c r="AC43" s="132" t="str">
        <f>IF(COUNTIF('SCM-B'!$A:$A, $C43), AC$1, "")</f>
        <v/>
      </c>
      <c r="AD43" s="132" t="str">
        <f>IF(COUNTIF(AIS!$A:$A, $C43), AD$1, "")</f>
        <v/>
      </c>
      <c r="AE43" s="132" t="str">
        <f>IF(COUNTIF(EB!$A:$A, $C43), AE$1, "")</f>
        <v/>
      </c>
      <c r="AF43" s="132" t="str">
        <f>IF(COUNTIF('AIAM-A'!$A:$A, $C43), AF$1, "")</f>
        <v/>
      </c>
      <c r="AG43" s="132" t="str">
        <f>IF(COUNTIF('AIAM-B'!$A:$A, $C43), AG$1, "")</f>
        <v/>
      </c>
      <c r="AH43" s="132" t="str">
        <f>IF(COUNTIF('SA-A'!$A:$A, $C43), AH$1, "")</f>
        <v/>
      </c>
      <c r="AI43" s="132" t="str">
        <f>IF(COUNTIF('SA-B'!$A:$A, $C43), AI$1, "")</f>
        <v/>
      </c>
      <c r="AJ43" s="132" t="str">
        <f>IF(COUNTIF(CSM!$A:$A, $C43), AJ$1, "")</f>
        <v/>
      </c>
      <c r="AK43" s="132" t="str">
        <f>IF(COUNTIF(EM!$A:$A, $C43), AK$1, "")</f>
        <v/>
      </c>
      <c r="AL43" s="132" t="str">
        <f>IF(COUNTIF(I4TS!$A:$A, $C43), AL$1, "")</f>
        <v/>
      </c>
    </row>
    <row r="44" spans="1:38" ht="13">
      <c r="A44" s="131">
        <v>43</v>
      </c>
      <c r="B44" s="131" t="s">
        <v>371</v>
      </c>
      <c r="C44" s="131" t="s">
        <v>249</v>
      </c>
      <c r="D44" s="106" t="s">
        <v>496</v>
      </c>
      <c r="E44" s="106" t="s">
        <v>497</v>
      </c>
      <c r="F44" s="131">
        <f t="shared" ca="1" si="0"/>
        <v>5</v>
      </c>
      <c r="G44" s="106" t="str">
        <f ca="1">IFERROR(__xludf.DUMMYFUNCTION("INDEX(FILTER($P44:$AL44, $P44:$AL44 &lt;&gt; """"), 1)"),"Employer Branding")</f>
        <v>Employer Branding</v>
      </c>
      <c r="H44" s="106" t="str">
        <f ca="1">IFERROR(__xludf.DUMMYFUNCTION("INDEX(FILTER($P44:$AL44, $P44:$AL44 &lt;&gt; """"), 2)"),"SPORTS ANALYTICS (B)")</f>
        <v>SPORTS ANALYTICS (B)</v>
      </c>
      <c r="I44" s="106" t="str">
        <f ca="1">IFERROR(__xludf.DUMMYFUNCTION("INDEX(FILTER($P44:$AL44, $P44:$AL44 &lt;&gt; """"), 3)"),"Customer Success Management")</f>
        <v>Customer Success Management</v>
      </c>
      <c r="J44" s="106" t="str">
        <f ca="1">IFERROR(__xludf.DUMMYFUNCTION("IFERROR(INDEX(FILTER($P44:$AL44, $P44:$AL44 &lt;&gt; """"), 4),)"),"")</f>
        <v/>
      </c>
      <c r="K44" s="106" t="str">
        <f ca="1">IFERROR(__xludf.DUMMYFUNCTION("IFERROR(INDEX(FILTER($P44:$AL44, $P44:$AL44 &lt;&gt; """"), 5),)"),"")</f>
        <v/>
      </c>
      <c r="L44" s="107"/>
      <c r="M44" s="107"/>
      <c r="N44" s="107"/>
      <c r="O44" s="107"/>
      <c r="P44" s="132" t="str">
        <f>IF(COUNTIF('Fintech-A'!$A:$A, $C44), P$1, "")</f>
        <v/>
      </c>
      <c r="Q44" s="132" t="str">
        <f>IF(COUNTIF('Fintech-B'!$A:$A, $C44), Q$1, "")</f>
        <v/>
      </c>
      <c r="R44" s="132" t="str">
        <f>IF(COUNTIF('BEDM-A'!$A:$A, $C44), R$1, "")</f>
        <v/>
      </c>
      <c r="S44" s="132" t="str">
        <f>IF(COUNTIF('BEDM-B'!$A:$A, $C44), S$1, "")</f>
        <v/>
      </c>
      <c r="T44" s="132" t="str">
        <f>IF(COUNTIF('Art-A'!$A:$A, $C44), T$1, "")</f>
        <v/>
      </c>
      <c r="U44" s="132" t="str">
        <f>IF(COUNTIF('Art-B'!$A:$A, $C44), U$1, "")</f>
        <v/>
      </c>
      <c r="V44" s="132" t="str">
        <f>IF(COUNTIF('WH-A'!$A:$A, $C44), V$1, "")</f>
        <v/>
      </c>
      <c r="W44" s="132" t="str">
        <f>IF(COUNTIF('WH-B'!$A:$A, $C44), W$1, "")</f>
        <v/>
      </c>
      <c r="X44" s="132" t="str">
        <f>IF(COUNTIF(LETV!$A:$A, $C44), X$1, "")</f>
        <v/>
      </c>
      <c r="Y44" s="132" t="str">
        <f>IF(COUNTIF('Film&amp;Firm-A'!$A:$A, $C44), Y$1, "")</f>
        <v/>
      </c>
      <c r="Z44" s="132" t="str">
        <f>IF(COUNTIF('Film&amp;Firm-B'!$A:$A, $C44), Z$1, "")</f>
        <v/>
      </c>
      <c r="AA44" s="132" t="str">
        <f>IF(COUNTIF(SHRM!$A:$A, $C44), AA$1, "")</f>
        <v/>
      </c>
      <c r="AB44" s="132" t="str">
        <f>IF(COUNTIF('SCM-A'!$A:$A, $C44), AB$1, "")</f>
        <v/>
      </c>
      <c r="AC44" s="132" t="str">
        <f>IF(COUNTIF('SCM-B'!$A:$A, $C44), AC$1, "")</f>
        <v/>
      </c>
      <c r="AD44" s="132" t="str">
        <f>IF(COUNTIF(AIS!$A:$A, $C44), AD$1, "")</f>
        <v/>
      </c>
      <c r="AE44" s="132" t="str">
        <f>IF(COUNTIF(EB!$A:$A, $C44), AE$1, "")</f>
        <v>Employer Branding</v>
      </c>
      <c r="AF44" s="132" t="str">
        <f>IF(COUNTIF('AIAM-A'!$A:$A, $C44), AF$1, "")</f>
        <v/>
      </c>
      <c r="AG44" s="132" t="str">
        <f>IF(COUNTIF('AIAM-B'!$A:$A, $C44), AG$1, "")</f>
        <v/>
      </c>
      <c r="AH44" s="132" t="str">
        <f>IF(COUNTIF('SA-A'!$A:$A, $C44), AH$1, "")</f>
        <v/>
      </c>
      <c r="AI44" s="132" t="str">
        <f>IF(COUNTIF('SA-B'!$A:$A, $C44), AI$1, "")</f>
        <v>SPORTS ANALYTICS (B)</v>
      </c>
      <c r="AJ44" s="132" t="str">
        <f>IF(COUNTIF(CSM!$A:$A, $C44), AJ$1, "")</f>
        <v>Customer Success Management</v>
      </c>
      <c r="AK44" s="132" t="str">
        <f>IF(COUNTIF(EM!$A:$A, $C44), AK$1, "")</f>
        <v/>
      </c>
      <c r="AL44" s="132" t="str">
        <f>IF(COUNTIF(I4TS!$A:$A, $C44), AL$1, "")</f>
        <v/>
      </c>
    </row>
    <row r="45" spans="1:38" ht="13">
      <c r="A45" s="131">
        <v>44</v>
      </c>
      <c r="B45" s="131" t="s">
        <v>371</v>
      </c>
      <c r="C45" s="131" t="s">
        <v>498</v>
      </c>
      <c r="D45" s="106" t="s">
        <v>499</v>
      </c>
      <c r="E45" s="106" t="s">
        <v>500</v>
      </c>
      <c r="F45" s="131">
        <f t="shared" ca="1" si="0"/>
        <v>5</v>
      </c>
      <c r="G45" s="106" t="str">
        <f ca="1">IFERROR(__xludf.DUMMYFUNCTION("INDEX(FILTER($P45:$AL45, $P45:$AL45 &lt;&gt; """"), 1)"),"The Art, Craft, and Science of Management: Learning through Classics and Best Collections (B)")</f>
        <v>The Art, Craft, and Science of Management: Learning through Classics and Best Collections (B)</v>
      </c>
      <c r="H45" s="106" t="str">
        <f ca="1">IFERROR(__xludf.DUMMYFUNCTION("INDEX(FILTER($P45:$AL45, $P45:$AL45 &lt;&gt; """"), 2)"),"Workplace Happiness: Science &amp; Practice (B)")</f>
        <v>Workplace Happiness: Science &amp; Practice (B)</v>
      </c>
      <c r="I45" s="106" t="str">
        <f ca="1">IFERROR(__xludf.DUMMYFUNCTION("INDEX(FILTER($P45:$AL45, $P45:$AL45 &lt;&gt; """"), 3)"),"Strategic Career Management (B)")</f>
        <v>Strategic Career Management (B)</v>
      </c>
      <c r="J45" s="106" t="str">
        <f ca="1">IFERROR(__xludf.DUMMYFUNCTION("IFERROR(INDEX(FILTER($P45:$AL45, $P45:$AL45 &lt;&gt; """"), 4),)"),"")</f>
        <v/>
      </c>
      <c r="K45" s="106" t="str">
        <f ca="1">IFERROR(__xludf.DUMMYFUNCTION("IFERROR(INDEX(FILTER($P45:$AL45, $P45:$AL45 &lt;&gt; """"), 5),)"),"")</f>
        <v/>
      </c>
      <c r="L45" s="107"/>
      <c r="M45" s="107"/>
      <c r="N45" s="107"/>
      <c r="O45" s="107"/>
      <c r="P45" s="132" t="str">
        <f>IF(COUNTIF('Fintech-A'!$A:$A, $C45), P$1, "")</f>
        <v/>
      </c>
      <c r="Q45" s="132" t="str">
        <f>IF(COUNTIF('Fintech-B'!$A:$A, $C45), Q$1, "")</f>
        <v/>
      </c>
      <c r="R45" s="132" t="str">
        <f>IF(COUNTIF('BEDM-A'!$A:$A, $C45), R$1, "")</f>
        <v/>
      </c>
      <c r="S45" s="132" t="str">
        <f>IF(COUNTIF('BEDM-B'!$A:$A, $C45), S$1, "")</f>
        <v/>
      </c>
      <c r="T45" s="132" t="str">
        <f>IF(COUNTIF('Art-A'!$A:$A, $C45), T$1, "")</f>
        <v/>
      </c>
      <c r="U45" s="132" t="str">
        <f>IF(COUNTIF('Art-B'!$A:$A, $C45), U$1, "")</f>
        <v>The Art, Craft, and Science of Management: Learning through Classics and Best Collections (B)</v>
      </c>
      <c r="V45" s="132" t="str">
        <f>IF(COUNTIF('WH-A'!$A:$A, $C45), V$1, "")</f>
        <v/>
      </c>
      <c r="W45" s="132" t="str">
        <f>IF(COUNTIF('WH-B'!$A:$A, $C45), W$1, "")</f>
        <v>Workplace Happiness: Science &amp; Practice (B)</v>
      </c>
      <c r="X45" s="132" t="str">
        <f>IF(COUNTIF(LETV!$A:$A, $C45), X$1, "")</f>
        <v/>
      </c>
      <c r="Y45" s="132" t="str">
        <f>IF(COUNTIF('Film&amp;Firm-A'!$A:$A, $C45), Y$1, "")</f>
        <v/>
      </c>
      <c r="Z45" s="132" t="str">
        <f>IF(COUNTIF('Film&amp;Firm-B'!$A:$A, $C45), Z$1, "")</f>
        <v/>
      </c>
      <c r="AA45" s="132" t="str">
        <f>IF(COUNTIF(SHRM!$A:$A, $C45), AA$1, "")</f>
        <v/>
      </c>
      <c r="AB45" s="132" t="str">
        <f>IF(COUNTIF('SCM-A'!$A:$A, $C45), AB$1, "")</f>
        <v/>
      </c>
      <c r="AC45" s="132" t="str">
        <f>IF(COUNTIF('SCM-B'!$A:$A, $C45), AC$1, "")</f>
        <v>Strategic Career Management (B)</v>
      </c>
      <c r="AD45" s="132" t="str">
        <f>IF(COUNTIF(AIS!$A:$A, $C45), AD$1, "")</f>
        <v/>
      </c>
      <c r="AE45" s="132" t="str">
        <f>IF(COUNTIF(EB!$A:$A, $C45), AE$1, "")</f>
        <v/>
      </c>
      <c r="AF45" s="132" t="str">
        <f>IF(COUNTIF('AIAM-A'!$A:$A, $C45), AF$1, "")</f>
        <v/>
      </c>
      <c r="AG45" s="132" t="str">
        <f>IF(COUNTIF('AIAM-B'!$A:$A, $C45), AG$1, "")</f>
        <v/>
      </c>
      <c r="AH45" s="132" t="str">
        <f>IF(COUNTIF('SA-A'!$A:$A, $C45), AH$1, "")</f>
        <v/>
      </c>
      <c r="AI45" s="132" t="str">
        <f>IF(COUNTIF('SA-B'!$A:$A, $C45), AI$1, "")</f>
        <v/>
      </c>
      <c r="AJ45" s="132" t="str">
        <f>IF(COUNTIF(CSM!$A:$A, $C45), AJ$1, "")</f>
        <v/>
      </c>
      <c r="AK45" s="132" t="str">
        <f>IF(COUNTIF(EM!$A:$A, $C45), AK$1, "")</f>
        <v/>
      </c>
      <c r="AL45" s="132" t="str">
        <f>IF(COUNTIF(I4TS!$A:$A, $C45), AL$1, "")</f>
        <v/>
      </c>
    </row>
    <row r="46" spans="1:38" ht="13">
      <c r="A46" s="131">
        <v>45</v>
      </c>
      <c r="B46" s="131" t="s">
        <v>371</v>
      </c>
      <c r="C46" s="131" t="s">
        <v>251</v>
      </c>
      <c r="D46" s="106" t="s">
        <v>501</v>
      </c>
      <c r="E46" s="106" t="s">
        <v>502</v>
      </c>
      <c r="F46" s="131">
        <f t="shared" ca="1" si="0"/>
        <v>5</v>
      </c>
      <c r="G46" s="106" t="str">
        <f ca="1">IFERROR(__xludf.DUMMYFUNCTION("INDEX(FILTER($P46:$AL46, $P46:$AL46 &lt;&gt; """"), 1)"),"Strategic Career Management (A)")</f>
        <v>Strategic Career Management (A)</v>
      </c>
      <c r="H46" s="106" t="str">
        <f ca="1">IFERROR(__xludf.DUMMYFUNCTION("INDEX(FILTER($P46:$AL46, $P46:$AL46 &lt;&gt; """"), 2)"),"AI AND  STRATEGY")</f>
        <v>AI AND  STRATEGY</v>
      </c>
      <c r="I46" s="106" t="str">
        <f ca="1">IFERROR(__xludf.DUMMYFUNCTION("INDEX(FILTER($P46:$AL46, $P46:$AL46 &lt;&gt; """"), 3)"),"Entrepreneurial Marketing")</f>
        <v>Entrepreneurial Marketing</v>
      </c>
      <c r="J46" s="106" t="str">
        <f ca="1">IFERROR(__xludf.DUMMYFUNCTION("IFERROR(INDEX(FILTER($P46:$AL46, $P46:$AL46 &lt;&gt; """"), 4),)"),"")</f>
        <v/>
      </c>
      <c r="K46" s="106" t="str">
        <f ca="1">IFERROR(__xludf.DUMMYFUNCTION("IFERROR(INDEX(FILTER($P46:$AL46, $P46:$AL46 &lt;&gt; """"), 5),)"),"")</f>
        <v/>
      </c>
      <c r="L46" s="107"/>
      <c r="M46" s="107"/>
      <c r="N46" s="107"/>
      <c r="O46" s="107"/>
      <c r="P46" s="132" t="str">
        <f>IF(COUNTIF('Fintech-A'!$A:$A, $C46), P$1, "")</f>
        <v/>
      </c>
      <c r="Q46" s="132" t="str">
        <f>IF(COUNTIF('Fintech-B'!$A:$A, $C46), Q$1, "")</f>
        <v/>
      </c>
      <c r="R46" s="132" t="str">
        <f>IF(COUNTIF('BEDM-A'!$A:$A, $C46), R$1, "")</f>
        <v/>
      </c>
      <c r="S46" s="132" t="str">
        <f>IF(COUNTIF('BEDM-B'!$A:$A, $C46), S$1, "")</f>
        <v/>
      </c>
      <c r="T46" s="132" t="str">
        <f>IF(COUNTIF('Art-A'!$A:$A, $C46), T$1, "")</f>
        <v/>
      </c>
      <c r="U46" s="132" t="str">
        <f>IF(COUNTIF('Art-B'!$A:$A, $C46), U$1, "")</f>
        <v/>
      </c>
      <c r="V46" s="132" t="str">
        <f>IF(COUNTIF('WH-A'!$A:$A, $C46), V$1, "")</f>
        <v/>
      </c>
      <c r="W46" s="132" t="str">
        <f>IF(COUNTIF('WH-B'!$A:$A, $C46), W$1, "")</f>
        <v/>
      </c>
      <c r="X46" s="132" t="str">
        <f>IF(COUNTIF(LETV!$A:$A, $C46), X$1, "")</f>
        <v/>
      </c>
      <c r="Y46" s="132" t="str">
        <f>IF(COUNTIF('Film&amp;Firm-A'!$A:$A, $C46), Y$1, "")</f>
        <v/>
      </c>
      <c r="Z46" s="132" t="str">
        <f>IF(COUNTIF('Film&amp;Firm-B'!$A:$A, $C46), Z$1, "")</f>
        <v/>
      </c>
      <c r="AA46" s="132" t="str">
        <f>IF(COUNTIF(SHRM!$A:$A, $C46), AA$1, "")</f>
        <v/>
      </c>
      <c r="AB46" s="132" t="str">
        <f>IF(COUNTIF('SCM-A'!$A:$A, $C46), AB$1, "")</f>
        <v>Strategic Career Management (A)</v>
      </c>
      <c r="AC46" s="132" t="str">
        <f>IF(COUNTIF('SCM-B'!$A:$A, $C46), AC$1, "")</f>
        <v/>
      </c>
      <c r="AD46" s="132" t="str">
        <f>IF(COUNTIF(AIS!$A:$A, $C46), AD$1, "")</f>
        <v>AI AND  STRATEGY</v>
      </c>
      <c r="AE46" s="132" t="str">
        <f>IF(COUNTIF(EB!$A:$A, $C46), AE$1, "")</f>
        <v/>
      </c>
      <c r="AF46" s="132" t="str">
        <f>IF(COUNTIF('AIAM-A'!$A:$A, $C46), AF$1, "")</f>
        <v/>
      </c>
      <c r="AG46" s="132" t="str">
        <f>IF(COUNTIF('AIAM-B'!$A:$A, $C46), AG$1, "")</f>
        <v/>
      </c>
      <c r="AH46" s="132" t="str">
        <f>IF(COUNTIF('SA-A'!$A:$A, $C46), AH$1, "")</f>
        <v/>
      </c>
      <c r="AI46" s="132" t="str">
        <f>IF(COUNTIF('SA-B'!$A:$A, $C46), AI$1, "")</f>
        <v/>
      </c>
      <c r="AJ46" s="132" t="str">
        <f>IF(COUNTIF(CSM!$A:$A, $C46), AJ$1, "")</f>
        <v/>
      </c>
      <c r="AK46" s="132" t="str">
        <f>IF(COUNTIF(EM!$A:$A, $C46), AK$1, "")</f>
        <v>Entrepreneurial Marketing</v>
      </c>
      <c r="AL46" s="132" t="str">
        <f>IF(COUNTIF(I4TS!$A:$A, $C46), AL$1, "")</f>
        <v/>
      </c>
    </row>
    <row r="47" spans="1:38" ht="13">
      <c r="A47" s="131">
        <v>46</v>
      </c>
      <c r="B47" s="131" t="s">
        <v>371</v>
      </c>
      <c r="C47" s="131" t="s">
        <v>503</v>
      </c>
      <c r="D47" s="106" t="s">
        <v>504</v>
      </c>
      <c r="E47" s="106" t="s">
        <v>505</v>
      </c>
      <c r="F47" s="131">
        <f t="shared" ca="1" si="0"/>
        <v>5</v>
      </c>
      <c r="G47" s="106" t="str">
        <f ca="1">IFERROR(__xludf.DUMMYFUNCTION("INDEX(FILTER($P47:$AL47, $P47:$AL47 &lt;&gt; """"), 1)"),"Workplace Happiness: Science &amp; Practice (A)")</f>
        <v>Workplace Happiness: Science &amp; Practice (A)</v>
      </c>
      <c r="H47" s="106" t="str">
        <f ca="1">IFERROR(__xludf.DUMMYFUNCTION("INDEX(FILTER($P47:$AL47, $P47:$AL47 &lt;&gt; """"), 2)"),"Film &amp; the Firm: Visual Culture in Business Contexts (B)")</f>
        <v>Film &amp; the Firm: Visual Culture in Business Contexts (B)</v>
      </c>
      <c r="I47" s="106" t="str">
        <f ca="1">IFERROR(__xludf.DUMMYFUNCTION("INDEX(FILTER($P47:$AL47, $P47:$AL47 &lt;&gt; """"), 3)"),"Strategic Career Management (A)")</f>
        <v>Strategic Career Management (A)</v>
      </c>
      <c r="J47" s="106" t="str">
        <f ca="1">IFERROR(__xludf.DUMMYFUNCTION("IFERROR(INDEX(FILTER($P47:$AL47, $P47:$AL47 &lt;&gt; """"), 4),)"),"")</f>
        <v/>
      </c>
      <c r="K47" s="106" t="str">
        <f ca="1">IFERROR(__xludf.DUMMYFUNCTION("IFERROR(INDEX(FILTER($P47:$AL47, $P47:$AL47 &lt;&gt; """"), 5),)"),"")</f>
        <v/>
      </c>
      <c r="L47" s="107"/>
      <c r="M47" s="107"/>
      <c r="N47" s="107"/>
      <c r="O47" s="107"/>
      <c r="P47" s="132" t="str">
        <f>IF(COUNTIF('Fintech-A'!$A:$A, $C47), P$1, "")</f>
        <v/>
      </c>
      <c r="Q47" s="132" t="str">
        <f>IF(COUNTIF('Fintech-B'!$A:$A, $C47), Q$1, "")</f>
        <v/>
      </c>
      <c r="R47" s="132" t="str">
        <f>IF(COUNTIF('BEDM-A'!$A:$A, $C47), R$1, "")</f>
        <v/>
      </c>
      <c r="S47" s="132" t="str">
        <f>IF(COUNTIF('BEDM-B'!$A:$A, $C47), S$1, "")</f>
        <v/>
      </c>
      <c r="T47" s="132" t="str">
        <f>IF(COUNTIF('Art-A'!$A:$A, $C47), T$1, "")</f>
        <v/>
      </c>
      <c r="U47" s="132" t="str">
        <f>IF(COUNTIF('Art-B'!$A:$A, $C47), U$1, "")</f>
        <v/>
      </c>
      <c r="V47" s="132" t="str">
        <f>IF(COUNTIF('WH-A'!$A:$A, $C47), V$1, "")</f>
        <v>Workplace Happiness: Science &amp; Practice (A)</v>
      </c>
      <c r="W47" s="132" t="str">
        <f>IF(COUNTIF('WH-B'!$A:$A, $C47), W$1, "")</f>
        <v/>
      </c>
      <c r="X47" s="132" t="str">
        <f>IF(COUNTIF(LETV!$A:$A, $C47), X$1, "")</f>
        <v/>
      </c>
      <c r="Y47" s="132" t="str">
        <f>IF(COUNTIF('Film&amp;Firm-A'!$A:$A, $C47), Y$1, "")</f>
        <v/>
      </c>
      <c r="Z47" s="132" t="str">
        <f>IF(COUNTIF('Film&amp;Firm-B'!$A:$A, $C47), Z$1, "")</f>
        <v>Film &amp; the Firm: Visual Culture in Business Contexts (B)</v>
      </c>
      <c r="AA47" s="132" t="str">
        <f>IF(COUNTIF(SHRM!$A:$A, $C47), AA$1, "")</f>
        <v/>
      </c>
      <c r="AB47" s="132" t="str">
        <f>IF(COUNTIF('SCM-A'!$A:$A, $C47), AB$1, "")</f>
        <v>Strategic Career Management (A)</v>
      </c>
      <c r="AC47" s="132" t="str">
        <f>IF(COUNTIF('SCM-B'!$A:$A, $C47), AC$1, "")</f>
        <v/>
      </c>
      <c r="AD47" s="132" t="str">
        <f>IF(COUNTIF(AIS!$A:$A, $C47), AD$1, "")</f>
        <v/>
      </c>
      <c r="AE47" s="132" t="str">
        <f>IF(COUNTIF(EB!$A:$A, $C47), AE$1, "")</f>
        <v/>
      </c>
      <c r="AF47" s="132" t="str">
        <f>IF(COUNTIF('AIAM-A'!$A:$A, $C47), AF$1, "")</f>
        <v/>
      </c>
      <c r="AG47" s="132" t="str">
        <f>IF(COUNTIF('AIAM-B'!$A:$A, $C47), AG$1, "")</f>
        <v/>
      </c>
      <c r="AH47" s="132" t="str">
        <f>IF(COUNTIF('SA-A'!$A:$A, $C47), AH$1, "")</f>
        <v/>
      </c>
      <c r="AI47" s="132" t="str">
        <f>IF(COUNTIF('SA-B'!$A:$A, $C47), AI$1, "")</f>
        <v/>
      </c>
      <c r="AJ47" s="132" t="str">
        <f>IF(COUNTIF(CSM!$A:$A, $C47), AJ$1, "")</f>
        <v/>
      </c>
      <c r="AK47" s="132" t="str">
        <f>IF(COUNTIF(EM!$A:$A, $C47), AK$1, "")</f>
        <v/>
      </c>
      <c r="AL47" s="132" t="str">
        <f>IF(COUNTIF(I4TS!$A:$A, $C47), AL$1, "")</f>
        <v/>
      </c>
    </row>
    <row r="48" spans="1:38" ht="13">
      <c r="A48" s="131">
        <v>47</v>
      </c>
      <c r="B48" s="131" t="s">
        <v>371</v>
      </c>
      <c r="C48" s="131" t="s">
        <v>506</v>
      </c>
      <c r="D48" s="106" t="s">
        <v>507</v>
      </c>
      <c r="E48" s="106" t="s">
        <v>508</v>
      </c>
      <c r="F48" s="131">
        <f t="shared" ca="1" si="0"/>
        <v>5</v>
      </c>
      <c r="G48" s="106" t="str">
        <f ca="1">IFERROR(__xludf.DUMMYFUNCTION("INDEX(FILTER($P48:$AL48, $P48:$AL48 &lt;&gt; """"), 1)"),"Fintech (Digital Transformation in Finance) (B)")</f>
        <v>Fintech (Digital Transformation in Finance) (B)</v>
      </c>
      <c r="H48" s="106" t="str">
        <f ca="1">IFERROR(__xludf.DUMMYFUNCTION("INDEX(FILTER($P48:$AL48, $P48:$AL48 &lt;&gt; """"), 2)"),"AI Applications in Marketing (B)")</f>
        <v>AI Applications in Marketing (B)</v>
      </c>
      <c r="I48" s="106" t="str">
        <f ca="1">IFERROR(__xludf.DUMMYFUNCTION("INDEX(FILTER($P48:$AL48, $P48:$AL48 &lt;&gt; """"), 3)"),"Industry 4.0 in Transport Sector")</f>
        <v>Industry 4.0 in Transport Sector</v>
      </c>
      <c r="J48" s="106" t="str">
        <f ca="1">IFERROR(__xludf.DUMMYFUNCTION("IFERROR(INDEX(FILTER($P48:$AL48, $P48:$AL48 &lt;&gt; """"), 4),)"),"")</f>
        <v/>
      </c>
      <c r="K48" s="106" t="str">
        <f ca="1">IFERROR(__xludf.DUMMYFUNCTION("IFERROR(INDEX(FILTER($P48:$AL48, $P48:$AL48 &lt;&gt; """"), 5),)"),"")</f>
        <v/>
      </c>
      <c r="L48" s="107"/>
      <c r="M48" s="107"/>
      <c r="N48" s="107"/>
      <c r="O48" s="107"/>
      <c r="P48" s="132" t="str">
        <f>IF(COUNTIF('Fintech-A'!$A:$A, $C48), P$1, "")</f>
        <v/>
      </c>
      <c r="Q48" s="132" t="str">
        <f>IF(COUNTIF('Fintech-B'!$A:$A, $C48), Q$1, "")</f>
        <v>Fintech (Digital Transformation in Finance) (B)</v>
      </c>
      <c r="R48" s="132" t="str">
        <f>IF(COUNTIF('BEDM-A'!$A:$A, $C48), R$1, "")</f>
        <v/>
      </c>
      <c r="S48" s="132" t="str">
        <f>IF(COUNTIF('BEDM-B'!$A:$A, $C48), S$1, "")</f>
        <v/>
      </c>
      <c r="T48" s="132" t="str">
        <f>IF(COUNTIF('Art-A'!$A:$A, $C48), T$1, "")</f>
        <v/>
      </c>
      <c r="U48" s="132" t="str">
        <f>IF(COUNTIF('Art-B'!$A:$A, $C48), U$1, "")</f>
        <v/>
      </c>
      <c r="V48" s="132" t="str">
        <f>IF(COUNTIF('WH-A'!$A:$A, $C48), V$1, "")</f>
        <v/>
      </c>
      <c r="W48" s="132" t="str">
        <f>IF(COUNTIF('WH-B'!$A:$A, $C48), W$1, "")</f>
        <v/>
      </c>
      <c r="X48" s="132" t="str">
        <f>IF(COUNTIF(LETV!$A:$A, $C48), X$1, "")</f>
        <v/>
      </c>
      <c r="Y48" s="132" t="str">
        <f>IF(COUNTIF('Film&amp;Firm-A'!$A:$A, $C48), Y$1, "")</f>
        <v/>
      </c>
      <c r="Z48" s="132" t="str">
        <f>IF(COUNTIF('Film&amp;Firm-B'!$A:$A, $C48), Z$1, "")</f>
        <v/>
      </c>
      <c r="AA48" s="132" t="str">
        <f>IF(COUNTIF(SHRM!$A:$A, $C48), AA$1, "")</f>
        <v/>
      </c>
      <c r="AB48" s="132" t="str">
        <f>IF(COUNTIF('SCM-A'!$A:$A, $C48), AB$1, "")</f>
        <v/>
      </c>
      <c r="AC48" s="132" t="str">
        <f>IF(COUNTIF('SCM-B'!$A:$A, $C48), AC$1, "")</f>
        <v/>
      </c>
      <c r="AD48" s="132" t="str">
        <f>IF(COUNTIF(AIS!$A:$A, $C48), AD$1, "")</f>
        <v/>
      </c>
      <c r="AE48" s="132" t="str">
        <f>IF(COUNTIF(EB!$A:$A, $C48), AE$1, "")</f>
        <v/>
      </c>
      <c r="AF48" s="132" t="str">
        <f>IF(COUNTIF('AIAM-A'!$A:$A, $C48), AF$1, "")</f>
        <v/>
      </c>
      <c r="AG48" s="132" t="str">
        <f>IF(COUNTIF('AIAM-B'!$A:$A, $C48), AG$1, "")</f>
        <v>AI Applications in Marketing (B)</v>
      </c>
      <c r="AH48" s="132" t="str">
        <f>IF(COUNTIF('SA-A'!$A:$A, $C48), AH$1, "")</f>
        <v/>
      </c>
      <c r="AI48" s="132" t="str">
        <f>IF(COUNTIF('SA-B'!$A:$A, $C48), AI$1, "")</f>
        <v/>
      </c>
      <c r="AJ48" s="132" t="str">
        <f>IF(COUNTIF(CSM!$A:$A, $C48), AJ$1, "")</f>
        <v/>
      </c>
      <c r="AK48" s="132" t="str">
        <f>IF(COUNTIF(EM!$A:$A, $C48), AK$1, "")</f>
        <v/>
      </c>
      <c r="AL48" s="132" t="str">
        <f>IF(COUNTIF(I4TS!$A:$A, $C48), AL$1, "")</f>
        <v>Industry 4.0 in Transport Sector</v>
      </c>
    </row>
    <row r="49" spans="1:38" ht="13">
      <c r="A49" s="131">
        <v>48</v>
      </c>
      <c r="B49" s="131" t="s">
        <v>371</v>
      </c>
      <c r="C49" s="131" t="s">
        <v>509</v>
      </c>
      <c r="D49" s="106" t="s">
        <v>510</v>
      </c>
      <c r="E49" s="106" t="s">
        <v>511</v>
      </c>
      <c r="F49" s="131">
        <f t="shared" ca="1" si="0"/>
        <v>5</v>
      </c>
      <c r="G49" s="106" t="str">
        <f ca="1">IFERROR(__xludf.DUMMYFUNCTION("INDEX(FILTER($P49:$AL49, $P49:$AL49 &lt;&gt; """"), 1)"),"Fintech (Digital Transformation in Finance) (B)")</f>
        <v>Fintech (Digital Transformation in Finance) (B)</v>
      </c>
      <c r="H49" s="106" t="str">
        <f ca="1">IFERROR(__xludf.DUMMYFUNCTION("INDEX(FILTER($P49:$AL49, $P49:$AL49 &lt;&gt; """"), 2)"),"Behavioural Economics and Decision-Making (B)")</f>
        <v>Behavioural Economics and Decision-Making (B)</v>
      </c>
      <c r="I49" s="106" t="str">
        <f ca="1">IFERROR(__xludf.DUMMYFUNCTION("INDEX(FILTER($P49:$AL49, $P49:$AL49 &lt;&gt; """"), 3)"),"AI Applications in Marketing (A)")</f>
        <v>AI Applications in Marketing (A)</v>
      </c>
      <c r="J49" s="106" t="str">
        <f ca="1">IFERROR(__xludf.DUMMYFUNCTION("IFERROR(INDEX(FILTER($P49:$AL49, $P49:$AL49 &lt;&gt; """"), 4),)"),"")</f>
        <v/>
      </c>
      <c r="K49" s="106" t="str">
        <f ca="1">IFERROR(__xludf.DUMMYFUNCTION("IFERROR(INDEX(FILTER($P49:$AL49, $P49:$AL49 &lt;&gt; """"), 5),)"),"")</f>
        <v/>
      </c>
      <c r="L49" s="107"/>
      <c r="M49" s="107"/>
      <c r="N49" s="107"/>
      <c r="O49" s="107"/>
      <c r="P49" s="132" t="str">
        <f>IF(COUNTIF('Fintech-A'!$A:$A, $C49), P$1, "")</f>
        <v/>
      </c>
      <c r="Q49" s="132" t="str">
        <f>IF(COUNTIF('Fintech-B'!$A:$A, $C49), Q$1, "")</f>
        <v>Fintech (Digital Transformation in Finance) (B)</v>
      </c>
      <c r="R49" s="132" t="str">
        <f>IF(COUNTIF('BEDM-A'!$A:$A, $C49), R$1, "")</f>
        <v/>
      </c>
      <c r="S49" s="132" t="str">
        <f>IF(COUNTIF('BEDM-B'!$A:$A, $C49), S$1, "")</f>
        <v>Behavioural Economics and Decision-Making (B)</v>
      </c>
      <c r="T49" s="132" t="str">
        <f>IF(COUNTIF('Art-A'!$A:$A, $C49), T$1, "")</f>
        <v/>
      </c>
      <c r="U49" s="132" t="str">
        <f>IF(COUNTIF('Art-B'!$A:$A, $C49), U$1, "")</f>
        <v/>
      </c>
      <c r="V49" s="132" t="str">
        <f>IF(COUNTIF('WH-A'!$A:$A, $C49), V$1, "")</f>
        <v/>
      </c>
      <c r="W49" s="132" t="str">
        <f>IF(COUNTIF('WH-B'!$A:$A, $C49), W$1, "")</f>
        <v/>
      </c>
      <c r="X49" s="132" t="str">
        <f>IF(COUNTIF(LETV!$A:$A, $C49), X$1, "")</f>
        <v/>
      </c>
      <c r="Y49" s="132" t="str">
        <f>IF(COUNTIF('Film&amp;Firm-A'!$A:$A, $C49), Y$1, "")</f>
        <v/>
      </c>
      <c r="Z49" s="132" t="str">
        <f>IF(COUNTIF('Film&amp;Firm-B'!$A:$A, $C49), Z$1, "")</f>
        <v/>
      </c>
      <c r="AA49" s="132" t="str">
        <f>IF(COUNTIF(SHRM!$A:$A, $C49), AA$1, "")</f>
        <v/>
      </c>
      <c r="AB49" s="132" t="str">
        <f>IF(COUNTIF('SCM-A'!$A:$A, $C49), AB$1, "")</f>
        <v/>
      </c>
      <c r="AC49" s="132" t="str">
        <f>IF(COUNTIF('SCM-B'!$A:$A, $C49), AC$1, "")</f>
        <v/>
      </c>
      <c r="AD49" s="132" t="str">
        <f>IF(COUNTIF(AIS!$A:$A, $C49), AD$1, "")</f>
        <v/>
      </c>
      <c r="AE49" s="132" t="str">
        <f>IF(COUNTIF(EB!$A:$A, $C49), AE$1, "")</f>
        <v/>
      </c>
      <c r="AF49" s="132" t="str">
        <f>IF(COUNTIF('AIAM-A'!$A:$A, $C49), AF$1, "")</f>
        <v>AI Applications in Marketing (A)</v>
      </c>
      <c r="AG49" s="132" t="str">
        <f>IF(COUNTIF('AIAM-B'!$A:$A, $C49), AG$1, "")</f>
        <v/>
      </c>
      <c r="AH49" s="132" t="str">
        <f>IF(COUNTIF('SA-A'!$A:$A, $C49), AH$1, "")</f>
        <v/>
      </c>
      <c r="AI49" s="132" t="str">
        <f>IF(COUNTIF('SA-B'!$A:$A, $C49), AI$1, "")</f>
        <v/>
      </c>
      <c r="AJ49" s="132" t="str">
        <f>IF(COUNTIF(CSM!$A:$A, $C49), AJ$1, "")</f>
        <v/>
      </c>
      <c r="AK49" s="132" t="str">
        <f>IF(COUNTIF(EM!$A:$A, $C49), AK$1, "")</f>
        <v/>
      </c>
      <c r="AL49" s="132" t="str">
        <f>IF(COUNTIF(I4TS!$A:$A, $C49), AL$1, "")</f>
        <v/>
      </c>
    </row>
    <row r="50" spans="1:38" ht="13">
      <c r="A50" s="131">
        <v>49</v>
      </c>
      <c r="B50" s="131" t="s">
        <v>371</v>
      </c>
      <c r="C50" s="131" t="s">
        <v>512</v>
      </c>
      <c r="D50" s="106" t="s">
        <v>513</v>
      </c>
      <c r="E50" s="106" t="s">
        <v>514</v>
      </c>
      <c r="F50" s="131">
        <f t="shared" ca="1" si="0"/>
        <v>5</v>
      </c>
      <c r="G50" s="106" t="str">
        <f ca="1">IFERROR(__xludf.DUMMYFUNCTION("INDEX(FILTER($P50:$AL50, $P50:$AL50 &lt;&gt; """"), 1)"),"Film &amp; the Firm: Visual Culture in Business Contexts (B)")</f>
        <v>Film &amp; the Firm: Visual Culture in Business Contexts (B)</v>
      </c>
      <c r="H50" s="106" t="str">
        <f ca="1">IFERROR(__xludf.DUMMYFUNCTION("INDEX(FILTER($P50:$AL50, $P50:$AL50 &lt;&gt; """"), 2)"),"Strategic Career Management (A)")</f>
        <v>Strategic Career Management (A)</v>
      </c>
      <c r="I50" s="106" t="str">
        <f ca="1">IFERROR(__xludf.DUMMYFUNCTION("INDEX(FILTER($P50:$AL50, $P50:$AL50 &lt;&gt; """"), 3)"),"AI Applications in Marketing (A)")</f>
        <v>AI Applications in Marketing (A)</v>
      </c>
      <c r="J50" s="106" t="str">
        <f ca="1">IFERROR(__xludf.DUMMYFUNCTION("IFERROR(INDEX(FILTER($P50:$AL50, $P50:$AL50 &lt;&gt; """"), 4),)"),"")</f>
        <v/>
      </c>
      <c r="K50" s="106" t="str">
        <f ca="1">IFERROR(__xludf.DUMMYFUNCTION("IFERROR(INDEX(FILTER($P50:$AL50, $P50:$AL50 &lt;&gt; """"), 5),)"),"")</f>
        <v/>
      </c>
      <c r="L50" s="107"/>
      <c r="M50" s="107"/>
      <c r="N50" s="107"/>
      <c r="O50" s="107"/>
      <c r="P50" s="132" t="str">
        <f>IF(COUNTIF('Fintech-A'!$A:$A, $C50), P$1, "")</f>
        <v/>
      </c>
      <c r="Q50" s="132" t="str">
        <f>IF(COUNTIF('Fintech-B'!$A:$A, $C50), Q$1, "")</f>
        <v/>
      </c>
      <c r="R50" s="132" t="str">
        <f>IF(COUNTIF('BEDM-A'!$A:$A, $C50), R$1, "")</f>
        <v/>
      </c>
      <c r="S50" s="132" t="str">
        <f>IF(COUNTIF('BEDM-B'!$A:$A, $C50), S$1, "")</f>
        <v/>
      </c>
      <c r="T50" s="132" t="str">
        <f>IF(COUNTIF('Art-A'!$A:$A, $C50), T$1, "")</f>
        <v/>
      </c>
      <c r="U50" s="132" t="str">
        <f>IF(COUNTIF('Art-B'!$A:$A, $C50), U$1, "")</f>
        <v/>
      </c>
      <c r="V50" s="132" t="str">
        <f>IF(COUNTIF('WH-A'!$A:$A, $C50), V$1, "")</f>
        <v/>
      </c>
      <c r="W50" s="132" t="str">
        <f>IF(COUNTIF('WH-B'!$A:$A, $C50), W$1, "")</f>
        <v/>
      </c>
      <c r="X50" s="132" t="str">
        <f>IF(COUNTIF(LETV!$A:$A, $C50), X$1, "")</f>
        <v/>
      </c>
      <c r="Y50" s="132" t="str">
        <f>IF(COUNTIF('Film&amp;Firm-A'!$A:$A, $C50), Y$1, "")</f>
        <v/>
      </c>
      <c r="Z50" s="132" t="str">
        <f>IF(COUNTIF('Film&amp;Firm-B'!$A:$A, $C50), Z$1, "")</f>
        <v>Film &amp; the Firm: Visual Culture in Business Contexts (B)</v>
      </c>
      <c r="AA50" s="132" t="str">
        <f>IF(COUNTIF(SHRM!$A:$A, $C50), AA$1, "")</f>
        <v/>
      </c>
      <c r="AB50" s="132" t="str">
        <f>IF(COUNTIF('SCM-A'!$A:$A, $C50), AB$1, "")</f>
        <v>Strategic Career Management (A)</v>
      </c>
      <c r="AC50" s="132" t="str">
        <f>IF(COUNTIF('SCM-B'!$A:$A, $C50), AC$1, "")</f>
        <v/>
      </c>
      <c r="AD50" s="132" t="str">
        <f>IF(COUNTIF(AIS!$A:$A, $C50), AD$1, "")</f>
        <v/>
      </c>
      <c r="AE50" s="132" t="str">
        <f>IF(COUNTIF(EB!$A:$A, $C50), AE$1, "")</f>
        <v/>
      </c>
      <c r="AF50" s="132" t="str">
        <f>IF(COUNTIF('AIAM-A'!$A:$A, $C50), AF$1, "")</f>
        <v>AI Applications in Marketing (A)</v>
      </c>
      <c r="AG50" s="132" t="str">
        <f>IF(COUNTIF('AIAM-B'!$A:$A, $C50), AG$1, "")</f>
        <v/>
      </c>
      <c r="AH50" s="132" t="str">
        <f>IF(COUNTIF('SA-A'!$A:$A, $C50), AH$1, "")</f>
        <v/>
      </c>
      <c r="AI50" s="132" t="str">
        <f>IF(COUNTIF('SA-B'!$A:$A, $C50), AI$1, "")</f>
        <v/>
      </c>
      <c r="AJ50" s="132" t="str">
        <f>IF(COUNTIF(CSM!$A:$A, $C50), AJ$1, "")</f>
        <v/>
      </c>
      <c r="AK50" s="132" t="str">
        <f>IF(COUNTIF(EM!$A:$A, $C50), AK$1, "")</f>
        <v/>
      </c>
      <c r="AL50" s="132" t="str">
        <f>IF(COUNTIF(I4TS!$A:$A, $C50), AL$1, "")</f>
        <v/>
      </c>
    </row>
    <row r="51" spans="1:38" ht="13">
      <c r="A51" s="131">
        <v>50</v>
      </c>
      <c r="B51" s="131" t="s">
        <v>371</v>
      </c>
      <c r="C51" s="131" t="s">
        <v>515</v>
      </c>
      <c r="D51" s="106" t="s">
        <v>516</v>
      </c>
      <c r="E51" s="106" t="s">
        <v>517</v>
      </c>
      <c r="F51" s="131">
        <f t="shared" ca="1" si="0"/>
        <v>5</v>
      </c>
      <c r="G51" s="106" t="str">
        <f ca="1">IFERROR(__xludf.DUMMYFUNCTION("INDEX(FILTER($P51:$AL51, $P51:$AL51 &lt;&gt; """"), 1)"),"The Art, Craft, and Science of Management: Learning through Classics and Best Collections (B)")</f>
        <v>The Art, Craft, and Science of Management: Learning through Classics and Best Collections (B)</v>
      </c>
      <c r="H51" s="106" t="str">
        <f ca="1">IFERROR(__xludf.DUMMYFUNCTION("INDEX(FILTER($P51:$AL51, $P51:$AL51 &lt;&gt; """"), 2)"),"Workplace Happiness: Science &amp; Practice (A)")</f>
        <v>Workplace Happiness: Science &amp; Practice (A)</v>
      </c>
      <c r="I51" s="106" t="str">
        <f ca="1">IFERROR(__xludf.DUMMYFUNCTION("INDEX(FILTER($P51:$AL51, $P51:$AL51 &lt;&gt; """"), 3)"),"Film &amp; the Firm: Visual Culture in Business Contexts (A)")</f>
        <v>Film &amp; the Firm: Visual Culture in Business Contexts (A)</v>
      </c>
      <c r="J51" s="106" t="str">
        <f ca="1">IFERROR(__xludf.DUMMYFUNCTION("IFERROR(INDEX(FILTER($P51:$AL51, $P51:$AL51 &lt;&gt; """"), 4),)"),"")</f>
        <v/>
      </c>
      <c r="K51" s="106" t="str">
        <f ca="1">IFERROR(__xludf.DUMMYFUNCTION("IFERROR(INDEX(FILTER($P51:$AL51, $P51:$AL51 &lt;&gt; """"), 5),)"),"")</f>
        <v/>
      </c>
      <c r="L51" s="107"/>
      <c r="M51" s="107"/>
      <c r="N51" s="107"/>
      <c r="O51" s="107"/>
      <c r="P51" s="132" t="str">
        <f>IF(COUNTIF('Fintech-A'!$A:$A, $C51), P$1, "")</f>
        <v/>
      </c>
      <c r="Q51" s="132" t="str">
        <f>IF(COUNTIF('Fintech-B'!$A:$A, $C51), Q$1, "")</f>
        <v/>
      </c>
      <c r="R51" s="132" t="str">
        <f>IF(COUNTIF('BEDM-A'!$A:$A, $C51), R$1, "")</f>
        <v/>
      </c>
      <c r="S51" s="132" t="str">
        <f>IF(COUNTIF('BEDM-B'!$A:$A, $C51), S$1, "")</f>
        <v/>
      </c>
      <c r="T51" s="132" t="str">
        <f>IF(COUNTIF('Art-A'!$A:$A, $C51), T$1, "")</f>
        <v/>
      </c>
      <c r="U51" s="132" t="str">
        <f>IF(COUNTIF('Art-B'!$A:$A, $C51), U$1, "")</f>
        <v>The Art, Craft, and Science of Management: Learning through Classics and Best Collections (B)</v>
      </c>
      <c r="V51" s="132" t="str">
        <f>IF(COUNTIF('WH-A'!$A:$A, $C51), V$1, "")</f>
        <v>Workplace Happiness: Science &amp; Practice (A)</v>
      </c>
      <c r="W51" s="132" t="str">
        <f>IF(COUNTIF('WH-B'!$A:$A, $C51), W$1, "")</f>
        <v/>
      </c>
      <c r="X51" s="132" t="str">
        <f>IF(COUNTIF(LETV!$A:$A, $C51), X$1, "")</f>
        <v/>
      </c>
      <c r="Y51" s="132" t="str">
        <f>IF(COUNTIF('Film&amp;Firm-A'!$A:$A, $C51), Y$1, "")</f>
        <v>Film &amp; the Firm: Visual Culture in Business Contexts (A)</v>
      </c>
      <c r="Z51" s="132" t="str">
        <f>IF(COUNTIF('Film&amp;Firm-B'!$A:$A, $C51), Z$1, "")</f>
        <v/>
      </c>
      <c r="AA51" s="132" t="str">
        <f>IF(COUNTIF(SHRM!$A:$A, $C51), AA$1, "")</f>
        <v/>
      </c>
      <c r="AB51" s="132" t="str">
        <f>IF(COUNTIF('SCM-A'!$A:$A, $C51), AB$1, "")</f>
        <v/>
      </c>
      <c r="AC51" s="132" t="str">
        <f>IF(COUNTIF('SCM-B'!$A:$A, $C51), AC$1, "")</f>
        <v/>
      </c>
      <c r="AD51" s="132" t="str">
        <f>IF(COUNTIF(AIS!$A:$A, $C51), AD$1, "")</f>
        <v/>
      </c>
      <c r="AE51" s="132" t="str">
        <f>IF(COUNTIF(EB!$A:$A, $C51), AE$1, "")</f>
        <v/>
      </c>
      <c r="AF51" s="132" t="str">
        <f>IF(COUNTIF('AIAM-A'!$A:$A, $C51), AF$1, "")</f>
        <v/>
      </c>
      <c r="AG51" s="132" t="str">
        <f>IF(COUNTIF('AIAM-B'!$A:$A, $C51), AG$1, "")</f>
        <v/>
      </c>
      <c r="AH51" s="132" t="str">
        <f>IF(COUNTIF('SA-A'!$A:$A, $C51), AH$1, "")</f>
        <v/>
      </c>
      <c r="AI51" s="132" t="str">
        <f>IF(COUNTIF('SA-B'!$A:$A, $C51), AI$1, "")</f>
        <v/>
      </c>
      <c r="AJ51" s="132" t="str">
        <f>IF(COUNTIF(CSM!$A:$A, $C51), AJ$1, "")</f>
        <v/>
      </c>
      <c r="AK51" s="132" t="str">
        <f>IF(COUNTIF(EM!$A:$A, $C51), AK$1, "")</f>
        <v/>
      </c>
      <c r="AL51" s="132" t="str">
        <f>IF(COUNTIF(I4TS!$A:$A, $C51), AL$1, "")</f>
        <v/>
      </c>
    </row>
    <row r="52" spans="1:38" ht="13">
      <c r="A52" s="131">
        <v>51</v>
      </c>
      <c r="B52" s="131" t="s">
        <v>371</v>
      </c>
      <c r="C52" s="131" t="s">
        <v>207</v>
      </c>
      <c r="D52" s="106" t="s">
        <v>518</v>
      </c>
      <c r="E52" s="106" t="s">
        <v>519</v>
      </c>
      <c r="F52" s="131">
        <f t="shared" ca="1" si="0"/>
        <v>5</v>
      </c>
      <c r="G52" s="106" t="str">
        <f ca="1">IFERROR(__xludf.DUMMYFUNCTION("INDEX(FILTER($P52:$AL52, $P52:$AL52 &lt;&gt; """"), 1)"),"Behavioural Economics and Decision-Making (A)")</f>
        <v>Behavioural Economics and Decision-Making (A)</v>
      </c>
      <c r="H52" s="106" t="str">
        <f ca="1">IFERROR(__xludf.DUMMYFUNCTION("INDEX(FILTER($P52:$AL52, $P52:$AL52 &lt;&gt; """"), 2)"),"Workplace Happiness: Science &amp; Practice (B)")</f>
        <v>Workplace Happiness: Science &amp; Practice (B)</v>
      </c>
      <c r="I52" s="106" t="str">
        <f ca="1">IFERROR(__xludf.DUMMYFUNCTION("INDEX(FILTER($P52:$AL52, $P52:$AL52 &lt;&gt; """"), 3)"),"AI Applications in Marketing (A)")</f>
        <v>AI Applications in Marketing (A)</v>
      </c>
      <c r="J52" s="106" t="str">
        <f ca="1">IFERROR(__xludf.DUMMYFUNCTION("IFERROR(INDEX(FILTER($P52:$AL52, $P52:$AL52 &lt;&gt; """"), 4),)"),"")</f>
        <v/>
      </c>
      <c r="K52" s="106" t="str">
        <f ca="1">IFERROR(__xludf.DUMMYFUNCTION("IFERROR(INDEX(FILTER($P52:$AL52, $P52:$AL52 &lt;&gt; """"), 5),)"),"")</f>
        <v/>
      </c>
      <c r="L52" s="107"/>
      <c r="M52" s="107"/>
      <c r="N52" s="107"/>
      <c r="O52" s="107"/>
      <c r="P52" s="132" t="str">
        <f>IF(COUNTIF('Fintech-A'!$A:$A, $C52), P$1, "")</f>
        <v/>
      </c>
      <c r="Q52" s="132" t="str">
        <f>IF(COUNTIF('Fintech-B'!$A:$A, $C52), Q$1, "")</f>
        <v/>
      </c>
      <c r="R52" s="132" t="str">
        <f>IF(COUNTIF('BEDM-A'!$A:$A, $C52), R$1, "")</f>
        <v>Behavioural Economics and Decision-Making (A)</v>
      </c>
      <c r="S52" s="132" t="str">
        <f>IF(COUNTIF('BEDM-B'!$A:$A, $C52), S$1, "")</f>
        <v/>
      </c>
      <c r="T52" s="132" t="str">
        <f>IF(COUNTIF('Art-A'!$A:$A, $C52), T$1, "")</f>
        <v/>
      </c>
      <c r="U52" s="132" t="str">
        <f>IF(COUNTIF('Art-B'!$A:$A, $C52), U$1, "")</f>
        <v/>
      </c>
      <c r="V52" s="132" t="str">
        <f>IF(COUNTIF('WH-A'!$A:$A, $C52), V$1, "")</f>
        <v/>
      </c>
      <c r="W52" s="132" t="str">
        <f>IF(COUNTIF('WH-B'!$A:$A, $C52), W$1, "")</f>
        <v>Workplace Happiness: Science &amp; Practice (B)</v>
      </c>
      <c r="X52" s="132" t="str">
        <f>IF(COUNTIF(LETV!$A:$A, $C52), X$1, "")</f>
        <v/>
      </c>
      <c r="Y52" s="132" t="str">
        <f>IF(COUNTIF('Film&amp;Firm-A'!$A:$A, $C52), Y$1, "")</f>
        <v/>
      </c>
      <c r="Z52" s="132" t="str">
        <f>IF(COUNTIF('Film&amp;Firm-B'!$A:$A, $C52), Z$1, "")</f>
        <v/>
      </c>
      <c r="AA52" s="132" t="str">
        <f>IF(COUNTIF(SHRM!$A:$A, $C52), AA$1, "")</f>
        <v/>
      </c>
      <c r="AB52" s="132" t="str">
        <f>IF(COUNTIF('SCM-A'!$A:$A, $C52), AB$1, "")</f>
        <v/>
      </c>
      <c r="AC52" s="132" t="str">
        <f>IF(COUNTIF('SCM-B'!$A:$A, $C52), AC$1, "")</f>
        <v/>
      </c>
      <c r="AD52" s="132" t="str">
        <f>IF(COUNTIF(AIS!$A:$A, $C52), AD$1, "")</f>
        <v/>
      </c>
      <c r="AE52" s="132" t="str">
        <f>IF(COUNTIF(EB!$A:$A, $C52), AE$1, "")</f>
        <v/>
      </c>
      <c r="AF52" s="132" t="str">
        <f>IF(COUNTIF('AIAM-A'!$A:$A, $C52), AF$1, "")</f>
        <v>AI Applications in Marketing (A)</v>
      </c>
      <c r="AG52" s="132" t="str">
        <f>IF(COUNTIF('AIAM-B'!$A:$A, $C52), AG$1, "")</f>
        <v/>
      </c>
      <c r="AH52" s="132" t="str">
        <f>IF(COUNTIF('SA-A'!$A:$A, $C52), AH$1, "")</f>
        <v/>
      </c>
      <c r="AI52" s="132" t="str">
        <f>IF(COUNTIF('SA-B'!$A:$A, $C52), AI$1, "")</f>
        <v/>
      </c>
      <c r="AJ52" s="132" t="str">
        <f>IF(COUNTIF(CSM!$A:$A, $C52), AJ$1, "")</f>
        <v/>
      </c>
      <c r="AK52" s="132" t="str">
        <f>IF(COUNTIF(EM!$A:$A, $C52), AK$1, "")</f>
        <v/>
      </c>
      <c r="AL52" s="132" t="str">
        <f>IF(COUNTIF(I4TS!$A:$A, $C52), AL$1, "")</f>
        <v/>
      </c>
    </row>
    <row r="53" spans="1:38" ht="13">
      <c r="A53" s="131">
        <v>52</v>
      </c>
      <c r="B53" s="131" t="s">
        <v>371</v>
      </c>
      <c r="C53" s="131" t="s">
        <v>520</v>
      </c>
      <c r="D53" s="106" t="s">
        <v>521</v>
      </c>
      <c r="E53" s="106" t="s">
        <v>522</v>
      </c>
      <c r="F53" s="131">
        <f t="shared" ca="1" si="0"/>
        <v>5</v>
      </c>
      <c r="G53" s="106" t="str">
        <f ca="1">IFERROR(__xludf.DUMMYFUNCTION("INDEX(FILTER($P53:$AL53, $P53:$AL53 &lt;&gt; """"), 1)"),"The Art, Craft, and Science of Management: Learning through Classics and Best Collections (A)")</f>
        <v>The Art, Craft, and Science of Management: Learning through Classics and Best Collections (A)</v>
      </c>
      <c r="H53" s="106" t="str">
        <f ca="1">IFERROR(__xludf.DUMMYFUNCTION("INDEX(FILTER($P53:$AL53, $P53:$AL53 &lt;&gt; """"), 2)"),"Workplace Happiness: Science &amp; Practice (A)")</f>
        <v>Workplace Happiness: Science &amp; Practice (A)</v>
      </c>
      <c r="I53" s="106" t="str">
        <f ca="1">IFERROR(__xludf.DUMMYFUNCTION("INDEX(FILTER($P53:$AL53, $P53:$AL53 &lt;&gt; """"), 3)"),"Leadership Excellence Through Values : Wisdom from the Mahabharata")</f>
        <v>Leadership Excellence Through Values : Wisdom from the Mahabharata</v>
      </c>
      <c r="J53" s="106" t="str">
        <f ca="1">IFERROR(__xludf.DUMMYFUNCTION("IFERROR(INDEX(FILTER($P53:$AL53, $P53:$AL53 &lt;&gt; """"), 4),)"),"Film &amp; the Firm: Visual Culture in Business Contexts (B)")</f>
        <v>Film &amp; the Firm: Visual Culture in Business Contexts (B)</v>
      </c>
      <c r="K53" s="106" t="str">
        <f ca="1">IFERROR(__xludf.DUMMYFUNCTION("IFERROR(INDEX(FILTER($P53:$AL53, $P53:$AL53 &lt;&gt; """"), 5),)"),"Strategic HRM")</f>
        <v>Strategic HRM</v>
      </c>
      <c r="L53" s="107"/>
      <c r="M53" s="107"/>
      <c r="N53" s="107"/>
      <c r="O53" s="107"/>
      <c r="P53" s="132" t="str">
        <f>IF(COUNTIF('Fintech-A'!$A:$A, $C53), P$1, "")</f>
        <v/>
      </c>
      <c r="Q53" s="132" t="str">
        <f>IF(COUNTIF('Fintech-B'!$A:$A, $C53), Q$1, "")</f>
        <v/>
      </c>
      <c r="R53" s="132" t="str">
        <f>IF(COUNTIF('BEDM-A'!$A:$A, $C53), R$1, "")</f>
        <v/>
      </c>
      <c r="S53" s="132" t="str">
        <f>IF(COUNTIF('BEDM-B'!$A:$A, $C53), S$1, "")</f>
        <v/>
      </c>
      <c r="T53" s="132" t="str">
        <f>IF(COUNTIF('Art-A'!$A:$A, $C53), T$1, "")</f>
        <v>The Art, Craft, and Science of Management: Learning through Classics and Best Collections (A)</v>
      </c>
      <c r="U53" s="132" t="str">
        <f>IF(COUNTIF('Art-B'!$A:$A, $C53), U$1, "")</f>
        <v/>
      </c>
      <c r="V53" s="132" t="str">
        <f>IF(COUNTIF('WH-A'!$A:$A, $C53), V$1, "")</f>
        <v>Workplace Happiness: Science &amp; Practice (A)</v>
      </c>
      <c r="W53" s="132" t="str">
        <f>IF(COUNTIF('WH-B'!$A:$A, $C53), W$1, "")</f>
        <v/>
      </c>
      <c r="X53" s="132" t="str">
        <f>IF(COUNTIF(LETV!$A:$A, $C53), X$1, "")</f>
        <v>Leadership Excellence Through Values : Wisdom from the Mahabharata</v>
      </c>
      <c r="Y53" s="132" t="str">
        <f>IF(COUNTIF('Film&amp;Firm-A'!$A:$A, $C53), Y$1, "")</f>
        <v/>
      </c>
      <c r="Z53" s="132" t="str">
        <f>IF(COUNTIF('Film&amp;Firm-B'!$A:$A, $C53), Z$1, "")</f>
        <v>Film &amp; the Firm: Visual Culture in Business Contexts (B)</v>
      </c>
      <c r="AA53" s="132" t="str">
        <f>IF(COUNTIF(SHRM!$A:$A, $C53), AA$1, "")</f>
        <v>Strategic HRM</v>
      </c>
      <c r="AB53" s="132" t="str">
        <f>IF(COUNTIF('SCM-A'!$A:$A, $C53), AB$1, "")</f>
        <v/>
      </c>
      <c r="AC53" s="132" t="str">
        <f>IF(COUNTIF('SCM-B'!$A:$A, $C53), AC$1, "")</f>
        <v/>
      </c>
      <c r="AD53" s="132" t="str">
        <f>IF(COUNTIF(AIS!$A:$A, $C53), AD$1, "")</f>
        <v/>
      </c>
      <c r="AE53" s="132" t="str">
        <f>IF(COUNTIF(EB!$A:$A, $C53), AE$1, "")</f>
        <v/>
      </c>
      <c r="AF53" s="132" t="str">
        <f>IF(COUNTIF('AIAM-A'!$A:$A, $C53), AF$1, "")</f>
        <v/>
      </c>
      <c r="AG53" s="132" t="str">
        <f>IF(COUNTIF('AIAM-B'!$A:$A, $C53), AG$1, "")</f>
        <v/>
      </c>
      <c r="AH53" s="132" t="str">
        <f>IF(COUNTIF('SA-A'!$A:$A, $C53), AH$1, "")</f>
        <v/>
      </c>
      <c r="AI53" s="132" t="str">
        <f>IF(COUNTIF('SA-B'!$A:$A, $C53), AI$1, "")</f>
        <v/>
      </c>
      <c r="AJ53" s="132" t="str">
        <f>IF(COUNTIF(CSM!$A:$A, $C53), AJ$1, "")</f>
        <v/>
      </c>
      <c r="AK53" s="132" t="str">
        <f>IF(COUNTIF(EM!$A:$A, $C53), AK$1, "")</f>
        <v/>
      </c>
      <c r="AL53" s="132" t="str">
        <f>IF(COUNTIF(I4TS!$A:$A, $C53), AL$1, "")</f>
        <v/>
      </c>
    </row>
    <row r="54" spans="1:38" ht="13">
      <c r="A54" s="131">
        <v>53</v>
      </c>
      <c r="B54" s="131" t="s">
        <v>371</v>
      </c>
      <c r="C54" s="131" t="s">
        <v>226</v>
      </c>
      <c r="D54" s="106" t="s">
        <v>523</v>
      </c>
      <c r="E54" s="106" t="s">
        <v>524</v>
      </c>
      <c r="F54" s="131">
        <f t="shared" ca="1" si="0"/>
        <v>5</v>
      </c>
      <c r="G54" s="106" t="str">
        <f ca="1">IFERROR(__xludf.DUMMYFUNCTION("INDEX(FILTER($P54:$AL54, $P54:$AL54 &lt;&gt; """"), 1)"),"Leadership Excellence Through Values : Wisdom from the Mahabharata")</f>
        <v>Leadership Excellence Through Values : Wisdom from the Mahabharata</v>
      </c>
      <c r="H54" s="106" t="str">
        <f ca="1">IFERROR(__xludf.DUMMYFUNCTION("INDEX(FILTER($P54:$AL54, $P54:$AL54 &lt;&gt; """"), 2)"),"AI AND  STRATEGY")</f>
        <v>AI AND  STRATEGY</v>
      </c>
      <c r="I54" s="106" t="str">
        <f ca="1">IFERROR(__xludf.DUMMYFUNCTION("INDEX(FILTER($P54:$AL54, $P54:$AL54 &lt;&gt; """"), 3)"),"AI Applications in Marketing (B)")</f>
        <v>AI Applications in Marketing (B)</v>
      </c>
      <c r="J54" s="106" t="str">
        <f ca="1">IFERROR(__xludf.DUMMYFUNCTION("IFERROR(INDEX(FILTER($P54:$AL54, $P54:$AL54 &lt;&gt; """"), 4),)"),"SPORTS ANALYTICS (B)")</f>
        <v>SPORTS ANALYTICS (B)</v>
      </c>
      <c r="K54" s="106" t="str">
        <f ca="1">IFERROR(__xludf.DUMMYFUNCTION("IFERROR(INDEX(FILTER($P54:$AL54, $P54:$AL54 &lt;&gt; """"), 5),)"),"Industry 4.0 in Transport Sector")</f>
        <v>Industry 4.0 in Transport Sector</v>
      </c>
      <c r="L54" s="107"/>
      <c r="M54" s="107"/>
      <c r="N54" s="107"/>
      <c r="O54" s="107"/>
      <c r="P54" s="132" t="str">
        <f>IF(COUNTIF('Fintech-A'!$A:$A, $C54), P$1, "")</f>
        <v/>
      </c>
      <c r="Q54" s="132" t="str">
        <f>IF(COUNTIF('Fintech-B'!$A:$A, $C54), Q$1, "")</f>
        <v/>
      </c>
      <c r="R54" s="132" t="str">
        <f>IF(COUNTIF('BEDM-A'!$A:$A, $C54), R$1, "")</f>
        <v/>
      </c>
      <c r="S54" s="132" t="str">
        <f>IF(COUNTIF('BEDM-B'!$A:$A, $C54), S$1, "")</f>
        <v/>
      </c>
      <c r="T54" s="132" t="str">
        <f>IF(COUNTIF('Art-A'!$A:$A, $C54), T$1, "")</f>
        <v/>
      </c>
      <c r="U54" s="132" t="str">
        <f>IF(COUNTIF('Art-B'!$A:$A, $C54), U$1, "")</f>
        <v/>
      </c>
      <c r="V54" s="132" t="str">
        <f>IF(COUNTIF('WH-A'!$A:$A, $C54), V$1, "")</f>
        <v/>
      </c>
      <c r="W54" s="132" t="str">
        <f>IF(COUNTIF('WH-B'!$A:$A, $C54), W$1, "")</f>
        <v/>
      </c>
      <c r="X54" s="132" t="str">
        <f>IF(COUNTIF(LETV!$A:$A, $C54), X$1, "")</f>
        <v>Leadership Excellence Through Values : Wisdom from the Mahabharata</v>
      </c>
      <c r="Y54" s="132" t="str">
        <f>IF(COUNTIF('Film&amp;Firm-A'!$A:$A, $C54), Y$1, "")</f>
        <v/>
      </c>
      <c r="Z54" s="132" t="str">
        <f>IF(COUNTIF('Film&amp;Firm-B'!$A:$A, $C54), Z$1, "")</f>
        <v/>
      </c>
      <c r="AA54" s="132" t="str">
        <f>IF(COUNTIF(SHRM!$A:$A, $C54), AA$1, "")</f>
        <v/>
      </c>
      <c r="AB54" s="132" t="str">
        <f>IF(COUNTIF('SCM-A'!$A:$A, $C54), AB$1, "")</f>
        <v/>
      </c>
      <c r="AC54" s="132" t="str">
        <f>IF(COUNTIF('SCM-B'!$A:$A, $C54), AC$1, "")</f>
        <v/>
      </c>
      <c r="AD54" s="132" t="str">
        <f>IF(COUNTIF(AIS!$A:$A, $C54), AD$1, "")</f>
        <v>AI AND  STRATEGY</v>
      </c>
      <c r="AE54" s="132" t="str">
        <f>IF(COUNTIF(EB!$A:$A, $C54), AE$1, "")</f>
        <v/>
      </c>
      <c r="AF54" s="132" t="str">
        <f>IF(COUNTIF('AIAM-A'!$A:$A, $C54), AF$1, "")</f>
        <v/>
      </c>
      <c r="AG54" s="132" t="str">
        <f>IF(COUNTIF('AIAM-B'!$A:$A, $C54), AG$1, "")</f>
        <v>AI Applications in Marketing (B)</v>
      </c>
      <c r="AH54" s="132" t="str">
        <f>IF(COUNTIF('SA-A'!$A:$A, $C54), AH$1, "")</f>
        <v/>
      </c>
      <c r="AI54" s="132" t="str">
        <f>IF(COUNTIF('SA-B'!$A:$A, $C54), AI$1, "")</f>
        <v>SPORTS ANALYTICS (B)</v>
      </c>
      <c r="AJ54" s="132" t="str">
        <f>IF(COUNTIF(CSM!$A:$A, $C54), AJ$1, "")</f>
        <v/>
      </c>
      <c r="AK54" s="132" t="str">
        <f>IF(COUNTIF(EM!$A:$A, $C54), AK$1, "")</f>
        <v/>
      </c>
      <c r="AL54" s="132" t="str">
        <f>IF(COUNTIF(I4TS!$A:$A, $C54), AL$1, "")</f>
        <v>Industry 4.0 in Transport Sector</v>
      </c>
    </row>
    <row r="55" spans="1:38" ht="13">
      <c r="A55" s="131">
        <v>54</v>
      </c>
      <c r="B55" s="131" t="s">
        <v>371</v>
      </c>
      <c r="C55" s="131" t="s">
        <v>525</v>
      </c>
      <c r="D55" s="106" t="s">
        <v>526</v>
      </c>
      <c r="E55" s="106" t="s">
        <v>527</v>
      </c>
      <c r="F55" s="131">
        <f t="shared" ca="1" si="0"/>
        <v>5</v>
      </c>
      <c r="G55" s="106" t="str">
        <f ca="1">IFERROR(__xludf.DUMMYFUNCTION("INDEX(FILTER($P55:$AL55, $P55:$AL55 &lt;&gt; """"), 1)"),"AI AND  STRATEGY")</f>
        <v>AI AND  STRATEGY</v>
      </c>
      <c r="H55" s="106" t="str">
        <f ca="1">IFERROR(__xludf.DUMMYFUNCTION("INDEX(FILTER($P55:$AL55, $P55:$AL55 &lt;&gt; """"), 2)"),"Employer Branding")</f>
        <v>Employer Branding</v>
      </c>
      <c r="I55" s="106" t="str">
        <f ca="1">IFERROR(__xludf.DUMMYFUNCTION("INDEX(FILTER($P55:$AL55, $P55:$AL55 &lt;&gt; """"), 3)"),"Entrepreneurial Marketing")</f>
        <v>Entrepreneurial Marketing</v>
      </c>
      <c r="J55" s="106" t="str">
        <f ca="1">IFERROR(__xludf.DUMMYFUNCTION("IFERROR(INDEX(FILTER($P55:$AL55, $P55:$AL55 &lt;&gt; """"), 4),)"),"")</f>
        <v/>
      </c>
      <c r="K55" s="106" t="str">
        <f ca="1">IFERROR(__xludf.DUMMYFUNCTION("IFERROR(INDEX(FILTER($P55:$AL55, $P55:$AL55 &lt;&gt; """"), 5),)"),"")</f>
        <v/>
      </c>
      <c r="L55" s="107"/>
      <c r="M55" s="107"/>
      <c r="N55" s="107"/>
      <c r="O55" s="107"/>
      <c r="P55" s="132" t="str">
        <f>IF(COUNTIF('Fintech-A'!$A:$A, $C55), P$1, "")</f>
        <v/>
      </c>
      <c r="Q55" s="132" t="str">
        <f>IF(COUNTIF('Fintech-B'!$A:$A, $C55), Q$1, "")</f>
        <v/>
      </c>
      <c r="R55" s="132" t="str">
        <f>IF(COUNTIF('BEDM-A'!$A:$A, $C55), R$1, "")</f>
        <v/>
      </c>
      <c r="S55" s="132" t="str">
        <f>IF(COUNTIF('BEDM-B'!$A:$A, $C55), S$1, "")</f>
        <v/>
      </c>
      <c r="T55" s="132" t="str">
        <f>IF(COUNTIF('Art-A'!$A:$A, $C55), T$1, "")</f>
        <v/>
      </c>
      <c r="U55" s="132" t="str">
        <f>IF(COUNTIF('Art-B'!$A:$A, $C55), U$1, "")</f>
        <v/>
      </c>
      <c r="V55" s="132" t="str">
        <f>IF(COUNTIF('WH-A'!$A:$A, $C55), V$1, "")</f>
        <v/>
      </c>
      <c r="W55" s="132" t="str">
        <f>IF(COUNTIF('WH-B'!$A:$A, $C55), W$1, "")</f>
        <v/>
      </c>
      <c r="X55" s="132" t="str">
        <f>IF(COUNTIF(LETV!$A:$A, $C55), X$1, "")</f>
        <v/>
      </c>
      <c r="Y55" s="132" t="str">
        <f>IF(COUNTIF('Film&amp;Firm-A'!$A:$A, $C55), Y$1, "")</f>
        <v/>
      </c>
      <c r="Z55" s="132" t="str">
        <f>IF(COUNTIF('Film&amp;Firm-B'!$A:$A, $C55), Z$1, "")</f>
        <v/>
      </c>
      <c r="AA55" s="132" t="str">
        <f>IF(COUNTIF(SHRM!$A:$A, $C55), AA$1, "")</f>
        <v/>
      </c>
      <c r="AB55" s="132" t="str">
        <f>IF(COUNTIF('SCM-A'!$A:$A, $C55), AB$1, "")</f>
        <v/>
      </c>
      <c r="AC55" s="132" t="str">
        <f>IF(COUNTIF('SCM-B'!$A:$A, $C55), AC$1, "")</f>
        <v/>
      </c>
      <c r="AD55" s="132" t="str">
        <f>IF(COUNTIF(AIS!$A:$A, $C55), AD$1, "")</f>
        <v>AI AND  STRATEGY</v>
      </c>
      <c r="AE55" s="132" t="str">
        <f>IF(COUNTIF(EB!$A:$A, $C55), AE$1, "")</f>
        <v>Employer Branding</v>
      </c>
      <c r="AF55" s="132" t="str">
        <f>IF(COUNTIF('AIAM-A'!$A:$A, $C55), AF$1, "")</f>
        <v/>
      </c>
      <c r="AG55" s="132" t="str">
        <f>IF(COUNTIF('AIAM-B'!$A:$A, $C55), AG$1, "")</f>
        <v/>
      </c>
      <c r="AH55" s="132" t="str">
        <f>IF(COUNTIF('SA-A'!$A:$A, $C55), AH$1, "")</f>
        <v/>
      </c>
      <c r="AI55" s="132" t="str">
        <f>IF(COUNTIF('SA-B'!$A:$A, $C55), AI$1, "")</f>
        <v/>
      </c>
      <c r="AJ55" s="132" t="str">
        <f>IF(COUNTIF(CSM!$A:$A, $C55), AJ$1, "")</f>
        <v/>
      </c>
      <c r="AK55" s="132" t="str">
        <f>IF(COUNTIF(EM!$A:$A, $C55), AK$1, "")</f>
        <v>Entrepreneurial Marketing</v>
      </c>
      <c r="AL55" s="132" t="str">
        <f>IF(COUNTIF(I4TS!$A:$A, $C55), AL$1, "")</f>
        <v/>
      </c>
    </row>
    <row r="56" spans="1:38" ht="13">
      <c r="A56" s="131">
        <v>55</v>
      </c>
      <c r="B56" s="131" t="s">
        <v>371</v>
      </c>
      <c r="C56" s="131" t="s">
        <v>528</v>
      </c>
      <c r="D56" s="106" t="s">
        <v>529</v>
      </c>
      <c r="E56" s="106" t="s">
        <v>530</v>
      </c>
      <c r="F56" s="131">
        <f t="shared" ca="1" si="0"/>
        <v>5</v>
      </c>
      <c r="G56" s="106" t="str">
        <f ca="1">IFERROR(__xludf.DUMMYFUNCTION("INDEX(FILTER($P56:$AL56, $P56:$AL56 &lt;&gt; """"), 1)"),"Film &amp; the Firm: Visual Culture in Business Contexts (B)")</f>
        <v>Film &amp; the Firm: Visual Culture in Business Contexts (B)</v>
      </c>
      <c r="H56" s="106" t="str">
        <f ca="1">IFERROR(__xludf.DUMMYFUNCTION("INDEX(FILTER($P56:$AL56, $P56:$AL56 &lt;&gt; """"), 2)"),"Strategic Career Management (A)")</f>
        <v>Strategic Career Management (A)</v>
      </c>
      <c r="I56" s="106" t="str">
        <f ca="1">IFERROR(__xludf.DUMMYFUNCTION("INDEX(FILTER($P56:$AL56, $P56:$AL56 &lt;&gt; """"), 3)"),"SPORTS ANALYTICS (A)")</f>
        <v>SPORTS ANALYTICS (A)</v>
      </c>
      <c r="J56" s="106" t="str">
        <f ca="1">IFERROR(__xludf.DUMMYFUNCTION("IFERROR(INDEX(FILTER($P56:$AL56, $P56:$AL56 &lt;&gt; """"), 4),)"),"")</f>
        <v/>
      </c>
      <c r="K56" s="106" t="str">
        <f ca="1">IFERROR(__xludf.DUMMYFUNCTION("IFERROR(INDEX(FILTER($P56:$AL56, $P56:$AL56 &lt;&gt; """"), 5),)"),"")</f>
        <v/>
      </c>
      <c r="L56" s="107"/>
      <c r="M56" s="107"/>
      <c r="N56" s="107"/>
      <c r="O56" s="107"/>
      <c r="P56" s="132" t="str">
        <f>IF(COUNTIF('Fintech-A'!$A:$A, $C56), P$1, "")</f>
        <v/>
      </c>
      <c r="Q56" s="132" t="str">
        <f>IF(COUNTIF('Fintech-B'!$A:$A, $C56), Q$1, "")</f>
        <v/>
      </c>
      <c r="R56" s="132" t="str">
        <f>IF(COUNTIF('BEDM-A'!$A:$A, $C56), R$1, "")</f>
        <v/>
      </c>
      <c r="S56" s="132" t="str">
        <f>IF(COUNTIF('BEDM-B'!$A:$A, $C56), S$1, "")</f>
        <v/>
      </c>
      <c r="T56" s="132" t="str">
        <f>IF(COUNTIF('Art-A'!$A:$A, $C56), T$1, "")</f>
        <v/>
      </c>
      <c r="U56" s="132" t="str">
        <f>IF(COUNTIF('Art-B'!$A:$A, $C56), U$1, "")</f>
        <v/>
      </c>
      <c r="V56" s="132" t="str">
        <f>IF(COUNTIF('WH-A'!$A:$A, $C56), V$1, "")</f>
        <v/>
      </c>
      <c r="W56" s="132" t="str">
        <f>IF(COUNTIF('WH-B'!$A:$A, $C56), W$1, "")</f>
        <v/>
      </c>
      <c r="X56" s="132" t="str">
        <f>IF(COUNTIF(LETV!$A:$A, $C56), X$1, "")</f>
        <v/>
      </c>
      <c r="Y56" s="132" t="str">
        <f>IF(COUNTIF('Film&amp;Firm-A'!$A:$A, $C56), Y$1, "")</f>
        <v/>
      </c>
      <c r="Z56" s="132" t="str">
        <f>IF(COUNTIF('Film&amp;Firm-B'!$A:$A, $C56), Z$1, "")</f>
        <v>Film &amp; the Firm: Visual Culture in Business Contexts (B)</v>
      </c>
      <c r="AA56" s="132" t="str">
        <f>IF(COUNTIF(SHRM!$A:$A, $C56), AA$1, "")</f>
        <v/>
      </c>
      <c r="AB56" s="132" t="str">
        <f>IF(COUNTIF('SCM-A'!$A:$A, $C56), AB$1, "")</f>
        <v>Strategic Career Management (A)</v>
      </c>
      <c r="AC56" s="132" t="str">
        <f>IF(COUNTIF('SCM-B'!$A:$A, $C56), AC$1, "")</f>
        <v/>
      </c>
      <c r="AD56" s="132" t="str">
        <f>IF(COUNTIF(AIS!$A:$A, $C56), AD$1, "")</f>
        <v/>
      </c>
      <c r="AE56" s="132" t="str">
        <f>IF(COUNTIF(EB!$A:$A, $C56), AE$1, "")</f>
        <v/>
      </c>
      <c r="AF56" s="132" t="str">
        <f>IF(COUNTIF('AIAM-A'!$A:$A, $C56), AF$1, "")</f>
        <v/>
      </c>
      <c r="AG56" s="132" t="str">
        <f>IF(COUNTIF('AIAM-B'!$A:$A, $C56), AG$1, "")</f>
        <v/>
      </c>
      <c r="AH56" s="132" t="str">
        <f>IF(COUNTIF('SA-A'!$A:$A, $C56), AH$1, "")</f>
        <v>SPORTS ANALYTICS (A)</v>
      </c>
      <c r="AI56" s="132" t="str">
        <f>IF(COUNTIF('SA-B'!$A:$A, $C56), AI$1, "")</f>
        <v/>
      </c>
      <c r="AJ56" s="132" t="str">
        <f>IF(COUNTIF(CSM!$A:$A, $C56), AJ$1, "")</f>
        <v/>
      </c>
      <c r="AK56" s="132" t="str">
        <f>IF(COUNTIF(EM!$A:$A, $C56), AK$1, "")</f>
        <v/>
      </c>
      <c r="AL56" s="132" t="str">
        <f>IF(COUNTIF(I4TS!$A:$A, $C56), AL$1, "")</f>
        <v/>
      </c>
    </row>
    <row r="57" spans="1:38" ht="13">
      <c r="A57" s="131">
        <v>56</v>
      </c>
      <c r="B57" s="131" t="s">
        <v>371</v>
      </c>
      <c r="C57" s="131" t="s">
        <v>531</v>
      </c>
      <c r="D57" s="106" t="s">
        <v>532</v>
      </c>
      <c r="E57" s="106" t="s">
        <v>533</v>
      </c>
      <c r="F57" s="131">
        <f t="shared" ca="1" si="0"/>
        <v>5</v>
      </c>
      <c r="G57" s="106" t="str">
        <f ca="1">IFERROR(__xludf.DUMMYFUNCTION("INDEX(FILTER($P57:$AL57, $P57:$AL57 &lt;&gt; """"), 1)"),"Fintech (Digital Transformation in Finance) (B)")</f>
        <v>Fintech (Digital Transformation in Finance) (B)</v>
      </c>
      <c r="H57" s="106" t="str">
        <f ca="1">IFERROR(__xludf.DUMMYFUNCTION("INDEX(FILTER($P57:$AL57, $P57:$AL57 &lt;&gt; """"), 2)"),"Workplace Happiness: Science &amp; Practice (B)")</f>
        <v>Workplace Happiness: Science &amp; Practice (B)</v>
      </c>
      <c r="I57" s="106" t="str">
        <f ca="1">IFERROR(__xludf.DUMMYFUNCTION("INDEX(FILTER($P57:$AL57, $P57:$AL57 &lt;&gt; """"), 3)"),"Film &amp; the Firm: Visual Culture in Business Contexts (A)")</f>
        <v>Film &amp; the Firm: Visual Culture in Business Contexts (A)</v>
      </c>
      <c r="J57" s="106" t="str">
        <f ca="1">IFERROR(__xludf.DUMMYFUNCTION("IFERROR(INDEX(FILTER($P57:$AL57, $P57:$AL57 &lt;&gt; """"), 4),)"),"Strategic HRM")</f>
        <v>Strategic HRM</v>
      </c>
      <c r="K57" s="106" t="str">
        <f ca="1">IFERROR(__xludf.DUMMYFUNCTION("IFERROR(INDEX(FILTER($P57:$AL57, $P57:$AL57 &lt;&gt; """"), 5),)"),"SPORTS ANALYTICS (A)")</f>
        <v>SPORTS ANALYTICS (A)</v>
      </c>
      <c r="L57" s="107"/>
      <c r="M57" s="107"/>
      <c r="N57" s="107"/>
      <c r="O57" s="107"/>
      <c r="P57" s="132" t="str">
        <f>IF(COUNTIF('Fintech-A'!$A:$A, $C57), P$1, "")</f>
        <v/>
      </c>
      <c r="Q57" s="132" t="str">
        <f>IF(COUNTIF('Fintech-B'!$A:$A, $C57), Q$1, "")</f>
        <v>Fintech (Digital Transformation in Finance) (B)</v>
      </c>
      <c r="R57" s="132" t="str">
        <f>IF(COUNTIF('BEDM-A'!$A:$A, $C57), R$1, "")</f>
        <v/>
      </c>
      <c r="S57" s="132" t="str">
        <f>IF(COUNTIF('BEDM-B'!$A:$A, $C57), S$1, "")</f>
        <v/>
      </c>
      <c r="T57" s="132" t="str">
        <f>IF(COUNTIF('Art-A'!$A:$A, $C57), T$1, "")</f>
        <v/>
      </c>
      <c r="U57" s="132" t="str">
        <f>IF(COUNTIF('Art-B'!$A:$A, $C57), U$1, "")</f>
        <v/>
      </c>
      <c r="V57" s="132" t="str">
        <f>IF(COUNTIF('WH-A'!$A:$A, $C57), V$1, "")</f>
        <v/>
      </c>
      <c r="W57" s="132" t="str">
        <f>IF(COUNTIF('WH-B'!$A:$A, $C57), W$1, "")</f>
        <v>Workplace Happiness: Science &amp; Practice (B)</v>
      </c>
      <c r="X57" s="132" t="str">
        <f>IF(COUNTIF(LETV!$A:$A, $C57), X$1, "")</f>
        <v/>
      </c>
      <c r="Y57" s="132" t="str">
        <f>IF(COUNTIF('Film&amp;Firm-A'!$A:$A, $C57), Y$1, "")</f>
        <v>Film &amp; the Firm: Visual Culture in Business Contexts (A)</v>
      </c>
      <c r="Z57" s="132" t="str">
        <f>IF(COUNTIF('Film&amp;Firm-B'!$A:$A, $C57), Z$1, "")</f>
        <v/>
      </c>
      <c r="AA57" s="132" t="str">
        <f>IF(COUNTIF(SHRM!$A:$A, $C57), AA$1, "")</f>
        <v>Strategic HRM</v>
      </c>
      <c r="AB57" s="132" t="str">
        <f>IF(COUNTIF('SCM-A'!$A:$A, $C57), AB$1, "")</f>
        <v/>
      </c>
      <c r="AC57" s="132" t="str">
        <f>IF(COUNTIF('SCM-B'!$A:$A, $C57), AC$1, "")</f>
        <v/>
      </c>
      <c r="AD57" s="132" t="str">
        <f>IF(COUNTIF(AIS!$A:$A, $C57), AD$1, "")</f>
        <v/>
      </c>
      <c r="AE57" s="132" t="str">
        <f>IF(COUNTIF(EB!$A:$A, $C57), AE$1, "")</f>
        <v/>
      </c>
      <c r="AF57" s="132" t="str">
        <f>IF(COUNTIF('AIAM-A'!$A:$A, $C57), AF$1, "")</f>
        <v/>
      </c>
      <c r="AG57" s="132" t="str">
        <f>IF(COUNTIF('AIAM-B'!$A:$A, $C57), AG$1, "")</f>
        <v/>
      </c>
      <c r="AH57" s="132" t="str">
        <f>IF(COUNTIF('SA-A'!$A:$A, $C57), AH$1, "")</f>
        <v>SPORTS ANALYTICS (A)</v>
      </c>
      <c r="AI57" s="132" t="str">
        <f>IF(COUNTIF('SA-B'!$A:$A, $C57), AI$1, "")</f>
        <v/>
      </c>
      <c r="AJ57" s="132" t="str">
        <f>IF(COUNTIF(CSM!$A:$A, $C57), AJ$1, "")</f>
        <v/>
      </c>
      <c r="AK57" s="132" t="str">
        <f>IF(COUNTIF(EM!$A:$A, $C57), AK$1, "")</f>
        <v/>
      </c>
      <c r="AL57" s="132" t="str">
        <f>IF(COUNTIF(I4TS!$A:$A, $C57), AL$1, "")</f>
        <v/>
      </c>
    </row>
    <row r="58" spans="1:38" ht="13">
      <c r="A58" s="131">
        <v>57</v>
      </c>
      <c r="B58" s="131" t="s">
        <v>371</v>
      </c>
      <c r="C58" s="131" t="s">
        <v>534</v>
      </c>
      <c r="D58" s="106" t="s">
        <v>535</v>
      </c>
      <c r="E58" s="106" t="s">
        <v>536</v>
      </c>
      <c r="F58" s="131">
        <f t="shared" ca="1" si="0"/>
        <v>5</v>
      </c>
      <c r="G58" s="106" t="str">
        <f ca="1">IFERROR(__xludf.DUMMYFUNCTION("INDEX(FILTER($P58:$AL58, $P58:$AL58 &lt;&gt; """"), 1)"),"Behavioural Economics and Decision-Making (A)")</f>
        <v>Behavioural Economics and Decision-Making (A)</v>
      </c>
      <c r="H58" s="106" t="str">
        <f ca="1">IFERROR(__xludf.DUMMYFUNCTION("INDEX(FILTER($P58:$AL58, $P58:$AL58 &lt;&gt; """"), 2)"),"Film &amp; the Firm: Visual Culture in Business Contexts (B)")</f>
        <v>Film &amp; the Firm: Visual Culture in Business Contexts (B)</v>
      </c>
      <c r="I58" s="106" t="str">
        <f ca="1">IFERROR(__xludf.DUMMYFUNCTION("INDEX(FILTER($P58:$AL58, $P58:$AL58 &lt;&gt; """"), 3)"),"AI AND  STRATEGY")</f>
        <v>AI AND  STRATEGY</v>
      </c>
      <c r="J58" s="106" t="str">
        <f ca="1">IFERROR(__xludf.DUMMYFUNCTION("IFERROR(INDEX(FILTER($P58:$AL58, $P58:$AL58 &lt;&gt; """"), 4),)"),"")</f>
        <v/>
      </c>
      <c r="K58" s="106" t="str">
        <f ca="1">IFERROR(__xludf.DUMMYFUNCTION("IFERROR(INDEX(FILTER($P58:$AL58, $P58:$AL58 &lt;&gt; """"), 5),)"),"")</f>
        <v/>
      </c>
      <c r="L58" s="107"/>
      <c r="M58" s="107"/>
      <c r="N58" s="107"/>
      <c r="O58" s="107"/>
      <c r="P58" s="132" t="str">
        <f>IF(COUNTIF('Fintech-A'!$A:$A, $C58), P$1, "")</f>
        <v/>
      </c>
      <c r="Q58" s="132" t="str">
        <f>IF(COUNTIF('Fintech-B'!$A:$A, $C58), Q$1, "")</f>
        <v/>
      </c>
      <c r="R58" s="132" t="str">
        <f>IF(COUNTIF('BEDM-A'!$A:$A, $C58), R$1, "")</f>
        <v>Behavioural Economics and Decision-Making (A)</v>
      </c>
      <c r="S58" s="132" t="str">
        <f>IF(COUNTIF('BEDM-B'!$A:$A, $C58), S$1, "")</f>
        <v/>
      </c>
      <c r="T58" s="132" t="str">
        <f>IF(COUNTIF('Art-A'!$A:$A, $C58), T$1, "")</f>
        <v/>
      </c>
      <c r="U58" s="132" t="str">
        <f>IF(COUNTIF('Art-B'!$A:$A, $C58), U$1, "")</f>
        <v/>
      </c>
      <c r="V58" s="132" t="str">
        <f>IF(COUNTIF('WH-A'!$A:$A, $C58), V$1, "")</f>
        <v/>
      </c>
      <c r="W58" s="132" t="str">
        <f>IF(COUNTIF('WH-B'!$A:$A, $C58), W$1, "")</f>
        <v/>
      </c>
      <c r="X58" s="132" t="str">
        <f>IF(COUNTIF(LETV!$A:$A, $C58), X$1, "")</f>
        <v/>
      </c>
      <c r="Y58" s="132" t="str">
        <f>IF(COUNTIF('Film&amp;Firm-A'!$A:$A, $C58), Y$1, "")</f>
        <v/>
      </c>
      <c r="Z58" s="132" t="str">
        <f>IF(COUNTIF('Film&amp;Firm-B'!$A:$A, $C58), Z$1, "")</f>
        <v>Film &amp; the Firm: Visual Culture in Business Contexts (B)</v>
      </c>
      <c r="AA58" s="132" t="str">
        <f>IF(COUNTIF(SHRM!$A:$A, $C58), AA$1, "")</f>
        <v/>
      </c>
      <c r="AB58" s="132" t="str">
        <f>IF(COUNTIF('SCM-A'!$A:$A, $C58), AB$1, "")</f>
        <v/>
      </c>
      <c r="AC58" s="132" t="str">
        <f>IF(COUNTIF('SCM-B'!$A:$A, $C58), AC$1, "")</f>
        <v/>
      </c>
      <c r="AD58" s="132" t="str">
        <f>IF(COUNTIF(AIS!$A:$A, $C58), AD$1, "")</f>
        <v>AI AND  STRATEGY</v>
      </c>
      <c r="AE58" s="132" t="str">
        <f>IF(COUNTIF(EB!$A:$A, $C58), AE$1, "")</f>
        <v/>
      </c>
      <c r="AF58" s="132" t="str">
        <f>IF(COUNTIF('AIAM-A'!$A:$A, $C58), AF$1, "")</f>
        <v/>
      </c>
      <c r="AG58" s="132" t="str">
        <f>IF(COUNTIF('AIAM-B'!$A:$A, $C58), AG$1, "")</f>
        <v/>
      </c>
      <c r="AH58" s="132" t="str">
        <f>IF(COUNTIF('SA-A'!$A:$A, $C58), AH$1, "")</f>
        <v/>
      </c>
      <c r="AI58" s="132" t="str">
        <f>IF(COUNTIF('SA-B'!$A:$A, $C58), AI$1, "")</f>
        <v/>
      </c>
      <c r="AJ58" s="132" t="str">
        <f>IF(COUNTIF(CSM!$A:$A, $C58), AJ$1, "")</f>
        <v/>
      </c>
      <c r="AK58" s="132" t="str">
        <f>IF(COUNTIF(EM!$A:$A, $C58), AK$1, "")</f>
        <v/>
      </c>
      <c r="AL58" s="132" t="str">
        <f>IF(COUNTIF(I4TS!$A:$A, $C58), AL$1, "")</f>
        <v/>
      </c>
    </row>
    <row r="59" spans="1:38" ht="13">
      <c r="A59" s="131">
        <v>58</v>
      </c>
      <c r="B59" s="131" t="s">
        <v>371</v>
      </c>
      <c r="C59" s="131" t="s">
        <v>220</v>
      </c>
      <c r="D59" s="106" t="s">
        <v>537</v>
      </c>
      <c r="E59" s="106" t="s">
        <v>538</v>
      </c>
      <c r="F59" s="131">
        <f t="shared" ca="1" si="0"/>
        <v>5</v>
      </c>
      <c r="G59" s="106" t="str">
        <f ca="1">IFERROR(__xludf.DUMMYFUNCTION("INDEX(FILTER($P59:$AL59, $P59:$AL59 &lt;&gt; """"), 1)"),"Strategic Career Management (A)")</f>
        <v>Strategic Career Management (A)</v>
      </c>
      <c r="H59" s="106" t="str">
        <f ca="1">IFERROR(__xludf.DUMMYFUNCTION("INDEX(FILTER($P59:$AL59, $P59:$AL59 &lt;&gt; """"), 2)"),"AI AND  STRATEGY")</f>
        <v>AI AND  STRATEGY</v>
      </c>
      <c r="I59" s="106" t="str">
        <f ca="1">IFERROR(__xludf.DUMMYFUNCTION("INDEX(FILTER($P59:$AL59, $P59:$AL59 &lt;&gt; """"), 3)"),"AI Applications in Marketing (B)")</f>
        <v>AI Applications in Marketing (B)</v>
      </c>
      <c r="J59" s="106" t="str">
        <f ca="1">IFERROR(__xludf.DUMMYFUNCTION("IFERROR(INDEX(FILTER($P59:$AL59, $P59:$AL59 &lt;&gt; """"), 4),)"),"Customer Success Management")</f>
        <v>Customer Success Management</v>
      </c>
      <c r="K59" s="106" t="str">
        <f ca="1">IFERROR(__xludf.DUMMYFUNCTION("IFERROR(INDEX(FILTER($P59:$AL59, $P59:$AL59 &lt;&gt; """"), 5),)"),"Industry 4.0 in Transport Sector")</f>
        <v>Industry 4.0 in Transport Sector</v>
      </c>
      <c r="L59" s="107"/>
      <c r="M59" s="107"/>
      <c r="N59" s="107"/>
      <c r="O59" s="107"/>
      <c r="P59" s="132" t="str">
        <f>IF(COUNTIF('Fintech-A'!$A:$A, $C59), P$1, "")</f>
        <v/>
      </c>
      <c r="Q59" s="132" t="str">
        <f>IF(COUNTIF('Fintech-B'!$A:$A, $C59), Q$1, "")</f>
        <v/>
      </c>
      <c r="R59" s="132" t="str">
        <f>IF(COUNTIF('BEDM-A'!$A:$A, $C59), R$1, "")</f>
        <v/>
      </c>
      <c r="S59" s="132" t="str">
        <f>IF(COUNTIF('BEDM-B'!$A:$A, $C59), S$1, "")</f>
        <v/>
      </c>
      <c r="T59" s="132" t="str">
        <f>IF(COUNTIF('Art-A'!$A:$A, $C59), T$1, "")</f>
        <v/>
      </c>
      <c r="U59" s="132" t="str">
        <f>IF(COUNTIF('Art-B'!$A:$A, $C59), U$1, "")</f>
        <v/>
      </c>
      <c r="V59" s="132" t="str">
        <f>IF(COUNTIF('WH-A'!$A:$A, $C59), V$1, "")</f>
        <v/>
      </c>
      <c r="W59" s="132" t="str">
        <f>IF(COUNTIF('WH-B'!$A:$A, $C59), W$1, "")</f>
        <v/>
      </c>
      <c r="X59" s="132" t="str">
        <f>IF(COUNTIF(LETV!$A:$A, $C59), X$1, "")</f>
        <v/>
      </c>
      <c r="Y59" s="132" t="str">
        <f>IF(COUNTIF('Film&amp;Firm-A'!$A:$A, $C59), Y$1, "")</f>
        <v/>
      </c>
      <c r="Z59" s="132" t="str">
        <f>IF(COUNTIF('Film&amp;Firm-B'!$A:$A, $C59), Z$1, "")</f>
        <v/>
      </c>
      <c r="AA59" s="132" t="str">
        <f>IF(COUNTIF(SHRM!$A:$A, $C59), AA$1, "")</f>
        <v/>
      </c>
      <c r="AB59" s="132" t="str">
        <f>IF(COUNTIF('SCM-A'!$A:$A, $C59), AB$1, "")</f>
        <v>Strategic Career Management (A)</v>
      </c>
      <c r="AC59" s="132" t="str">
        <f>IF(COUNTIF('SCM-B'!$A:$A, $C59), AC$1, "")</f>
        <v/>
      </c>
      <c r="AD59" s="132" t="str">
        <f>IF(COUNTIF(AIS!$A:$A, $C59), AD$1, "")</f>
        <v>AI AND  STRATEGY</v>
      </c>
      <c r="AE59" s="132" t="str">
        <f>IF(COUNTIF(EB!$A:$A, $C59), AE$1, "")</f>
        <v/>
      </c>
      <c r="AF59" s="132" t="str">
        <f>IF(COUNTIF('AIAM-A'!$A:$A, $C59), AF$1, "")</f>
        <v/>
      </c>
      <c r="AG59" s="132" t="str">
        <f>IF(COUNTIF('AIAM-B'!$A:$A, $C59), AG$1, "")</f>
        <v>AI Applications in Marketing (B)</v>
      </c>
      <c r="AH59" s="132" t="str">
        <f>IF(COUNTIF('SA-A'!$A:$A, $C59), AH$1, "")</f>
        <v/>
      </c>
      <c r="AI59" s="132" t="str">
        <f>IF(COUNTIF('SA-B'!$A:$A, $C59), AI$1, "")</f>
        <v/>
      </c>
      <c r="AJ59" s="132" t="str">
        <f>IF(COUNTIF(CSM!$A:$A, $C59), AJ$1, "")</f>
        <v>Customer Success Management</v>
      </c>
      <c r="AK59" s="132" t="str">
        <f>IF(COUNTIF(EM!$A:$A, $C59), AK$1, "")</f>
        <v/>
      </c>
      <c r="AL59" s="132" t="str">
        <f>IF(COUNTIF(I4TS!$A:$A, $C59), AL$1, "")</f>
        <v>Industry 4.0 in Transport Sector</v>
      </c>
    </row>
    <row r="60" spans="1:38" ht="13">
      <c r="A60" s="131">
        <v>59</v>
      </c>
      <c r="B60" s="131" t="s">
        <v>371</v>
      </c>
      <c r="C60" s="131" t="s">
        <v>210</v>
      </c>
      <c r="D60" s="106" t="s">
        <v>539</v>
      </c>
      <c r="E60" s="106" t="s">
        <v>540</v>
      </c>
      <c r="F60" s="131">
        <f t="shared" ca="1" si="0"/>
        <v>5</v>
      </c>
      <c r="G60" s="106" t="str">
        <f ca="1">IFERROR(__xludf.DUMMYFUNCTION("INDEX(FILTER($P60:$AL60, $P60:$AL60 &lt;&gt; """"), 1)"),"Fintech (Digital Transformation in Finance) (A)")</f>
        <v>Fintech (Digital Transformation in Finance) (A)</v>
      </c>
      <c r="H60" s="106" t="str">
        <f ca="1">IFERROR(__xludf.DUMMYFUNCTION("INDEX(FILTER($P60:$AL60, $P60:$AL60 &lt;&gt; """"), 2)"),"The Art, Craft, and Science of Management: Learning through Classics and Best Collections (A)")</f>
        <v>The Art, Craft, and Science of Management: Learning through Classics and Best Collections (A)</v>
      </c>
      <c r="I60" s="106" t="str">
        <f ca="1">IFERROR(__xludf.DUMMYFUNCTION("INDEX(FILTER($P60:$AL60, $P60:$AL60 &lt;&gt; """"), 3)"),"Strategic Career Management (B)")</f>
        <v>Strategic Career Management (B)</v>
      </c>
      <c r="J60" s="106" t="str">
        <f ca="1">IFERROR(__xludf.DUMMYFUNCTION("IFERROR(INDEX(FILTER($P60:$AL60, $P60:$AL60 &lt;&gt; """"), 4),)"),"Employer Branding")</f>
        <v>Employer Branding</v>
      </c>
      <c r="K60" s="106" t="str">
        <f ca="1">IFERROR(__xludf.DUMMYFUNCTION("IFERROR(INDEX(FILTER($P60:$AL60, $P60:$AL60 &lt;&gt; """"), 5),)"),"AI Applications in Marketing (A)")</f>
        <v>AI Applications in Marketing (A)</v>
      </c>
      <c r="L60" s="107"/>
      <c r="M60" s="107"/>
      <c r="N60" s="107"/>
      <c r="O60" s="107"/>
      <c r="P60" s="132" t="str">
        <f>IF(COUNTIF('Fintech-A'!$A:$A, $C60), P$1, "")</f>
        <v>Fintech (Digital Transformation in Finance) (A)</v>
      </c>
      <c r="Q60" s="132" t="str">
        <f>IF(COUNTIF('Fintech-B'!$A:$A, $C60), Q$1, "")</f>
        <v/>
      </c>
      <c r="R60" s="132" t="str">
        <f>IF(COUNTIF('BEDM-A'!$A:$A, $C60), R$1, "")</f>
        <v/>
      </c>
      <c r="S60" s="132" t="str">
        <f>IF(COUNTIF('BEDM-B'!$A:$A, $C60), S$1, "")</f>
        <v/>
      </c>
      <c r="T60" s="132" t="str">
        <f>IF(COUNTIF('Art-A'!$A:$A, $C60), T$1, "")</f>
        <v>The Art, Craft, and Science of Management: Learning through Classics and Best Collections (A)</v>
      </c>
      <c r="U60" s="132" t="str">
        <f>IF(COUNTIF('Art-B'!$A:$A, $C60), U$1, "")</f>
        <v/>
      </c>
      <c r="V60" s="132" t="str">
        <f>IF(COUNTIF('WH-A'!$A:$A, $C60), V$1, "")</f>
        <v/>
      </c>
      <c r="W60" s="132" t="str">
        <f>IF(COUNTIF('WH-B'!$A:$A, $C60), W$1, "")</f>
        <v/>
      </c>
      <c r="X60" s="132" t="str">
        <f>IF(COUNTIF(LETV!$A:$A, $C60), X$1, "")</f>
        <v/>
      </c>
      <c r="Y60" s="132" t="str">
        <f>IF(COUNTIF('Film&amp;Firm-A'!$A:$A, $C60), Y$1, "")</f>
        <v/>
      </c>
      <c r="Z60" s="132" t="str">
        <f>IF(COUNTIF('Film&amp;Firm-B'!$A:$A, $C60), Z$1, "")</f>
        <v/>
      </c>
      <c r="AA60" s="132" t="str">
        <f>IF(COUNTIF(SHRM!$A:$A, $C60), AA$1, "")</f>
        <v/>
      </c>
      <c r="AB60" s="132" t="str">
        <f>IF(COUNTIF('SCM-A'!$A:$A, $C60), AB$1, "")</f>
        <v/>
      </c>
      <c r="AC60" s="132" t="str">
        <f>IF(COUNTIF('SCM-B'!$A:$A, $C60), AC$1, "")</f>
        <v>Strategic Career Management (B)</v>
      </c>
      <c r="AD60" s="132" t="str">
        <f>IF(COUNTIF(AIS!$A:$A, $C60), AD$1, "")</f>
        <v/>
      </c>
      <c r="AE60" s="132" t="str">
        <f>IF(COUNTIF(EB!$A:$A, $C60), AE$1, "")</f>
        <v>Employer Branding</v>
      </c>
      <c r="AF60" s="132" t="str">
        <f>IF(COUNTIF('AIAM-A'!$A:$A, $C60), AF$1, "")</f>
        <v>AI Applications in Marketing (A)</v>
      </c>
      <c r="AG60" s="132" t="str">
        <f>IF(COUNTIF('AIAM-B'!$A:$A, $C60), AG$1, "")</f>
        <v/>
      </c>
      <c r="AH60" s="132" t="str">
        <f>IF(COUNTIF('SA-A'!$A:$A, $C60), AH$1, "")</f>
        <v/>
      </c>
      <c r="AI60" s="132" t="str">
        <f>IF(COUNTIF('SA-B'!$A:$A, $C60), AI$1, "")</f>
        <v/>
      </c>
      <c r="AJ60" s="132" t="str">
        <f>IF(COUNTIF(CSM!$A:$A, $C60), AJ$1, "")</f>
        <v/>
      </c>
      <c r="AK60" s="132" t="str">
        <f>IF(COUNTIF(EM!$A:$A, $C60), AK$1, "")</f>
        <v/>
      </c>
      <c r="AL60" s="132" t="str">
        <f>IF(COUNTIF(I4TS!$A:$A, $C60), AL$1, "")</f>
        <v/>
      </c>
    </row>
    <row r="61" spans="1:38" ht="13">
      <c r="A61" s="131">
        <v>60</v>
      </c>
      <c r="B61" s="131" t="s">
        <v>371</v>
      </c>
      <c r="C61" s="131" t="s">
        <v>221</v>
      </c>
      <c r="D61" s="106" t="s">
        <v>541</v>
      </c>
      <c r="E61" s="106" t="s">
        <v>542</v>
      </c>
      <c r="F61" s="131">
        <f t="shared" ca="1" si="0"/>
        <v>5</v>
      </c>
      <c r="G61" s="106" t="str">
        <f ca="1">IFERROR(__xludf.DUMMYFUNCTION("INDEX(FILTER($P61:$AL61, $P61:$AL61 &lt;&gt; """"), 1)"),"Strategic Career Management (A)")</f>
        <v>Strategic Career Management (A)</v>
      </c>
      <c r="H61" s="106" t="str">
        <f ca="1">IFERROR(__xludf.DUMMYFUNCTION("INDEX(FILTER($P61:$AL61, $P61:$AL61 &lt;&gt; """"), 2)"),"Employer Branding")</f>
        <v>Employer Branding</v>
      </c>
      <c r="I61" s="106" t="str">
        <f ca="1">IFERROR(__xludf.DUMMYFUNCTION("INDEX(FILTER($P61:$AL61, $P61:$AL61 &lt;&gt; """"), 3)"),"AI Applications in Marketing (A)")</f>
        <v>AI Applications in Marketing (A)</v>
      </c>
      <c r="J61" s="106" t="str">
        <f ca="1">IFERROR(__xludf.DUMMYFUNCTION("IFERROR(INDEX(FILTER($P61:$AL61, $P61:$AL61 &lt;&gt; """"), 4),)"),"SPORTS ANALYTICS (A)")</f>
        <v>SPORTS ANALYTICS (A)</v>
      </c>
      <c r="K61" s="106" t="str">
        <f ca="1">IFERROR(__xludf.DUMMYFUNCTION("IFERROR(INDEX(FILTER($P61:$AL61, $P61:$AL61 &lt;&gt; """"), 5),)"),"Customer Success Management")</f>
        <v>Customer Success Management</v>
      </c>
      <c r="L61" s="107"/>
      <c r="M61" s="107"/>
      <c r="N61" s="107"/>
      <c r="O61" s="107"/>
      <c r="P61" s="132" t="str">
        <f>IF(COUNTIF('Fintech-A'!$A:$A, $C61), P$1, "")</f>
        <v/>
      </c>
      <c r="Q61" s="132" t="str">
        <f>IF(COUNTIF('Fintech-B'!$A:$A, $C61), Q$1, "")</f>
        <v/>
      </c>
      <c r="R61" s="132" t="str">
        <f>IF(COUNTIF('BEDM-A'!$A:$A, $C61), R$1, "")</f>
        <v/>
      </c>
      <c r="S61" s="132" t="str">
        <f>IF(COUNTIF('BEDM-B'!$A:$A, $C61), S$1, "")</f>
        <v/>
      </c>
      <c r="T61" s="132" t="str">
        <f>IF(COUNTIF('Art-A'!$A:$A, $C61), T$1, "")</f>
        <v/>
      </c>
      <c r="U61" s="132" t="str">
        <f>IF(COUNTIF('Art-B'!$A:$A, $C61), U$1, "")</f>
        <v/>
      </c>
      <c r="V61" s="132" t="str">
        <f>IF(COUNTIF('WH-A'!$A:$A, $C61), V$1, "")</f>
        <v/>
      </c>
      <c r="W61" s="132" t="str">
        <f>IF(COUNTIF('WH-B'!$A:$A, $C61), W$1, "")</f>
        <v/>
      </c>
      <c r="X61" s="132" t="str">
        <f>IF(COUNTIF(LETV!$A:$A, $C61), X$1, "")</f>
        <v/>
      </c>
      <c r="Y61" s="132" t="str">
        <f>IF(COUNTIF('Film&amp;Firm-A'!$A:$A, $C61), Y$1, "")</f>
        <v/>
      </c>
      <c r="Z61" s="132" t="str">
        <f>IF(COUNTIF('Film&amp;Firm-B'!$A:$A, $C61), Z$1, "")</f>
        <v/>
      </c>
      <c r="AA61" s="132" t="str">
        <f>IF(COUNTIF(SHRM!$A:$A, $C61), AA$1, "")</f>
        <v/>
      </c>
      <c r="AB61" s="132" t="str">
        <f>IF(COUNTIF('SCM-A'!$A:$A, $C61), AB$1, "")</f>
        <v>Strategic Career Management (A)</v>
      </c>
      <c r="AC61" s="132" t="str">
        <f>IF(COUNTIF('SCM-B'!$A:$A, $C61), AC$1, "")</f>
        <v/>
      </c>
      <c r="AD61" s="132" t="str">
        <f>IF(COUNTIF(AIS!$A:$A, $C61), AD$1, "")</f>
        <v/>
      </c>
      <c r="AE61" s="132" t="str">
        <f>IF(COUNTIF(EB!$A:$A, $C61), AE$1, "")</f>
        <v>Employer Branding</v>
      </c>
      <c r="AF61" s="132" t="str">
        <f>IF(COUNTIF('AIAM-A'!$A:$A, $C61), AF$1, "")</f>
        <v>AI Applications in Marketing (A)</v>
      </c>
      <c r="AG61" s="132" t="str">
        <f>IF(COUNTIF('AIAM-B'!$A:$A, $C61), AG$1, "")</f>
        <v/>
      </c>
      <c r="AH61" s="132" t="str">
        <f>IF(COUNTIF('SA-A'!$A:$A, $C61), AH$1, "")</f>
        <v>SPORTS ANALYTICS (A)</v>
      </c>
      <c r="AI61" s="132" t="str">
        <f>IF(COUNTIF('SA-B'!$A:$A, $C61), AI$1, "")</f>
        <v/>
      </c>
      <c r="AJ61" s="132" t="str">
        <f>IF(COUNTIF(CSM!$A:$A, $C61), AJ$1, "")</f>
        <v>Customer Success Management</v>
      </c>
      <c r="AK61" s="132" t="str">
        <f>IF(COUNTIF(EM!$A:$A, $C61), AK$1, "")</f>
        <v/>
      </c>
      <c r="AL61" s="132" t="str">
        <f>IF(COUNTIF(I4TS!$A:$A, $C61), AL$1, "")</f>
        <v/>
      </c>
    </row>
    <row r="62" spans="1:38" ht="13">
      <c r="A62" s="131">
        <v>61</v>
      </c>
      <c r="B62" s="131" t="s">
        <v>371</v>
      </c>
      <c r="C62" s="131" t="s">
        <v>543</v>
      </c>
      <c r="D62" s="106" t="s">
        <v>544</v>
      </c>
      <c r="E62" s="106" t="s">
        <v>545</v>
      </c>
      <c r="F62" s="131">
        <f t="shared" ca="1" si="0"/>
        <v>5</v>
      </c>
      <c r="G62" s="106" t="str">
        <f ca="1">IFERROR(__xludf.DUMMYFUNCTION("INDEX(FILTER($P62:$AL62, $P62:$AL62 &lt;&gt; """"), 1)"),"Behavioural Economics and Decision-Making (B)")</f>
        <v>Behavioural Economics and Decision-Making (B)</v>
      </c>
      <c r="H62" s="106" t="str">
        <f ca="1">IFERROR(__xludf.DUMMYFUNCTION("INDEX(FILTER($P62:$AL62, $P62:$AL62 &lt;&gt; """"), 2)"),"Film &amp; the Firm: Visual Culture in Business Contexts (A)")</f>
        <v>Film &amp; the Firm: Visual Culture in Business Contexts (A)</v>
      </c>
      <c r="I62" s="106" t="str">
        <f ca="1">IFERROR(__xludf.DUMMYFUNCTION("INDEX(FILTER($P62:$AL62, $P62:$AL62 &lt;&gt; """"), 3)"),"SPORTS ANALYTICS (A)")</f>
        <v>SPORTS ANALYTICS (A)</v>
      </c>
      <c r="J62" s="106" t="str">
        <f ca="1">IFERROR(__xludf.DUMMYFUNCTION("IFERROR(INDEX(FILTER($P62:$AL62, $P62:$AL62 &lt;&gt; """"), 4),)"),"")</f>
        <v/>
      </c>
      <c r="K62" s="106" t="str">
        <f ca="1">IFERROR(__xludf.DUMMYFUNCTION("IFERROR(INDEX(FILTER($P62:$AL62, $P62:$AL62 &lt;&gt; """"), 5),)"),"")</f>
        <v/>
      </c>
      <c r="L62" s="107"/>
      <c r="M62" s="107"/>
      <c r="N62" s="107"/>
      <c r="O62" s="107"/>
      <c r="P62" s="132" t="str">
        <f>IF(COUNTIF('Fintech-A'!$A:$A, $C62), P$1, "")</f>
        <v/>
      </c>
      <c r="Q62" s="132" t="str">
        <f>IF(COUNTIF('Fintech-B'!$A:$A, $C62), Q$1, "")</f>
        <v/>
      </c>
      <c r="R62" s="132" t="str">
        <f>IF(COUNTIF('BEDM-A'!$A:$A, $C62), R$1, "")</f>
        <v/>
      </c>
      <c r="S62" s="132" t="str">
        <f>IF(COUNTIF('BEDM-B'!$A:$A, $C62), S$1, "")</f>
        <v>Behavioural Economics and Decision-Making (B)</v>
      </c>
      <c r="T62" s="132" t="str">
        <f>IF(COUNTIF('Art-A'!$A:$A, $C62), T$1, "")</f>
        <v/>
      </c>
      <c r="U62" s="132" t="str">
        <f>IF(COUNTIF('Art-B'!$A:$A, $C62), U$1, "")</f>
        <v/>
      </c>
      <c r="V62" s="132" t="str">
        <f>IF(COUNTIF('WH-A'!$A:$A, $C62), V$1, "")</f>
        <v/>
      </c>
      <c r="W62" s="132" t="str">
        <f>IF(COUNTIF('WH-B'!$A:$A, $C62), W$1, "")</f>
        <v/>
      </c>
      <c r="X62" s="132" t="str">
        <f>IF(COUNTIF(LETV!$A:$A, $C62), X$1, "")</f>
        <v/>
      </c>
      <c r="Y62" s="132" t="str">
        <f>IF(COUNTIF('Film&amp;Firm-A'!$A:$A, $C62), Y$1, "")</f>
        <v>Film &amp; the Firm: Visual Culture in Business Contexts (A)</v>
      </c>
      <c r="Z62" s="132" t="str">
        <f>IF(COUNTIF('Film&amp;Firm-B'!$A:$A, $C62), Z$1, "")</f>
        <v/>
      </c>
      <c r="AA62" s="132" t="str">
        <f>IF(COUNTIF(SHRM!$A:$A, $C62), AA$1, "")</f>
        <v/>
      </c>
      <c r="AB62" s="132" t="str">
        <f>IF(COUNTIF('SCM-A'!$A:$A, $C62), AB$1, "")</f>
        <v/>
      </c>
      <c r="AC62" s="132" t="str">
        <f>IF(COUNTIF('SCM-B'!$A:$A, $C62), AC$1, "")</f>
        <v/>
      </c>
      <c r="AD62" s="132" t="str">
        <f>IF(COUNTIF(AIS!$A:$A, $C62), AD$1, "")</f>
        <v/>
      </c>
      <c r="AE62" s="132" t="str">
        <f>IF(COUNTIF(EB!$A:$A, $C62), AE$1, "")</f>
        <v/>
      </c>
      <c r="AF62" s="132" t="str">
        <f>IF(COUNTIF('AIAM-A'!$A:$A, $C62), AF$1, "")</f>
        <v/>
      </c>
      <c r="AG62" s="132" t="str">
        <f>IF(COUNTIF('AIAM-B'!$A:$A, $C62), AG$1, "")</f>
        <v/>
      </c>
      <c r="AH62" s="132" t="str">
        <f>IF(COUNTIF('SA-A'!$A:$A, $C62), AH$1, "")</f>
        <v>SPORTS ANALYTICS (A)</v>
      </c>
      <c r="AI62" s="132" t="str">
        <f>IF(COUNTIF('SA-B'!$A:$A, $C62), AI$1, "")</f>
        <v/>
      </c>
      <c r="AJ62" s="132" t="str">
        <f>IF(COUNTIF(CSM!$A:$A, $C62), AJ$1, "")</f>
        <v/>
      </c>
      <c r="AK62" s="132" t="str">
        <f>IF(COUNTIF(EM!$A:$A, $C62), AK$1, "")</f>
        <v/>
      </c>
      <c r="AL62" s="132" t="str">
        <f>IF(COUNTIF(I4TS!$A:$A, $C62), AL$1, "")</f>
        <v/>
      </c>
    </row>
    <row r="63" spans="1:38" ht="13">
      <c r="A63" s="131">
        <v>62</v>
      </c>
      <c r="B63" s="131" t="s">
        <v>371</v>
      </c>
      <c r="C63" s="131" t="s">
        <v>211</v>
      </c>
      <c r="D63" s="106" t="s">
        <v>546</v>
      </c>
      <c r="E63" s="106" t="s">
        <v>547</v>
      </c>
      <c r="F63" s="131">
        <f t="shared" ca="1" si="0"/>
        <v>5</v>
      </c>
      <c r="G63" s="106" t="str">
        <f ca="1">IFERROR(__xludf.DUMMYFUNCTION("INDEX(FILTER($P63:$AL63, $P63:$AL63 &lt;&gt; """"), 1)"),"Film &amp; the Firm: Visual Culture in Business Contexts (B)")</f>
        <v>Film &amp; the Firm: Visual Culture in Business Contexts (B)</v>
      </c>
      <c r="H63" s="106" t="str">
        <f ca="1">IFERROR(__xludf.DUMMYFUNCTION("INDEX(FILTER($P63:$AL63, $P63:$AL63 &lt;&gt; """"), 2)"),"Strategic Career Management (A)")</f>
        <v>Strategic Career Management (A)</v>
      </c>
      <c r="I63" s="106" t="str">
        <f ca="1">IFERROR(__xludf.DUMMYFUNCTION("INDEX(FILTER($P63:$AL63, $P63:$AL63 &lt;&gt; """"), 3)"),"Entrepreneurial Marketing")</f>
        <v>Entrepreneurial Marketing</v>
      </c>
      <c r="J63" s="106" t="str">
        <f ca="1">IFERROR(__xludf.DUMMYFUNCTION("IFERROR(INDEX(FILTER($P63:$AL63, $P63:$AL63 &lt;&gt; """"), 4),)"),"")</f>
        <v/>
      </c>
      <c r="K63" s="106" t="str">
        <f ca="1">IFERROR(__xludf.DUMMYFUNCTION("IFERROR(INDEX(FILTER($P63:$AL63, $P63:$AL63 &lt;&gt; """"), 5),)"),"")</f>
        <v/>
      </c>
      <c r="L63" s="107"/>
      <c r="M63" s="107"/>
      <c r="N63" s="107"/>
      <c r="O63" s="107"/>
      <c r="P63" s="132" t="str">
        <f>IF(COUNTIF('Fintech-A'!$A:$A, $C63), P$1, "")</f>
        <v/>
      </c>
      <c r="Q63" s="132" t="str">
        <f>IF(COUNTIF('Fintech-B'!$A:$A, $C63), Q$1, "")</f>
        <v/>
      </c>
      <c r="R63" s="132" t="str">
        <f>IF(COUNTIF('BEDM-A'!$A:$A, $C63), R$1, "")</f>
        <v/>
      </c>
      <c r="S63" s="132" t="str">
        <f>IF(COUNTIF('BEDM-B'!$A:$A, $C63), S$1, "")</f>
        <v/>
      </c>
      <c r="T63" s="132" t="str">
        <f>IF(COUNTIF('Art-A'!$A:$A, $C63), T$1, "")</f>
        <v/>
      </c>
      <c r="U63" s="132" t="str">
        <f>IF(COUNTIF('Art-B'!$A:$A, $C63), U$1, "")</f>
        <v/>
      </c>
      <c r="V63" s="132" t="str">
        <f>IF(COUNTIF('WH-A'!$A:$A, $C63), V$1, "")</f>
        <v/>
      </c>
      <c r="W63" s="132" t="str">
        <f>IF(COUNTIF('WH-B'!$A:$A, $C63), W$1, "")</f>
        <v/>
      </c>
      <c r="X63" s="132" t="str">
        <f>IF(COUNTIF(LETV!$A:$A, $C63), X$1, "")</f>
        <v/>
      </c>
      <c r="Y63" s="132" t="str">
        <f>IF(COUNTIF('Film&amp;Firm-A'!$A:$A, $C63), Y$1, "")</f>
        <v/>
      </c>
      <c r="Z63" s="132" t="str">
        <f>IF(COUNTIF('Film&amp;Firm-B'!$A:$A, $C63), Z$1, "")</f>
        <v>Film &amp; the Firm: Visual Culture in Business Contexts (B)</v>
      </c>
      <c r="AA63" s="132" t="str">
        <f>IF(COUNTIF(SHRM!$A:$A, $C63), AA$1, "")</f>
        <v/>
      </c>
      <c r="AB63" s="132" t="str">
        <f>IF(COUNTIF('SCM-A'!$A:$A, $C63), AB$1, "")</f>
        <v>Strategic Career Management (A)</v>
      </c>
      <c r="AC63" s="132" t="str">
        <f>IF(COUNTIF('SCM-B'!$A:$A, $C63), AC$1, "")</f>
        <v/>
      </c>
      <c r="AD63" s="132" t="str">
        <f>IF(COUNTIF(AIS!$A:$A, $C63), AD$1, "")</f>
        <v/>
      </c>
      <c r="AE63" s="132" t="str">
        <f>IF(COUNTIF(EB!$A:$A, $C63), AE$1, "")</f>
        <v/>
      </c>
      <c r="AF63" s="132" t="str">
        <f>IF(COUNTIF('AIAM-A'!$A:$A, $C63), AF$1, "")</f>
        <v/>
      </c>
      <c r="AG63" s="132" t="str">
        <f>IF(COUNTIF('AIAM-B'!$A:$A, $C63), AG$1, "")</f>
        <v/>
      </c>
      <c r="AH63" s="132" t="str">
        <f>IF(COUNTIF('SA-A'!$A:$A, $C63), AH$1, "")</f>
        <v/>
      </c>
      <c r="AI63" s="132" t="str">
        <f>IF(COUNTIF('SA-B'!$A:$A, $C63), AI$1, "")</f>
        <v/>
      </c>
      <c r="AJ63" s="132" t="str">
        <f>IF(COUNTIF(CSM!$A:$A, $C63), AJ$1, "")</f>
        <v/>
      </c>
      <c r="AK63" s="132" t="str">
        <f>IF(COUNTIF(EM!$A:$A, $C63), AK$1, "")</f>
        <v>Entrepreneurial Marketing</v>
      </c>
      <c r="AL63" s="132" t="str">
        <f>IF(COUNTIF(I4TS!$A:$A, $C63), AL$1, "")</f>
        <v/>
      </c>
    </row>
    <row r="64" spans="1:38" ht="13">
      <c r="A64" s="131">
        <v>63</v>
      </c>
      <c r="B64" s="131" t="s">
        <v>371</v>
      </c>
      <c r="C64" s="131" t="s">
        <v>548</v>
      </c>
      <c r="D64" s="106" t="s">
        <v>549</v>
      </c>
      <c r="E64" s="106" t="s">
        <v>550</v>
      </c>
      <c r="F64" s="131">
        <f t="shared" ca="1" si="0"/>
        <v>5</v>
      </c>
      <c r="G64" s="106" t="str">
        <f ca="1">IFERROR(__xludf.DUMMYFUNCTION("INDEX(FILTER($P64:$AL64, $P64:$AL64 &lt;&gt; """"), 1)"),"Behavioural Economics and Decision-Making (B)")</f>
        <v>Behavioural Economics and Decision-Making (B)</v>
      </c>
      <c r="H64" s="106" t="str">
        <f ca="1">IFERROR(__xludf.DUMMYFUNCTION("INDEX(FILTER($P64:$AL64, $P64:$AL64 &lt;&gt; """"), 2)"),"The Art, Craft, and Science of Management: Learning through Classics and Best Collections (B)")</f>
        <v>The Art, Craft, and Science of Management: Learning through Classics and Best Collections (B)</v>
      </c>
      <c r="I64" s="106" t="str">
        <f ca="1">IFERROR(__xludf.DUMMYFUNCTION("INDEX(FILTER($P64:$AL64, $P64:$AL64 &lt;&gt; """"), 3)"),"Film &amp; the Firm: Visual Culture in Business Contexts (B)")</f>
        <v>Film &amp; the Firm: Visual Culture in Business Contexts (B)</v>
      </c>
      <c r="J64" s="106" t="str">
        <f ca="1">IFERROR(__xludf.DUMMYFUNCTION("IFERROR(INDEX(FILTER($P64:$AL64, $P64:$AL64 &lt;&gt; """"), 4),)"),"AI Applications in Marketing (B)")</f>
        <v>AI Applications in Marketing (B)</v>
      </c>
      <c r="K64" s="106" t="str">
        <f ca="1">IFERROR(__xludf.DUMMYFUNCTION("IFERROR(INDEX(FILTER($P64:$AL64, $P64:$AL64 &lt;&gt; """"), 5),)"),"Industry 4.0 in Transport Sector")</f>
        <v>Industry 4.0 in Transport Sector</v>
      </c>
      <c r="L64" s="107"/>
      <c r="M64" s="107"/>
      <c r="N64" s="107"/>
      <c r="O64" s="107"/>
      <c r="P64" s="132" t="str">
        <f>IF(COUNTIF('Fintech-A'!$A:$A, $C64), P$1, "")</f>
        <v/>
      </c>
      <c r="Q64" s="132" t="str">
        <f>IF(COUNTIF('Fintech-B'!$A:$A, $C64), Q$1, "")</f>
        <v/>
      </c>
      <c r="R64" s="132" t="str">
        <f>IF(COUNTIF('BEDM-A'!$A:$A, $C64), R$1, "")</f>
        <v/>
      </c>
      <c r="S64" s="132" t="str">
        <f>IF(COUNTIF('BEDM-B'!$A:$A, $C64), S$1, "")</f>
        <v>Behavioural Economics and Decision-Making (B)</v>
      </c>
      <c r="T64" s="132" t="str">
        <f>IF(COUNTIF('Art-A'!$A:$A, $C64), T$1, "")</f>
        <v/>
      </c>
      <c r="U64" s="132" t="str">
        <f>IF(COUNTIF('Art-B'!$A:$A, $C64), U$1, "")</f>
        <v>The Art, Craft, and Science of Management: Learning through Classics and Best Collections (B)</v>
      </c>
      <c r="V64" s="132" t="str">
        <f>IF(COUNTIF('WH-A'!$A:$A, $C64), V$1, "")</f>
        <v/>
      </c>
      <c r="W64" s="132" t="str">
        <f>IF(COUNTIF('WH-B'!$A:$A, $C64), W$1, "")</f>
        <v/>
      </c>
      <c r="X64" s="132" t="str">
        <f>IF(COUNTIF(LETV!$A:$A, $C64), X$1, "")</f>
        <v/>
      </c>
      <c r="Y64" s="132" t="str">
        <f>IF(COUNTIF('Film&amp;Firm-A'!$A:$A, $C64), Y$1, "")</f>
        <v/>
      </c>
      <c r="Z64" s="132" t="str">
        <f>IF(COUNTIF('Film&amp;Firm-B'!$A:$A, $C64), Z$1, "")</f>
        <v>Film &amp; the Firm: Visual Culture in Business Contexts (B)</v>
      </c>
      <c r="AA64" s="132" t="str">
        <f>IF(COUNTIF(SHRM!$A:$A, $C64), AA$1, "")</f>
        <v/>
      </c>
      <c r="AB64" s="132" t="str">
        <f>IF(COUNTIF('SCM-A'!$A:$A, $C64), AB$1, "")</f>
        <v/>
      </c>
      <c r="AC64" s="132" t="str">
        <f>IF(COUNTIF('SCM-B'!$A:$A, $C64), AC$1, "")</f>
        <v/>
      </c>
      <c r="AD64" s="132" t="str">
        <f>IF(COUNTIF(AIS!$A:$A, $C64), AD$1, "")</f>
        <v/>
      </c>
      <c r="AE64" s="132" t="str">
        <f>IF(COUNTIF(EB!$A:$A, $C64), AE$1, "")</f>
        <v/>
      </c>
      <c r="AF64" s="132" t="str">
        <f>IF(COUNTIF('AIAM-A'!$A:$A, $C64), AF$1, "")</f>
        <v/>
      </c>
      <c r="AG64" s="132" t="str">
        <f>IF(COUNTIF('AIAM-B'!$A:$A, $C64), AG$1, "")</f>
        <v>AI Applications in Marketing (B)</v>
      </c>
      <c r="AH64" s="132" t="str">
        <f>IF(COUNTIF('SA-A'!$A:$A, $C64), AH$1, "")</f>
        <v/>
      </c>
      <c r="AI64" s="132" t="str">
        <f>IF(COUNTIF('SA-B'!$A:$A, $C64), AI$1, "")</f>
        <v/>
      </c>
      <c r="AJ64" s="132" t="str">
        <f>IF(COUNTIF(CSM!$A:$A, $C64), AJ$1, "")</f>
        <v/>
      </c>
      <c r="AK64" s="132" t="str">
        <f>IF(COUNTIF(EM!$A:$A, $C64), AK$1, "")</f>
        <v/>
      </c>
      <c r="AL64" s="132" t="str">
        <f>IF(COUNTIF(I4TS!$A:$A, $C64), AL$1, "")</f>
        <v>Industry 4.0 in Transport Sector</v>
      </c>
    </row>
    <row r="65" spans="1:38" ht="13">
      <c r="A65" s="131">
        <v>64</v>
      </c>
      <c r="B65" s="131" t="s">
        <v>371</v>
      </c>
      <c r="C65" s="131" t="s">
        <v>217</v>
      </c>
      <c r="D65" s="106" t="s">
        <v>551</v>
      </c>
      <c r="E65" s="106" t="s">
        <v>552</v>
      </c>
      <c r="F65" s="131">
        <f t="shared" ca="1" si="0"/>
        <v>5</v>
      </c>
      <c r="G65" s="106" t="str">
        <f ca="1">IFERROR(__xludf.DUMMYFUNCTION("INDEX(FILTER($P65:$AL65, $P65:$AL65 &lt;&gt; """"), 1)"),"Behavioural Economics and Decision-Making (A)")</f>
        <v>Behavioural Economics and Decision-Making (A)</v>
      </c>
      <c r="H65" s="106" t="str">
        <f ca="1">IFERROR(__xludf.DUMMYFUNCTION("INDEX(FILTER($P65:$AL65, $P65:$AL65 &lt;&gt; """"), 2)"),"Workplace Happiness: Science &amp; Practice (B)")</f>
        <v>Workplace Happiness: Science &amp; Practice (B)</v>
      </c>
      <c r="I65" s="106" t="str">
        <f ca="1">IFERROR(__xludf.DUMMYFUNCTION("INDEX(FILTER($P65:$AL65, $P65:$AL65 &lt;&gt; """"), 3)"),"AI Applications in Marketing (A)")</f>
        <v>AI Applications in Marketing (A)</v>
      </c>
      <c r="J65" s="106" t="str">
        <f ca="1">IFERROR(__xludf.DUMMYFUNCTION("IFERROR(INDEX(FILTER($P65:$AL65, $P65:$AL65 &lt;&gt; """"), 4),)"),"")</f>
        <v/>
      </c>
      <c r="K65" s="106" t="str">
        <f ca="1">IFERROR(__xludf.DUMMYFUNCTION("IFERROR(INDEX(FILTER($P65:$AL65, $P65:$AL65 &lt;&gt; """"), 5),)"),"")</f>
        <v/>
      </c>
      <c r="L65" s="107"/>
      <c r="M65" s="107"/>
      <c r="N65" s="107"/>
      <c r="O65" s="107"/>
      <c r="P65" s="132" t="str">
        <f>IF(COUNTIF('Fintech-A'!$A:$A, $C65), P$1, "")</f>
        <v/>
      </c>
      <c r="Q65" s="132" t="str">
        <f>IF(COUNTIF('Fintech-B'!$A:$A, $C65), Q$1, "")</f>
        <v/>
      </c>
      <c r="R65" s="132" t="str">
        <f>IF(COUNTIF('BEDM-A'!$A:$A, $C65), R$1, "")</f>
        <v>Behavioural Economics and Decision-Making (A)</v>
      </c>
      <c r="S65" s="132" t="str">
        <f>IF(COUNTIF('BEDM-B'!$A:$A, $C65), S$1, "")</f>
        <v/>
      </c>
      <c r="T65" s="132" t="str">
        <f>IF(COUNTIF('Art-A'!$A:$A, $C65), T$1, "")</f>
        <v/>
      </c>
      <c r="U65" s="132" t="str">
        <f>IF(COUNTIF('Art-B'!$A:$A, $C65), U$1, "")</f>
        <v/>
      </c>
      <c r="V65" s="132" t="str">
        <f>IF(COUNTIF('WH-A'!$A:$A, $C65), V$1, "")</f>
        <v/>
      </c>
      <c r="W65" s="132" t="str">
        <f>IF(COUNTIF('WH-B'!$A:$A, $C65), W$1, "")</f>
        <v>Workplace Happiness: Science &amp; Practice (B)</v>
      </c>
      <c r="X65" s="132" t="str">
        <f>IF(COUNTIF(LETV!$A:$A, $C65), X$1, "")</f>
        <v/>
      </c>
      <c r="Y65" s="132" t="str">
        <f>IF(COUNTIF('Film&amp;Firm-A'!$A:$A, $C65), Y$1, "")</f>
        <v/>
      </c>
      <c r="Z65" s="132" t="str">
        <f>IF(COUNTIF('Film&amp;Firm-B'!$A:$A, $C65), Z$1, "")</f>
        <v/>
      </c>
      <c r="AA65" s="132" t="str">
        <f>IF(COUNTIF(SHRM!$A:$A, $C65), AA$1, "")</f>
        <v/>
      </c>
      <c r="AB65" s="132" t="str">
        <f>IF(COUNTIF('SCM-A'!$A:$A, $C65), AB$1, "")</f>
        <v/>
      </c>
      <c r="AC65" s="132" t="str">
        <f>IF(COUNTIF('SCM-B'!$A:$A, $C65), AC$1, "")</f>
        <v/>
      </c>
      <c r="AD65" s="132" t="str">
        <f>IF(COUNTIF(AIS!$A:$A, $C65), AD$1, "")</f>
        <v/>
      </c>
      <c r="AE65" s="132" t="str">
        <f>IF(COUNTIF(EB!$A:$A, $C65), AE$1, "")</f>
        <v/>
      </c>
      <c r="AF65" s="132" t="str">
        <f>IF(COUNTIF('AIAM-A'!$A:$A, $C65), AF$1, "")</f>
        <v>AI Applications in Marketing (A)</v>
      </c>
      <c r="AG65" s="132" t="str">
        <f>IF(COUNTIF('AIAM-B'!$A:$A, $C65), AG$1, "")</f>
        <v/>
      </c>
      <c r="AH65" s="132" t="str">
        <f>IF(COUNTIF('SA-A'!$A:$A, $C65), AH$1, "")</f>
        <v/>
      </c>
      <c r="AI65" s="132" t="str">
        <f>IF(COUNTIF('SA-B'!$A:$A, $C65), AI$1, "")</f>
        <v/>
      </c>
      <c r="AJ65" s="132" t="str">
        <f>IF(COUNTIF(CSM!$A:$A, $C65), AJ$1, "")</f>
        <v/>
      </c>
      <c r="AK65" s="132" t="str">
        <f>IF(COUNTIF(EM!$A:$A, $C65), AK$1, "")</f>
        <v/>
      </c>
      <c r="AL65" s="132" t="str">
        <f>IF(COUNTIF(I4TS!$A:$A, $C65), AL$1, "")</f>
        <v/>
      </c>
    </row>
    <row r="66" spans="1:38" ht="13">
      <c r="A66" s="131">
        <v>65</v>
      </c>
      <c r="B66" s="131" t="s">
        <v>371</v>
      </c>
      <c r="C66" s="131" t="s">
        <v>231</v>
      </c>
      <c r="D66" s="106" t="s">
        <v>553</v>
      </c>
      <c r="E66" s="106" t="s">
        <v>554</v>
      </c>
      <c r="F66" s="131">
        <f t="shared" ca="1" si="0"/>
        <v>5</v>
      </c>
      <c r="G66" s="106" t="str">
        <f ca="1">IFERROR(__xludf.DUMMYFUNCTION("INDEX(FILTER($P66:$AL66, $P66:$AL66 &lt;&gt; """"), 1)"),"Fintech (Digital Transformation in Finance) (B)")</f>
        <v>Fintech (Digital Transformation in Finance) (B)</v>
      </c>
      <c r="H66" s="106" t="str">
        <f ca="1">IFERROR(__xludf.DUMMYFUNCTION("INDEX(FILTER($P66:$AL66, $P66:$AL66 &lt;&gt; """"), 2)"),"Strategic Career Management (A)")</f>
        <v>Strategic Career Management (A)</v>
      </c>
      <c r="I66" s="106" t="str">
        <f ca="1">IFERROR(__xludf.DUMMYFUNCTION("INDEX(FILTER($P66:$AL66, $P66:$AL66 &lt;&gt; """"), 3)"),"AI AND  STRATEGY")</f>
        <v>AI AND  STRATEGY</v>
      </c>
      <c r="J66" s="106" t="str">
        <f ca="1">IFERROR(__xludf.DUMMYFUNCTION("IFERROR(INDEX(FILTER($P66:$AL66, $P66:$AL66 &lt;&gt; """"), 4),)"),"")</f>
        <v/>
      </c>
      <c r="K66" s="106" t="str">
        <f ca="1">IFERROR(__xludf.DUMMYFUNCTION("IFERROR(INDEX(FILTER($P66:$AL66, $P66:$AL66 &lt;&gt; """"), 5),)"),"")</f>
        <v/>
      </c>
      <c r="L66" s="107"/>
      <c r="M66" s="107"/>
      <c r="N66" s="107"/>
      <c r="O66" s="107"/>
      <c r="P66" s="132" t="str">
        <f>IF(COUNTIF('Fintech-A'!$A:$A, $C66), P$1, "")</f>
        <v/>
      </c>
      <c r="Q66" s="132" t="str">
        <f>IF(COUNTIF('Fintech-B'!$A:$A, $C66), Q$1, "")</f>
        <v>Fintech (Digital Transformation in Finance) (B)</v>
      </c>
      <c r="R66" s="132" t="str">
        <f>IF(COUNTIF('BEDM-A'!$A:$A, $C66), R$1, "")</f>
        <v/>
      </c>
      <c r="S66" s="132" t="str">
        <f>IF(COUNTIF('BEDM-B'!$A:$A, $C66), S$1, "")</f>
        <v/>
      </c>
      <c r="T66" s="132" t="str">
        <f>IF(COUNTIF('Art-A'!$A:$A, $C66), T$1, "")</f>
        <v/>
      </c>
      <c r="U66" s="132" t="str">
        <f>IF(COUNTIF('Art-B'!$A:$A, $C66), U$1, "")</f>
        <v/>
      </c>
      <c r="V66" s="132" t="str">
        <f>IF(COUNTIF('WH-A'!$A:$A, $C66), V$1, "")</f>
        <v/>
      </c>
      <c r="W66" s="132" t="str">
        <f>IF(COUNTIF('WH-B'!$A:$A, $C66), W$1, "")</f>
        <v/>
      </c>
      <c r="X66" s="132" t="str">
        <f>IF(COUNTIF(LETV!$A:$A, $C66), X$1, "")</f>
        <v/>
      </c>
      <c r="Y66" s="132" t="str">
        <f>IF(COUNTIF('Film&amp;Firm-A'!$A:$A, $C66), Y$1, "")</f>
        <v/>
      </c>
      <c r="Z66" s="132" t="str">
        <f>IF(COUNTIF('Film&amp;Firm-B'!$A:$A, $C66), Z$1, "")</f>
        <v/>
      </c>
      <c r="AA66" s="132" t="str">
        <f>IF(COUNTIF(SHRM!$A:$A, $C66), AA$1, "")</f>
        <v/>
      </c>
      <c r="AB66" s="132" t="str">
        <f>IF(COUNTIF('SCM-A'!$A:$A, $C66), AB$1, "")</f>
        <v>Strategic Career Management (A)</v>
      </c>
      <c r="AC66" s="132" t="str">
        <f>IF(COUNTIF('SCM-B'!$A:$A, $C66), AC$1, "")</f>
        <v/>
      </c>
      <c r="AD66" s="132" t="str">
        <f>IF(COUNTIF(AIS!$A:$A, $C66), AD$1, "")</f>
        <v>AI AND  STRATEGY</v>
      </c>
      <c r="AE66" s="132" t="str">
        <f>IF(COUNTIF(EB!$A:$A, $C66), AE$1, "")</f>
        <v/>
      </c>
      <c r="AF66" s="132" t="str">
        <f>IF(COUNTIF('AIAM-A'!$A:$A, $C66), AF$1, "")</f>
        <v/>
      </c>
      <c r="AG66" s="132" t="str">
        <f>IF(COUNTIF('AIAM-B'!$A:$A, $C66), AG$1, "")</f>
        <v/>
      </c>
      <c r="AH66" s="132" t="str">
        <f>IF(COUNTIF('SA-A'!$A:$A, $C66), AH$1, "")</f>
        <v/>
      </c>
      <c r="AI66" s="132" t="str">
        <f>IF(COUNTIF('SA-B'!$A:$A, $C66), AI$1, "")</f>
        <v/>
      </c>
      <c r="AJ66" s="132" t="str">
        <f>IF(COUNTIF(CSM!$A:$A, $C66), AJ$1, "")</f>
        <v/>
      </c>
      <c r="AK66" s="132" t="str">
        <f>IF(COUNTIF(EM!$A:$A, $C66), AK$1, "")</f>
        <v/>
      </c>
      <c r="AL66" s="132" t="str">
        <f>IF(COUNTIF(I4TS!$A:$A, $C66), AL$1, "")</f>
        <v/>
      </c>
    </row>
    <row r="67" spans="1:38" ht="13">
      <c r="A67" s="131">
        <v>66</v>
      </c>
      <c r="B67" s="131" t="s">
        <v>371</v>
      </c>
      <c r="C67" s="131" t="s">
        <v>265</v>
      </c>
      <c r="D67" s="106" t="s">
        <v>555</v>
      </c>
      <c r="E67" s="106" t="s">
        <v>556</v>
      </c>
      <c r="F67" s="131">
        <f t="shared" ca="1" si="0"/>
        <v>5</v>
      </c>
      <c r="G67" s="106" t="str">
        <f ca="1">IFERROR(__xludf.DUMMYFUNCTION("INDEX(FILTER($P67:$AL67, $P67:$AL67 &lt;&gt; """"), 1)"),"Strategic Career Management (B)")</f>
        <v>Strategic Career Management (B)</v>
      </c>
      <c r="H67" s="106" t="str">
        <f ca="1">IFERROR(__xludf.DUMMYFUNCTION("INDEX(FILTER($P67:$AL67, $P67:$AL67 &lt;&gt; """"), 2)"),"Customer Success Management")</f>
        <v>Customer Success Management</v>
      </c>
      <c r="I67" s="106" t="str">
        <f ca="1">IFERROR(__xludf.DUMMYFUNCTION("INDEX(FILTER($P67:$AL67, $P67:$AL67 &lt;&gt; """"), 3)"),"Entrepreneurial Marketing")</f>
        <v>Entrepreneurial Marketing</v>
      </c>
      <c r="J67" s="106" t="str">
        <f ca="1">IFERROR(__xludf.DUMMYFUNCTION("IFERROR(INDEX(FILTER($P67:$AL67, $P67:$AL67 &lt;&gt; """"), 4),)"),"")</f>
        <v/>
      </c>
      <c r="K67" s="106" t="str">
        <f ca="1">IFERROR(__xludf.DUMMYFUNCTION("IFERROR(INDEX(FILTER($P67:$AL67, $P67:$AL67 &lt;&gt; """"), 5),)"),"")</f>
        <v/>
      </c>
      <c r="L67" s="107"/>
      <c r="M67" s="107"/>
      <c r="N67" s="107"/>
      <c r="O67" s="107"/>
      <c r="P67" s="132" t="str">
        <f>IF(COUNTIF('Fintech-A'!$A:$A, $C67), P$1, "")</f>
        <v/>
      </c>
      <c r="Q67" s="132" t="str">
        <f>IF(COUNTIF('Fintech-B'!$A:$A, $C67), Q$1, "")</f>
        <v/>
      </c>
      <c r="R67" s="132" t="str">
        <f>IF(COUNTIF('BEDM-A'!$A:$A, $C67), R$1, "")</f>
        <v/>
      </c>
      <c r="S67" s="132" t="str">
        <f>IF(COUNTIF('BEDM-B'!$A:$A, $C67), S$1, "")</f>
        <v/>
      </c>
      <c r="T67" s="132" t="str">
        <f>IF(COUNTIF('Art-A'!$A:$A, $C67), T$1, "")</f>
        <v/>
      </c>
      <c r="U67" s="132" t="str">
        <f>IF(COUNTIF('Art-B'!$A:$A, $C67), U$1, "")</f>
        <v/>
      </c>
      <c r="V67" s="132" t="str">
        <f>IF(COUNTIF('WH-A'!$A:$A, $C67), V$1, "")</f>
        <v/>
      </c>
      <c r="W67" s="132" t="str">
        <f>IF(COUNTIF('WH-B'!$A:$A, $C67), W$1, "")</f>
        <v/>
      </c>
      <c r="X67" s="132" t="str">
        <f>IF(COUNTIF(LETV!$A:$A, $C67), X$1, "")</f>
        <v/>
      </c>
      <c r="Y67" s="132" t="str">
        <f>IF(COUNTIF('Film&amp;Firm-A'!$A:$A, $C67), Y$1, "")</f>
        <v/>
      </c>
      <c r="Z67" s="132" t="str">
        <f>IF(COUNTIF('Film&amp;Firm-B'!$A:$A, $C67), Z$1, "")</f>
        <v/>
      </c>
      <c r="AA67" s="132" t="str">
        <f>IF(COUNTIF(SHRM!$A:$A, $C67), AA$1, "")</f>
        <v/>
      </c>
      <c r="AB67" s="132" t="str">
        <f>IF(COUNTIF('SCM-A'!$A:$A, $C67), AB$1, "")</f>
        <v/>
      </c>
      <c r="AC67" s="132" t="str">
        <f>IF(COUNTIF('SCM-B'!$A:$A, $C67), AC$1, "")</f>
        <v>Strategic Career Management (B)</v>
      </c>
      <c r="AD67" s="132" t="str">
        <f>IF(COUNTIF(AIS!$A:$A, $C67), AD$1, "")</f>
        <v/>
      </c>
      <c r="AE67" s="132" t="str">
        <f>IF(COUNTIF(EB!$A:$A, $C67), AE$1, "")</f>
        <v/>
      </c>
      <c r="AF67" s="132" t="str">
        <f>IF(COUNTIF('AIAM-A'!$A:$A, $C67), AF$1, "")</f>
        <v/>
      </c>
      <c r="AG67" s="132" t="str">
        <f>IF(COUNTIF('AIAM-B'!$A:$A, $C67), AG$1, "")</f>
        <v/>
      </c>
      <c r="AH67" s="132" t="str">
        <f>IF(COUNTIF('SA-A'!$A:$A, $C67), AH$1, "")</f>
        <v/>
      </c>
      <c r="AI67" s="132" t="str">
        <f>IF(COUNTIF('SA-B'!$A:$A, $C67), AI$1, "")</f>
        <v/>
      </c>
      <c r="AJ67" s="132" t="str">
        <f>IF(COUNTIF(CSM!$A:$A, $C67), AJ$1, "")</f>
        <v>Customer Success Management</v>
      </c>
      <c r="AK67" s="132" t="str">
        <f>IF(COUNTIF(EM!$A:$A, $C67), AK$1, "")</f>
        <v>Entrepreneurial Marketing</v>
      </c>
      <c r="AL67" s="132" t="str">
        <f>IF(COUNTIF(I4TS!$A:$A, $C67), AL$1, "")</f>
        <v/>
      </c>
    </row>
    <row r="68" spans="1:38" ht="13">
      <c r="A68" s="131">
        <v>67</v>
      </c>
      <c r="B68" s="131" t="s">
        <v>557</v>
      </c>
      <c r="C68" s="134" t="s">
        <v>558</v>
      </c>
      <c r="D68" s="135" t="s">
        <v>559</v>
      </c>
      <c r="E68" s="135" t="s">
        <v>560</v>
      </c>
      <c r="F68" s="131">
        <f t="shared" ca="1" si="0"/>
        <v>5</v>
      </c>
      <c r="G68" s="106" t="str">
        <f ca="1">IFERROR(__xludf.DUMMYFUNCTION("INDEX(FILTER($P68:$AL68, $P68:$AL68 &lt;&gt; """"), 1)"),"Fintech (Digital Transformation in Finance) (B)")</f>
        <v>Fintech (Digital Transformation in Finance) (B)</v>
      </c>
      <c r="H68" s="106" t="str">
        <f ca="1">IFERROR(__xludf.DUMMYFUNCTION("INDEX(FILTER($P68:$AL68, $P68:$AL68 &lt;&gt; """"), 2)"),"Film &amp; the Firm: Visual Culture in Business Contexts (A)")</f>
        <v>Film &amp; the Firm: Visual Culture in Business Contexts (A)</v>
      </c>
      <c r="I68" s="106" t="str">
        <f ca="1">IFERROR(__xludf.DUMMYFUNCTION("INDEX(FILTER($P68:$AL68, $P68:$AL68 &lt;&gt; """"), 3)"),"AI AND  STRATEGY")</f>
        <v>AI AND  STRATEGY</v>
      </c>
      <c r="J68" s="106" t="str">
        <f ca="1">IFERROR(__xludf.DUMMYFUNCTION("IFERROR(INDEX(FILTER($P68:$AL68, $P68:$AL68 &lt;&gt; """"), 4),)"),"")</f>
        <v/>
      </c>
      <c r="K68" s="106" t="str">
        <f ca="1">IFERROR(__xludf.DUMMYFUNCTION("IFERROR(INDEX(FILTER($P68:$AL68, $P68:$AL68 &lt;&gt; """"), 5),)"),"")</f>
        <v/>
      </c>
      <c r="L68" s="107"/>
      <c r="M68" s="107"/>
      <c r="N68" s="107"/>
      <c r="O68" s="107"/>
      <c r="P68" s="132" t="str">
        <f>IF(COUNTIF('Fintech-A'!$A:$A, $C68), P$1, "")</f>
        <v/>
      </c>
      <c r="Q68" s="132" t="str">
        <f>IF(COUNTIF('Fintech-B'!$A:$A, $C68), Q$1, "")</f>
        <v>Fintech (Digital Transformation in Finance) (B)</v>
      </c>
      <c r="R68" s="132" t="str">
        <f>IF(COUNTIF('BEDM-A'!$A:$A, $C68), R$1, "")</f>
        <v/>
      </c>
      <c r="S68" s="132" t="str">
        <f>IF(COUNTIF('BEDM-B'!$A:$A, $C68), S$1, "")</f>
        <v/>
      </c>
      <c r="T68" s="132" t="str">
        <f>IF(COUNTIF('Art-A'!$A:$A, $C68), T$1, "")</f>
        <v/>
      </c>
      <c r="U68" s="132" t="str">
        <f>IF(COUNTIF('Art-B'!$A:$A, $C68), U$1, "")</f>
        <v/>
      </c>
      <c r="V68" s="132" t="str">
        <f>IF(COUNTIF('WH-A'!$A:$A, $C68), V$1, "")</f>
        <v/>
      </c>
      <c r="W68" s="132" t="str">
        <f>IF(COUNTIF('WH-B'!$A:$A, $C68), W$1, "")</f>
        <v/>
      </c>
      <c r="X68" s="132" t="str">
        <f>IF(COUNTIF(LETV!$A:$A, $C68), X$1, "")</f>
        <v/>
      </c>
      <c r="Y68" s="132" t="str">
        <f>IF(COUNTIF('Film&amp;Firm-A'!$A:$A, $C68), Y$1, "")</f>
        <v>Film &amp; the Firm: Visual Culture in Business Contexts (A)</v>
      </c>
      <c r="Z68" s="132" t="str">
        <f>IF(COUNTIF('Film&amp;Firm-B'!$A:$A, $C68), Z$1, "")</f>
        <v/>
      </c>
      <c r="AA68" s="132" t="str">
        <f>IF(COUNTIF(SHRM!$A:$A, $C68), AA$1, "")</f>
        <v/>
      </c>
      <c r="AB68" s="132" t="str">
        <f>IF(COUNTIF('SCM-A'!$A:$A, $C68), AB$1, "")</f>
        <v/>
      </c>
      <c r="AC68" s="132" t="str">
        <f>IF(COUNTIF('SCM-B'!$A:$A, $C68), AC$1, "")</f>
        <v/>
      </c>
      <c r="AD68" s="132" t="str">
        <f>IF(COUNTIF(AIS!$A:$A, $C68), AD$1, "")</f>
        <v>AI AND  STRATEGY</v>
      </c>
      <c r="AE68" s="132" t="str">
        <f>IF(COUNTIF(EB!$A:$A, $C68), AE$1, "")</f>
        <v/>
      </c>
      <c r="AF68" s="132" t="str">
        <f>IF(COUNTIF('AIAM-A'!$A:$A, $C68), AF$1, "")</f>
        <v/>
      </c>
      <c r="AG68" s="132" t="str">
        <f>IF(COUNTIF('AIAM-B'!$A:$A, $C68), AG$1, "")</f>
        <v/>
      </c>
      <c r="AH68" s="132" t="str">
        <f>IF(COUNTIF('SA-A'!$A:$A, $C68), AH$1, "")</f>
        <v/>
      </c>
      <c r="AI68" s="132" t="str">
        <f>IF(COUNTIF('SA-B'!$A:$A, $C68), AI$1, "")</f>
        <v/>
      </c>
      <c r="AJ68" s="132" t="str">
        <f>IF(COUNTIF(CSM!$A:$A, $C68), AJ$1, "")</f>
        <v/>
      </c>
      <c r="AK68" s="132" t="str">
        <f>IF(COUNTIF(EM!$A:$A, $C68), AK$1, "")</f>
        <v/>
      </c>
      <c r="AL68" s="132" t="str">
        <f>IF(COUNTIF(I4TS!$A:$A, $C68), AL$1, "")</f>
        <v/>
      </c>
    </row>
    <row r="69" spans="1:38" ht="13">
      <c r="A69" s="131">
        <v>68</v>
      </c>
      <c r="B69" s="131" t="s">
        <v>557</v>
      </c>
      <c r="C69" s="134" t="s">
        <v>252</v>
      </c>
      <c r="D69" s="135" t="s">
        <v>561</v>
      </c>
      <c r="E69" s="135" t="s">
        <v>562</v>
      </c>
      <c r="F69" s="131">
        <f t="shared" ca="1" si="0"/>
        <v>5</v>
      </c>
      <c r="G69" s="106" t="str">
        <f ca="1">IFERROR(__xludf.DUMMYFUNCTION("INDEX(FILTER($P69:$AL69, $P69:$AL69 &lt;&gt; """"), 1)"),"Workplace Happiness: Science &amp; Practice (B)")</f>
        <v>Workplace Happiness: Science &amp; Practice (B)</v>
      </c>
      <c r="H69" s="106" t="str">
        <f ca="1">IFERROR(__xludf.DUMMYFUNCTION("INDEX(FILTER($P69:$AL69, $P69:$AL69 &lt;&gt; """"), 2)"),"Strategic Career Management (B)")</f>
        <v>Strategic Career Management (B)</v>
      </c>
      <c r="I69" s="106" t="str">
        <f ca="1">IFERROR(__xludf.DUMMYFUNCTION("INDEX(FILTER($P69:$AL69, $P69:$AL69 &lt;&gt; """"), 3)"),"AI Applications in Marketing (A)")</f>
        <v>AI Applications in Marketing (A)</v>
      </c>
      <c r="J69" s="106" t="str">
        <f ca="1">IFERROR(__xludf.DUMMYFUNCTION("IFERROR(INDEX(FILTER($P69:$AL69, $P69:$AL69 &lt;&gt; """"), 4),)"),"")</f>
        <v/>
      </c>
      <c r="K69" s="106" t="str">
        <f ca="1">IFERROR(__xludf.DUMMYFUNCTION("IFERROR(INDEX(FILTER($P69:$AL69, $P69:$AL69 &lt;&gt; """"), 5),)"),"")</f>
        <v/>
      </c>
      <c r="L69" s="107"/>
      <c r="M69" s="107"/>
      <c r="N69" s="107"/>
      <c r="O69" s="107"/>
      <c r="P69" s="132" t="str">
        <f>IF(COUNTIF('Fintech-A'!$A:$A, $C69), P$1, "")</f>
        <v/>
      </c>
      <c r="Q69" s="132" t="str">
        <f>IF(COUNTIF('Fintech-B'!$A:$A, $C69), Q$1, "")</f>
        <v/>
      </c>
      <c r="R69" s="132" t="str">
        <f>IF(COUNTIF('BEDM-A'!$A:$A, $C69), R$1, "")</f>
        <v/>
      </c>
      <c r="S69" s="132" t="str">
        <f>IF(COUNTIF('BEDM-B'!$A:$A, $C69), S$1, "")</f>
        <v/>
      </c>
      <c r="T69" s="132" t="str">
        <f>IF(COUNTIF('Art-A'!$A:$A, $C69), T$1, "")</f>
        <v/>
      </c>
      <c r="U69" s="132" t="str">
        <f>IF(COUNTIF('Art-B'!$A:$A, $C69), U$1, "")</f>
        <v/>
      </c>
      <c r="V69" s="132" t="str">
        <f>IF(COUNTIF('WH-A'!$A:$A, $C69), V$1, "")</f>
        <v/>
      </c>
      <c r="W69" s="132" t="str">
        <f>IF(COUNTIF('WH-B'!$A:$A, $C69), W$1, "")</f>
        <v>Workplace Happiness: Science &amp; Practice (B)</v>
      </c>
      <c r="X69" s="132" t="str">
        <f>IF(COUNTIF(LETV!$A:$A, $C69), X$1, "")</f>
        <v/>
      </c>
      <c r="Y69" s="132" t="str">
        <f>IF(COUNTIF('Film&amp;Firm-A'!$A:$A, $C69), Y$1, "")</f>
        <v/>
      </c>
      <c r="Z69" s="132" t="str">
        <f>IF(COUNTIF('Film&amp;Firm-B'!$A:$A, $C69), Z$1, "")</f>
        <v/>
      </c>
      <c r="AA69" s="132" t="str">
        <f>IF(COUNTIF(SHRM!$A:$A, $C69), AA$1, "")</f>
        <v/>
      </c>
      <c r="AB69" s="132" t="str">
        <f>IF(COUNTIF('SCM-A'!$A:$A, $C69), AB$1, "")</f>
        <v/>
      </c>
      <c r="AC69" s="132" t="str">
        <f>IF(COUNTIF('SCM-B'!$A:$A, $C69), AC$1, "")</f>
        <v>Strategic Career Management (B)</v>
      </c>
      <c r="AD69" s="132" t="str">
        <f>IF(COUNTIF(AIS!$A:$A, $C69), AD$1, "")</f>
        <v/>
      </c>
      <c r="AE69" s="132" t="str">
        <f>IF(COUNTIF(EB!$A:$A, $C69), AE$1, "")</f>
        <v/>
      </c>
      <c r="AF69" s="132" t="str">
        <f>IF(COUNTIF('AIAM-A'!$A:$A, $C69), AF$1, "")</f>
        <v>AI Applications in Marketing (A)</v>
      </c>
      <c r="AG69" s="132" t="str">
        <f>IF(COUNTIF('AIAM-B'!$A:$A, $C69), AG$1, "")</f>
        <v/>
      </c>
      <c r="AH69" s="132" t="str">
        <f>IF(COUNTIF('SA-A'!$A:$A, $C69), AH$1, "")</f>
        <v/>
      </c>
      <c r="AI69" s="132" t="str">
        <f>IF(COUNTIF('SA-B'!$A:$A, $C69), AI$1, "")</f>
        <v/>
      </c>
      <c r="AJ69" s="132" t="str">
        <f>IF(COUNTIF(CSM!$A:$A, $C69), AJ$1, "")</f>
        <v/>
      </c>
      <c r="AK69" s="132" t="str">
        <f>IF(COUNTIF(EM!$A:$A, $C69), AK$1, "")</f>
        <v/>
      </c>
      <c r="AL69" s="132" t="str">
        <f>IF(COUNTIF(I4TS!$A:$A, $C69), AL$1, "")</f>
        <v/>
      </c>
    </row>
    <row r="70" spans="1:38" ht="13">
      <c r="A70" s="131">
        <v>69</v>
      </c>
      <c r="B70" s="131" t="s">
        <v>557</v>
      </c>
      <c r="C70" s="134" t="s">
        <v>253</v>
      </c>
      <c r="D70" s="135" t="s">
        <v>563</v>
      </c>
      <c r="E70" s="135" t="s">
        <v>564</v>
      </c>
      <c r="F70" s="131">
        <f t="shared" ca="1" si="0"/>
        <v>5</v>
      </c>
      <c r="G70" s="106" t="str">
        <f ca="1">IFERROR(__xludf.DUMMYFUNCTION("INDEX(FILTER($P70:$AL70, $P70:$AL70 &lt;&gt; """"), 1)"),"Fintech (Digital Transformation in Finance) (B)")</f>
        <v>Fintech (Digital Transformation in Finance) (B)</v>
      </c>
      <c r="H70" s="106" t="str">
        <f ca="1">IFERROR(__xludf.DUMMYFUNCTION("INDEX(FILTER($P70:$AL70, $P70:$AL70 &lt;&gt; """"), 2)"),"Workplace Happiness: Science &amp; Practice (A)")</f>
        <v>Workplace Happiness: Science &amp; Practice (A)</v>
      </c>
      <c r="I70" s="106" t="str">
        <f ca="1">IFERROR(__xludf.DUMMYFUNCTION("INDEX(FILTER($P70:$AL70, $P70:$AL70 &lt;&gt; """"), 3)"),"Leadership Excellence Through Values : Wisdom from the Mahabharata")</f>
        <v>Leadership Excellence Through Values : Wisdom from the Mahabharata</v>
      </c>
      <c r="J70" s="106" t="str">
        <f ca="1">IFERROR(__xludf.DUMMYFUNCTION("IFERROR(INDEX(FILTER($P70:$AL70, $P70:$AL70 &lt;&gt; """"), 4),)"),"")</f>
        <v/>
      </c>
      <c r="K70" s="106" t="str">
        <f ca="1">IFERROR(__xludf.DUMMYFUNCTION("IFERROR(INDEX(FILTER($P70:$AL70, $P70:$AL70 &lt;&gt; """"), 5),)"),"")</f>
        <v/>
      </c>
      <c r="L70" s="107"/>
      <c r="M70" s="107"/>
      <c r="N70" s="107"/>
      <c r="O70" s="107"/>
      <c r="P70" s="132" t="str">
        <f>IF(COUNTIF('Fintech-A'!$A:$A, $C70), P$1, "")</f>
        <v/>
      </c>
      <c r="Q70" s="132" t="str">
        <f>IF(COUNTIF('Fintech-B'!$A:$A, $C70), Q$1, "")</f>
        <v>Fintech (Digital Transformation in Finance) (B)</v>
      </c>
      <c r="R70" s="132" t="str">
        <f>IF(COUNTIF('BEDM-A'!$A:$A, $C70), R$1, "")</f>
        <v/>
      </c>
      <c r="S70" s="132" t="str">
        <f>IF(COUNTIF('BEDM-B'!$A:$A, $C70), S$1, "")</f>
        <v/>
      </c>
      <c r="T70" s="132" t="str">
        <f>IF(COUNTIF('Art-A'!$A:$A, $C70), T$1, "")</f>
        <v/>
      </c>
      <c r="U70" s="132" t="str">
        <f>IF(COUNTIF('Art-B'!$A:$A, $C70), U$1, "")</f>
        <v/>
      </c>
      <c r="V70" s="132" t="str">
        <f>IF(COUNTIF('WH-A'!$A:$A, $C70), V$1, "")</f>
        <v>Workplace Happiness: Science &amp; Practice (A)</v>
      </c>
      <c r="W70" s="132" t="str">
        <f>IF(COUNTIF('WH-B'!$A:$A, $C70), W$1, "")</f>
        <v/>
      </c>
      <c r="X70" s="132" t="str">
        <f>IF(COUNTIF(LETV!$A:$A, $C70), X$1, "")</f>
        <v>Leadership Excellence Through Values : Wisdom from the Mahabharata</v>
      </c>
      <c r="Y70" s="132" t="str">
        <f>IF(COUNTIF('Film&amp;Firm-A'!$A:$A, $C70), Y$1, "")</f>
        <v/>
      </c>
      <c r="Z70" s="132" t="str">
        <f>IF(COUNTIF('Film&amp;Firm-B'!$A:$A, $C70), Z$1, "")</f>
        <v/>
      </c>
      <c r="AA70" s="132" t="str">
        <f>IF(COUNTIF(SHRM!$A:$A, $C70), AA$1, "")</f>
        <v/>
      </c>
      <c r="AB70" s="132" t="str">
        <f>IF(COUNTIF('SCM-A'!$A:$A, $C70), AB$1, "")</f>
        <v/>
      </c>
      <c r="AC70" s="132" t="str">
        <f>IF(COUNTIF('SCM-B'!$A:$A, $C70), AC$1, "")</f>
        <v/>
      </c>
      <c r="AD70" s="132" t="str">
        <f>IF(COUNTIF(AIS!$A:$A, $C70), AD$1, "")</f>
        <v/>
      </c>
      <c r="AE70" s="132" t="str">
        <f>IF(COUNTIF(EB!$A:$A, $C70), AE$1, "")</f>
        <v/>
      </c>
      <c r="AF70" s="132" t="str">
        <f>IF(COUNTIF('AIAM-A'!$A:$A, $C70), AF$1, "")</f>
        <v/>
      </c>
      <c r="AG70" s="132" t="str">
        <f>IF(COUNTIF('AIAM-B'!$A:$A, $C70), AG$1, "")</f>
        <v/>
      </c>
      <c r="AH70" s="132" t="str">
        <f>IF(COUNTIF('SA-A'!$A:$A, $C70), AH$1, "")</f>
        <v/>
      </c>
      <c r="AI70" s="132" t="str">
        <f>IF(COUNTIF('SA-B'!$A:$A, $C70), AI$1, "")</f>
        <v/>
      </c>
      <c r="AJ70" s="132" t="str">
        <f>IF(COUNTIF(CSM!$A:$A, $C70), AJ$1, "")</f>
        <v/>
      </c>
      <c r="AK70" s="132" t="str">
        <f>IF(COUNTIF(EM!$A:$A, $C70), AK$1, "")</f>
        <v/>
      </c>
      <c r="AL70" s="132" t="str">
        <f>IF(COUNTIF(I4TS!$A:$A, $C70), AL$1, "")</f>
        <v/>
      </c>
    </row>
    <row r="71" spans="1:38" ht="13">
      <c r="A71" s="131">
        <v>70</v>
      </c>
      <c r="B71" s="131" t="s">
        <v>557</v>
      </c>
      <c r="C71" s="134" t="s">
        <v>565</v>
      </c>
      <c r="D71" s="135" t="s">
        <v>566</v>
      </c>
      <c r="E71" s="135" t="s">
        <v>567</v>
      </c>
      <c r="F71" s="131">
        <f t="shared" ca="1" si="0"/>
        <v>5</v>
      </c>
      <c r="G71" s="106" t="str">
        <f ca="1">IFERROR(__xludf.DUMMYFUNCTION("INDEX(FILTER($P71:$AL71, $P71:$AL71 &lt;&gt; """"), 1)"),"The Art, Craft, and Science of Management: Learning through Classics and Best Collections (B)")</f>
        <v>The Art, Craft, and Science of Management: Learning through Classics and Best Collections (B)</v>
      </c>
      <c r="H71" s="106" t="str">
        <f ca="1">IFERROR(__xludf.DUMMYFUNCTION("INDEX(FILTER($P71:$AL71, $P71:$AL71 &lt;&gt; """"), 2)"),"Workplace Happiness: Science &amp; Practice (B)")</f>
        <v>Workplace Happiness: Science &amp; Practice (B)</v>
      </c>
      <c r="I71" s="106" t="str">
        <f ca="1">IFERROR(__xludf.DUMMYFUNCTION("INDEX(FILTER($P71:$AL71, $P71:$AL71 &lt;&gt; """"), 3)"),"AI AND  STRATEGY")</f>
        <v>AI AND  STRATEGY</v>
      </c>
      <c r="J71" s="106" t="str">
        <f ca="1">IFERROR(__xludf.DUMMYFUNCTION("IFERROR(INDEX(FILTER($P71:$AL71, $P71:$AL71 &lt;&gt; """"), 4),)"),"")</f>
        <v/>
      </c>
      <c r="K71" s="106" t="str">
        <f ca="1">IFERROR(__xludf.DUMMYFUNCTION("IFERROR(INDEX(FILTER($P71:$AL71, $P71:$AL71 &lt;&gt; """"), 5),)"),"")</f>
        <v/>
      </c>
      <c r="L71" s="107"/>
      <c r="M71" s="107"/>
      <c r="N71" s="107"/>
      <c r="O71" s="107"/>
      <c r="P71" s="132" t="str">
        <f>IF(COUNTIF('Fintech-A'!$A:$A, $C71), P$1, "")</f>
        <v/>
      </c>
      <c r="Q71" s="132" t="str">
        <f>IF(COUNTIF('Fintech-B'!$A:$A, $C71), Q$1, "")</f>
        <v/>
      </c>
      <c r="R71" s="132" t="str">
        <f>IF(COUNTIF('BEDM-A'!$A:$A, $C71), R$1, "")</f>
        <v/>
      </c>
      <c r="S71" s="132" t="str">
        <f>IF(COUNTIF('BEDM-B'!$A:$A, $C71), S$1, "")</f>
        <v/>
      </c>
      <c r="T71" s="132" t="str">
        <f>IF(COUNTIF('Art-A'!$A:$A, $C71), T$1, "")</f>
        <v/>
      </c>
      <c r="U71" s="132" t="str">
        <f>IF(COUNTIF('Art-B'!$A:$A, $C71), U$1, "")</f>
        <v>The Art, Craft, and Science of Management: Learning through Classics and Best Collections (B)</v>
      </c>
      <c r="V71" s="132" t="str">
        <f>IF(COUNTIF('WH-A'!$A:$A, $C71), V$1, "")</f>
        <v/>
      </c>
      <c r="W71" s="132" t="str">
        <f>IF(COUNTIF('WH-B'!$A:$A, $C71), W$1, "")</f>
        <v>Workplace Happiness: Science &amp; Practice (B)</v>
      </c>
      <c r="X71" s="132" t="str">
        <f>IF(COUNTIF(LETV!$A:$A, $C71), X$1, "")</f>
        <v/>
      </c>
      <c r="Y71" s="132" t="str">
        <f>IF(COUNTIF('Film&amp;Firm-A'!$A:$A, $C71), Y$1, "")</f>
        <v/>
      </c>
      <c r="Z71" s="132" t="str">
        <f>IF(COUNTIF('Film&amp;Firm-B'!$A:$A, $C71), Z$1, "")</f>
        <v/>
      </c>
      <c r="AA71" s="132" t="str">
        <f>IF(COUNTIF(SHRM!$A:$A, $C71), AA$1, "")</f>
        <v/>
      </c>
      <c r="AB71" s="132" t="str">
        <f>IF(COUNTIF('SCM-A'!$A:$A, $C71), AB$1, "")</f>
        <v/>
      </c>
      <c r="AC71" s="132" t="str">
        <f>IF(COUNTIF('SCM-B'!$A:$A, $C71), AC$1, "")</f>
        <v/>
      </c>
      <c r="AD71" s="132" t="str">
        <f>IF(COUNTIF(AIS!$A:$A, $C71), AD$1, "")</f>
        <v>AI AND  STRATEGY</v>
      </c>
      <c r="AE71" s="132" t="str">
        <f>IF(COUNTIF(EB!$A:$A, $C71), AE$1, "")</f>
        <v/>
      </c>
      <c r="AF71" s="132" t="str">
        <f>IF(COUNTIF('AIAM-A'!$A:$A, $C71), AF$1, "")</f>
        <v/>
      </c>
      <c r="AG71" s="132" t="str">
        <f>IF(COUNTIF('AIAM-B'!$A:$A, $C71), AG$1, "")</f>
        <v/>
      </c>
      <c r="AH71" s="132" t="str">
        <f>IF(COUNTIF('SA-A'!$A:$A, $C71), AH$1, "")</f>
        <v/>
      </c>
      <c r="AI71" s="132" t="str">
        <f>IF(COUNTIF('SA-B'!$A:$A, $C71), AI$1, "")</f>
        <v/>
      </c>
      <c r="AJ71" s="132" t="str">
        <f>IF(COUNTIF(CSM!$A:$A, $C71), AJ$1, "")</f>
        <v/>
      </c>
      <c r="AK71" s="132" t="str">
        <f>IF(COUNTIF(EM!$A:$A, $C71), AK$1, "")</f>
        <v/>
      </c>
      <c r="AL71" s="132" t="str">
        <f>IF(COUNTIF(I4TS!$A:$A, $C71), AL$1, "")</f>
        <v/>
      </c>
    </row>
    <row r="72" spans="1:38" ht="13">
      <c r="A72" s="131">
        <v>71</v>
      </c>
      <c r="B72" s="131" t="s">
        <v>557</v>
      </c>
      <c r="C72" s="134" t="s">
        <v>254</v>
      </c>
      <c r="D72" s="135" t="s">
        <v>568</v>
      </c>
      <c r="E72" s="135" t="s">
        <v>569</v>
      </c>
      <c r="F72" s="131">
        <f t="shared" ca="1" si="0"/>
        <v>5</v>
      </c>
      <c r="G72" s="106" t="str">
        <f ca="1">IFERROR(__xludf.DUMMYFUNCTION("INDEX(FILTER($P72:$AL72, $P72:$AL72 &lt;&gt; """"), 1)"),"Workplace Happiness: Science &amp; Practice (B)")</f>
        <v>Workplace Happiness: Science &amp; Practice (B)</v>
      </c>
      <c r="H72" s="106" t="str">
        <f ca="1">IFERROR(__xludf.DUMMYFUNCTION("INDEX(FILTER($P72:$AL72, $P72:$AL72 &lt;&gt; """"), 2)"),"Strategic Career Management (B)")</f>
        <v>Strategic Career Management (B)</v>
      </c>
      <c r="I72" s="106" t="str">
        <f ca="1">IFERROR(__xludf.DUMMYFUNCTION("INDEX(FILTER($P72:$AL72, $P72:$AL72 &lt;&gt; """"), 3)"),"AI AND  STRATEGY")</f>
        <v>AI AND  STRATEGY</v>
      </c>
      <c r="J72" s="106" t="str">
        <f ca="1">IFERROR(__xludf.DUMMYFUNCTION("IFERROR(INDEX(FILTER($P72:$AL72, $P72:$AL72 &lt;&gt; """"), 4),)"),"")</f>
        <v/>
      </c>
      <c r="K72" s="106" t="str">
        <f ca="1">IFERROR(__xludf.DUMMYFUNCTION("IFERROR(INDEX(FILTER($P72:$AL72, $P72:$AL72 &lt;&gt; """"), 5),)"),"")</f>
        <v/>
      </c>
      <c r="L72" s="107"/>
      <c r="M72" s="107"/>
      <c r="N72" s="107"/>
      <c r="O72" s="107"/>
      <c r="P72" s="132" t="str">
        <f>IF(COUNTIF('Fintech-A'!$A:$A, $C72), P$1, "")</f>
        <v/>
      </c>
      <c r="Q72" s="132" t="str">
        <f>IF(COUNTIF('Fintech-B'!$A:$A, $C72), Q$1, "")</f>
        <v/>
      </c>
      <c r="R72" s="132" t="str">
        <f>IF(COUNTIF('BEDM-A'!$A:$A, $C72), R$1, "")</f>
        <v/>
      </c>
      <c r="S72" s="132" t="str">
        <f>IF(COUNTIF('BEDM-B'!$A:$A, $C72), S$1, "")</f>
        <v/>
      </c>
      <c r="T72" s="132" t="str">
        <f>IF(COUNTIF('Art-A'!$A:$A, $C72), T$1, "")</f>
        <v/>
      </c>
      <c r="U72" s="132" t="str">
        <f>IF(COUNTIF('Art-B'!$A:$A, $C72), U$1, "")</f>
        <v/>
      </c>
      <c r="V72" s="132" t="str">
        <f>IF(COUNTIF('WH-A'!$A:$A, $C72), V$1, "")</f>
        <v/>
      </c>
      <c r="W72" s="132" t="str">
        <f>IF(COUNTIF('WH-B'!$A:$A, $C72), W$1, "")</f>
        <v>Workplace Happiness: Science &amp; Practice (B)</v>
      </c>
      <c r="X72" s="132" t="str">
        <f>IF(COUNTIF(LETV!$A:$A, $C72), X$1, "")</f>
        <v/>
      </c>
      <c r="Y72" s="132" t="str">
        <f>IF(COUNTIF('Film&amp;Firm-A'!$A:$A, $C72), Y$1, "")</f>
        <v/>
      </c>
      <c r="Z72" s="132" t="str">
        <f>IF(COUNTIF('Film&amp;Firm-B'!$A:$A, $C72), Z$1, "")</f>
        <v/>
      </c>
      <c r="AA72" s="132" t="str">
        <f>IF(COUNTIF(SHRM!$A:$A, $C72), AA$1, "")</f>
        <v/>
      </c>
      <c r="AB72" s="132" t="str">
        <f>IF(COUNTIF('SCM-A'!$A:$A, $C72), AB$1, "")</f>
        <v/>
      </c>
      <c r="AC72" s="132" t="str">
        <f>IF(COUNTIF('SCM-B'!$A:$A, $C72), AC$1, "")</f>
        <v>Strategic Career Management (B)</v>
      </c>
      <c r="AD72" s="132" t="str">
        <f>IF(COUNTIF(AIS!$A:$A, $C72), AD$1, "")</f>
        <v>AI AND  STRATEGY</v>
      </c>
      <c r="AE72" s="132" t="str">
        <f>IF(COUNTIF(EB!$A:$A, $C72), AE$1, "")</f>
        <v/>
      </c>
      <c r="AF72" s="132" t="str">
        <f>IF(COUNTIF('AIAM-A'!$A:$A, $C72), AF$1, "")</f>
        <v/>
      </c>
      <c r="AG72" s="132" t="str">
        <f>IF(COUNTIF('AIAM-B'!$A:$A, $C72), AG$1, "")</f>
        <v/>
      </c>
      <c r="AH72" s="132" t="str">
        <f>IF(COUNTIF('SA-A'!$A:$A, $C72), AH$1, "")</f>
        <v/>
      </c>
      <c r="AI72" s="132" t="str">
        <f>IF(COUNTIF('SA-B'!$A:$A, $C72), AI$1, "")</f>
        <v/>
      </c>
      <c r="AJ72" s="132" t="str">
        <f>IF(COUNTIF(CSM!$A:$A, $C72), AJ$1, "")</f>
        <v/>
      </c>
      <c r="AK72" s="132" t="str">
        <f>IF(COUNTIF(EM!$A:$A, $C72), AK$1, "")</f>
        <v/>
      </c>
      <c r="AL72" s="132" t="str">
        <f>IF(COUNTIF(I4TS!$A:$A, $C72), AL$1, "")</f>
        <v/>
      </c>
    </row>
    <row r="73" spans="1:38" ht="13">
      <c r="A73" s="131">
        <v>72</v>
      </c>
      <c r="B73" s="131" t="s">
        <v>557</v>
      </c>
      <c r="C73" s="134" t="s">
        <v>570</v>
      </c>
      <c r="D73" s="135" t="s">
        <v>571</v>
      </c>
      <c r="E73" s="135" t="s">
        <v>572</v>
      </c>
      <c r="F73" s="131">
        <f t="shared" ca="1" si="0"/>
        <v>5</v>
      </c>
      <c r="G73" s="106" t="str">
        <f ca="1">IFERROR(__xludf.DUMMYFUNCTION("INDEX(FILTER($P73:$AL73, $P73:$AL73 &lt;&gt; """"), 1)"),"Fintech (Digital Transformation in Finance) (A)")</f>
        <v>Fintech (Digital Transformation in Finance) (A)</v>
      </c>
      <c r="H73" s="106" t="str">
        <f ca="1">IFERROR(__xludf.DUMMYFUNCTION("INDEX(FILTER($P73:$AL73, $P73:$AL73 &lt;&gt; """"), 2)"),"Film &amp; the Firm: Visual Culture in Business Contexts (A)")</f>
        <v>Film &amp; the Firm: Visual Culture in Business Contexts (A)</v>
      </c>
      <c r="I73" s="106" t="str">
        <f ca="1">IFERROR(__xludf.DUMMYFUNCTION("INDEX(FILTER($P73:$AL73, $P73:$AL73 &lt;&gt; """"), 3)"),"AI AND  STRATEGY")</f>
        <v>AI AND  STRATEGY</v>
      </c>
      <c r="J73" s="106" t="str">
        <f ca="1">IFERROR(__xludf.DUMMYFUNCTION("IFERROR(INDEX(FILTER($P73:$AL73, $P73:$AL73 &lt;&gt; """"), 4),)"),"Customer Success Management")</f>
        <v>Customer Success Management</v>
      </c>
      <c r="K73" s="106" t="str">
        <f ca="1">IFERROR(__xludf.DUMMYFUNCTION("IFERROR(INDEX(FILTER($P73:$AL73, $P73:$AL73 &lt;&gt; """"), 5),)"),"Industry 4.0 in Transport Sector")</f>
        <v>Industry 4.0 in Transport Sector</v>
      </c>
      <c r="L73" s="107"/>
      <c r="M73" s="107"/>
      <c r="N73" s="107"/>
      <c r="O73" s="107"/>
      <c r="P73" s="132" t="str">
        <f>IF(COUNTIF('Fintech-A'!$A:$A, $C73), P$1, "")</f>
        <v>Fintech (Digital Transformation in Finance) (A)</v>
      </c>
      <c r="Q73" s="132" t="str">
        <f>IF(COUNTIF('Fintech-B'!$A:$A, $C73), Q$1, "")</f>
        <v/>
      </c>
      <c r="R73" s="132" t="str">
        <f>IF(COUNTIF('BEDM-A'!$A:$A, $C73), R$1, "")</f>
        <v/>
      </c>
      <c r="S73" s="132" t="str">
        <f>IF(COUNTIF('BEDM-B'!$A:$A, $C73), S$1, "")</f>
        <v/>
      </c>
      <c r="T73" s="132" t="str">
        <f>IF(COUNTIF('Art-A'!$A:$A, $C73), T$1, "")</f>
        <v/>
      </c>
      <c r="U73" s="132" t="str">
        <f>IF(COUNTIF('Art-B'!$A:$A, $C73), U$1, "")</f>
        <v/>
      </c>
      <c r="V73" s="132" t="str">
        <f>IF(COUNTIF('WH-A'!$A:$A, $C73), V$1, "")</f>
        <v/>
      </c>
      <c r="W73" s="132" t="str">
        <f>IF(COUNTIF('WH-B'!$A:$A, $C73), W$1, "")</f>
        <v/>
      </c>
      <c r="X73" s="132" t="str">
        <f>IF(COUNTIF(LETV!$A:$A, $C73), X$1, "")</f>
        <v/>
      </c>
      <c r="Y73" s="132" t="str">
        <f>IF(COUNTIF('Film&amp;Firm-A'!$A:$A, $C73), Y$1, "")</f>
        <v>Film &amp; the Firm: Visual Culture in Business Contexts (A)</v>
      </c>
      <c r="Z73" s="132" t="str">
        <f>IF(COUNTIF('Film&amp;Firm-B'!$A:$A, $C73), Z$1, "")</f>
        <v/>
      </c>
      <c r="AA73" s="132" t="str">
        <f>IF(COUNTIF(SHRM!$A:$A, $C73), AA$1, "")</f>
        <v/>
      </c>
      <c r="AB73" s="132" t="str">
        <f>IF(COUNTIF('SCM-A'!$A:$A, $C73), AB$1, "")</f>
        <v/>
      </c>
      <c r="AC73" s="132" t="str">
        <f>IF(COUNTIF('SCM-B'!$A:$A, $C73), AC$1, "")</f>
        <v/>
      </c>
      <c r="AD73" s="132" t="str">
        <f>IF(COUNTIF(AIS!$A:$A, $C73), AD$1, "")</f>
        <v>AI AND  STRATEGY</v>
      </c>
      <c r="AE73" s="132" t="str">
        <f>IF(COUNTIF(EB!$A:$A, $C73), AE$1, "")</f>
        <v/>
      </c>
      <c r="AF73" s="132" t="str">
        <f>IF(COUNTIF('AIAM-A'!$A:$A, $C73), AF$1, "")</f>
        <v/>
      </c>
      <c r="AG73" s="132" t="str">
        <f>IF(COUNTIF('AIAM-B'!$A:$A, $C73), AG$1, "")</f>
        <v/>
      </c>
      <c r="AH73" s="132" t="str">
        <f>IF(COUNTIF('SA-A'!$A:$A, $C73), AH$1, "")</f>
        <v/>
      </c>
      <c r="AI73" s="132" t="str">
        <f>IF(COUNTIF('SA-B'!$A:$A, $C73), AI$1, "")</f>
        <v/>
      </c>
      <c r="AJ73" s="132" t="str">
        <f>IF(COUNTIF(CSM!$A:$A, $C73), AJ$1, "")</f>
        <v>Customer Success Management</v>
      </c>
      <c r="AK73" s="132" t="str">
        <f>IF(COUNTIF(EM!$A:$A, $C73), AK$1, "")</f>
        <v/>
      </c>
      <c r="AL73" s="132" t="str">
        <f>IF(COUNTIF(I4TS!$A:$A, $C73), AL$1, "")</f>
        <v>Industry 4.0 in Transport Sector</v>
      </c>
    </row>
    <row r="74" spans="1:38" ht="13">
      <c r="A74" s="131">
        <v>73</v>
      </c>
      <c r="B74" s="131" t="s">
        <v>557</v>
      </c>
      <c r="C74" s="134" t="s">
        <v>255</v>
      </c>
      <c r="D74" s="135" t="s">
        <v>573</v>
      </c>
      <c r="E74" s="135" t="s">
        <v>574</v>
      </c>
      <c r="F74" s="131">
        <f t="shared" ca="1" si="0"/>
        <v>5</v>
      </c>
      <c r="G74" s="106" t="str">
        <f ca="1">IFERROR(__xludf.DUMMYFUNCTION("INDEX(FILTER($P74:$AL74, $P74:$AL74 &lt;&gt; """"), 1)"),"Fintech (Digital Transformation in Finance) (B)")</f>
        <v>Fintech (Digital Transformation in Finance) (B)</v>
      </c>
      <c r="H74" s="106" t="str">
        <f ca="1">IFERROR(__xludf.DUMMYFUNCTION("INDEX(FILTER($P74:$AL74, $P74:$AL74 &lt;&gt; """"), 2)"),"Behavioural Economics and Decision-Making (A)")</f>
        <v>Behavioural Economics and Decision-Making (A)</v>
      </c>
      <c r="I74" s="106" t="str">
        <f ca="1">IFERROR(__xludf.DUMMYFUNCTION("INDEX(FILTER($P74:$AL74, $P74:$AL74 &lt;&gt; """"), 3)"),"AI Applications in Marketing (B)")</f>
        <v>AI Applications in Marketing (B)</v>
      </c>
      <c r="J74" s="106" t="str">
        <f ca="1">IFERROR(__xludf.DUMMYFUNCTION("IFERROR(INDEX(FILTER($P74:$AL74, $P74:$AL74 &lt;&gt; """"), 4),)"),"SPORTS ANALYTICS (B)")</f>
        <v>SPORTS ANALYTICS (B)</v>
      </c>
      <c r="K74" s="106" t="str">
        <f ca="1">IFERROR(__xludf.DUMMYFUNCTION("IFERROR(INDEX(FILTER($P74:$AL74, $P74:$AL74 &lt;&gt; """"), 5),)"),"Entrepreneurial Marketing")</f>
        <v>Entrepreneurial Marketing</v>
      </c>
      <c r="L74" s="107"/>
      <c r="M74" s="107"/>
      <c r="N74" s="107"/>
      <c r="O74" s="107"/>
      <c r="P74" s="132" t="str">
        <f>IF(COUNTIF('Fintech-A'!$A:$A, $C74), P$1, "")</f>
        <v/>
      </c>
      <c r="Q74" s="132" t="str">
        <f>IF(COUNTIF('Fintech-B'!$A:$A, $C74), Q$1, "")</f>
        <v>Fintech (Digital Transformation in Finance) (B)</v>
      </c>
      <c r="R74" s="132" t="str">
        <f>IF(COUNTIF('BEDM-A'!$A:$A, $C74), R$1, "")</f>
        <v>Behavioural Economics and Decision-Making (A)</v>
      </c>
      <c r="S74" s="132" t="str">
        <f>IF(COUNTIF('BEDM-B'!$A:$A, $C74), S$1, "")</f>
        <v/>
      </c>
      <c r="T74" s="132" t="str">
        <f>IF(COUNTIF('Art-A'!$A:$A, $C74), T$1, "")</f>
        <v/>
      </c>
      <c r="U74" s="132" t="str">
        <f>IF(COUNTIF('Art-B'!$A:$A, $C74), U$1, "")</f>
        <v/>
      </c>
      <c r="V74" s="132" t="str">
        <f>IF(COUNTIF('WH-A'!$A:$A, $C74), V$1, "")</f>
        <v/>
      </c>
      <c r="W74" s="132" t="str">
        <f>IF(COUNTIF('WH-B'!$A:$A, $C74), W$1, "")</f>
        <v/>
      </c>
      <c r="X74" s="132" t="str">
        <f>IF(COUNTIF(LETV!$A:$A, $C74), X$1, "")</f>
        <v/>
      </c>
      <c r="Y74" s="132" t="str">
        <f>IF(COUNTIF('Film&amp;Firm-A'!$A:$A, $C74), Y$1, "")</f>
        <v/>
      </c>
      <c r="Z74" s="132" t="str">
        <f>IF(COUNTIF('Film&amp;Firm-B'!$A:$A, $C74), Z$1, "")</f>
        <v/>
      </c>
      <c r="AA74" s="132" t="str">
        <f>IF(COUNTIF(SHRM!$A:$A, $C74), AA$1, "")</f>
        <v/>
      </c>
      <c r="AB74" s="132" t="str">
        <f>IF(COUNTIF('SCM-A'!$A:$A, $C74), AB$1, "")</f>
        <v/>
      </c>
      <c r="AC74" s="132" t="str">
        <f>IF(COUNTIF('SCM-B'!$A:$A, $C74), AC$1, "")</f>
        <v/>
      </c>
      <c r="AD74" s="132" t="str">
        <f>IF(COUNTIF(AIS!$A:$A, $C74), AD$1, "")</f>
        <v/>
      </c>
      <c r="AE74" s="132" t="str">
        <f>IF(COUNTIF(EB!$A:$A, $C74), AE$1, "")</f>
        <v/>
      </c>
      <c r="AF74" s="132" t="str">
        <f>IF(COUNTIF('AIAM-A'!$A:$A, $C74), AF$1, "")</f>
        <v/>
      </c>
      <c r="AG74" s="132" t="str">
        <f>IF(COUNTIF('AIAM-B'!$A:$A, $C74), AG$1, "")</f>
        <v>AI Applications in Marketing (B)</v>
      </c>
      <c r="AH74" s="132" t="str">
        <f>IF(COUNTIF('SA-A'!$A:$A, $C74), AH$1, "")</f>
        <v/>
      </c>
      <c r="AI74" s="132" t="str">
        <f>IF(COUNTIF('SA-B'!$A:$A, $C74), AI$1, "")</f>
        <v>SPORTS ANALYTICS (B)</v>
      </c>
      <c r="AJ74" s="132" t="str">
        <f>IF(COUNTIF(CSM!$A:$A, $C74), AJ$1, "")</f>
        <v/>
      </c>
      <c r="AK74" s="132" t="str">
        <f>IF(COUNTIF(EM!$A:$A, $C74), AK$1, "")</f>
        <v>Entrepreneurial Marketing</v>
      </c>
      <c r="AL74" s="132" t="str">
        <f>IF(COUNTIF(I4TS!$A:$A, $C74), AL$1, "")</f>
        <v/>
      </c>
    </row>
    <row r="75" spans="1:38" ht="13">
      <c r="A75" s="131">
        <v>74</v>
      </c>
      <c r="B75" s="131" t="s">
        <v>557</v>
      </c>
      <c r="C75" s="134" t="s">
        <v>575</v>
      </c>
      <c r="D75" s="135" t="s">
        <v>576</v>
      </c>
      <c r="E75" s="135" t="s">
        <v>577</v>
      </c>
      <c r="F75" s="131">
        <f t="shared" ca="1" si="0"/>
        <v>5</v>
      </c>
      <c r="G75" s="106" t="str">
        <f ca="1">IFERROR(__xludf.DUMMYFUNCTION("INDEX(FILTER($P75:$AL75, $P75:$AL75 &lt;&gt; """"), 1)"),"Workplace Happiness: Science &amp; Practice (B)")</f>
        <v>Workplace Happiness: Science &amp; Practice (B)</v>
      </c>
      <c r="H75" s="106" t="str">
        <f ca="1">IFERROR(__xludf.DUMMYFUNCTION("INDEX(FILTER($P75:$AL75, $P75:$AL75 &lt;&gt; """"), 2)"),"Leadership Excellence Through Values : Wisdom from the Mahabharata")</f>
        <v>Leadership Excellence Through Values : Wisdom from the Mahabharata</v>
      </c>
      <c r="I75" s="106" t="str">
        <f ca="1">IFERROR(__xludf.DUMMYFUNCTION("INDEX(FILTER($P75:$AL75, $P75:$AL75 &lt;&gt; """"), 3)"),"AI AND  STRATEGY")</f>
        <v>AI AND  STRATEGY</v>
      </c>
      <c r="J75" s="106" t="str">
        <f ca="1">IFERROR(__xludf.DUMMYFUNCTION("IFERROR(INDEX(FILTER($P75:$AL75, $P75:$AL75 &lt;&gt; """"), 4),)"),"")</f>
        <v/>
      </c>
      <c r="K75" s="106" t="str">
        <f ca="1">IFERROR(__xludf.DUMMYFUNCTION("IFERROR(INDEX(FILTER($P75:$AL75, $P75:$AL75 &lt;&gt; """"), 5),)"),"")</f>
        <v/>
      </c>
      <c r="L75" s="107"/>
      <c r="M75" s="107"/>
      <c r="N75" s="107"/>
      <c r="O75" s="107"/>
      <c r="P75" s="132" t="str">
        <f>IF(COUNTIF('Fintech-A'!$A:$A, $C75), P$1, "")</f>
        <v/>
      </c>
      <c r="Q75" s="132" t="str">
        <f>IF(COUNTIF('Fintech-B'!$A:$A, $C75), Q$1, "")</f>
        <v/>
      </c>
      <c r="R75" s="132" t="str">
        <f>IF(COUNTIF('BEDM-A'!$A:$A, $C75), R$1, "")</f>
        <v/>
      </c>
      <c r="S75" s="132" t="str">
        <f>IF(COUNTIF('BEDM-B'!$A:$A, $C75), S$1, "")</f>
        <v/>
      </c>
      <c r="T75" s="132" t="str">
        <f>IF(COUNTIF('Art-A'!$A:$A, $C75), T$1, "")</f>
        <v/>
      </c>
      <c r="U75" s="132" t="str">
        <f>IF(COUNTIF('Art-B'!$A:$A, $C75), U$1, "")</f>
        <v/>
      </c>
      <c r="V75" s="132" t="str">
        <f>IF(COUNTIF('WH-A'!$A:$A, $C75), V$1, "")</f>
        <v/>
      </c>
      <c r="W75" s="132" t="str">
        <f>IF(COUNTIF('WH-B'!$A:$A, $C75), W$1, "")</f>
        <v>Workplace Happiness: Science &amp; Practice (B)</v>
      </c>
      <c r="X75" s="132" t="str">
        <f>IF(COUNTIF(LETV!$A:$A, $C75), X$1, "")</f>
        <v>Leadership Excellence Through Values : Wisdom from the Mahabharata</v>
      </c>
      <c r="Y75" s="132" t="str">
        <f>IF(COUNTIF('Film&amp;Firm-A'!$A:$A, $C75), Y$1, "")</f>
        <v/>
      </c>
      <c r="Z75" s="132" t="str">
        <f>IF(COUNTIF('Film&amp;Firm-B'!$A:$A, $C75), Z$1, "")</f>
        <v/>
      </c>
      <c r="AA75" s="132" t="str">
        <f>IF(COUNTIF(SHRM!$A:$A, $C75), AA$1, "")</f>
        <v/>
      </c>
      <c r="AB75" s="132" t="str">
        <f>IF(COUNTIF('SCM-A'!$A:$A, $C75), AB$1, "")</f>
        <v/>
      </c>
      <c r="AC75" s="132" t="str">
        <f>IF(COUNTIF('SCM-B'!$A:$A, $C75), AC$1, "")</f>
        <v/>
      </c>
      <c r="AD75" s="132" t="str">
        <f>IF(COUNTIF(AIS!$A:$A, $C75), AD$1, "")</f>
        <v>AI AND  STRATEGY</v>
      </c>
      <c r="AE75" s="132" t="str">
        <f>IF(COUNTIF(EB!$A:$A, $C75), AE$1, "")</f>
        <v/>
      </c>
      <c r="AF75" s="132" t="str">
        <f>IF(COUNTIF('AIAM-A'!$A:$A, $C75), AF$1, "")</f>
        <v/>
      </c>
      <c r="AG75" s="132" t="str">
        <f>IF(COUNTIF('AIAM-B'!$A:$A, $C75), AG$1, "")</f>
        <v/>
      </c>
      <c r="AH75" s="132" t="str">
        <f>IF(COUNTIF('SA-A'!$A:$A, $C75), AH$1, "")</f>
        <v/>
      </c>
      <c r="AI75" s="132" t="str">
        <f>IF(COUNTIF('SA-B'!$A:$A, $C75), AI$1, "")</f>
        <v/>
      </c>
      <c r="AJ75" s="132" t="str">
        <f>IF(COUNTIF(CSM!$A:$A, $C75), AJ$1, "")</f>
        <v/>
      </c>
      <c r="AK75" s="132" t="str">
        <f>IF(COUNTIF(EM!$A:$A, $C75), AK$1, "")</f>
        <v/>
      </c>
      <c r="AL75" s="132" t="str">
        <f>IF(COUNTIF(I4TS!$A:$A, $C75), AL$1, "")</f>
        <v/>
      </c>
    </row>
    <row r="76" spans="1:38" ht="13">
      <c r="A76" s="131">
        <v>75</v>
      </c>
      <c r="B76" s="131" t="s">
        <v>557</v>
      </c>
      <c r="C76" s="134" t="s">
        <v>578</v>
      </c>
      <c r="D76" s="135" t="s">
        <v>579</v>
      </c>
      <c r="E76" s="135" t="s">
        <v>580</v>
      </c>
      <c r="F76" s="131">
        <f t="shared" ca="1" si="0"/>
        <v>5</v>
      </c>
      <c r="G76" s="106" t="str">
        <f ca="1">IFERROR(__xludf.DUMMYFUNCTION("INDEX(FILTER($P76:$AL76, $P76:$AL76 &lt;&gt; """"), 1)"),"Behavioural Economics and Decision-Making (A)")</f>
        <v>Behavioural Economics and Decision-Making (A)</v>
      </c>
      <c r="H76" s="106" t="str">
        <f ca="1">IFERROR(__xludf.DUMMYFUNCTION("INDEX(FILTER($P76:$AL76, $P76:$AL76 &lt;&gt; """"), 2)"),"Workplace Happiness: Science &amp; Practice (B)")</f>
        <v>Workplace Happiness: Science &amp; Practice (B)</v>
      </c>
      <c r="I76" s="106" t="str">
        <f ca="1">IFERROR(__xludf.DUMMYFUNCTION("INDEX(FILTER($P76:$AL76, $P76:$AL76 &lt;&gt; """"), 3)"),"SPORTS ANALYTICS (A)")</f>
        <v>SPORTS ANALYTICS (A)</v>
      </c>
      <c r="J76" s="106" t="str">
        <f ca="1">IFERROR(__xludf.DUMMYFUNCTION("IFERROR(INDEX(FILTER($P76:$AL76, $P76:$AL76 &lt;&gt; """"), 4),)"),"")</f>
        <v/>
      </c>
      <c r="K76" s="106" t="str">
        <f ca="1">IFERROR(__xludf.DUMMYFUNCTION("IFERROR(INDEX(FILTER($P76:$AL76, $P76:$AL76 &lt;&gt; """"), 5),)"),"")</f>
        <v/>
      </c>
      <c r="L76" s="107"/>
      <c r="M76" s="107"/>
      <c r="N76" s="107"/>
      <c r="O76" s="107"/>
      <c r="P76" s="132" t="str">
        <f>IF(COUNTIF('Fintech-A'!$A:$A, $C76), P$1, "")</f>
        <v/>
      </c>
      <c r="Q76" s="132" t="str">
        <f>IF(COUNTIF('Fintech-B'!$A:$A, $C76), Q$1, "")</f>
        <v/>
      </c>
      <c r="R76" s="132" t="str">
        <f>IF(COUNTIF('BEDM-A'!$A:$A, $C76), R$1, "")</f>
        <v>Behavioural Economics and Decision-Making (A)</v>
      </c>
      <c r="S76" s="132" t="str">
        <f>IF(COUNTIF('BEDM-B'!$A:$A, $C76), S$1, "")</f>
        <v/>
      </c>
      <c r="T76" s="132" t="str">
        <f>IF(COUNTIF('Art-A'!$A:$A, $C76), T$1, "")</f>
        <v/>
      </c>
      <c r="U76" s="132" t="str">
        <f>IF(COUNTIF('Art-B'!$A:$A, $C76), U$1, "")</f>
        <v/>
      </c>
      <c r="V76" s="132" t="str">
        <f>IF(COUNTIF('WH-A'!$A:$A, $C76), V$1, "")</f>
        <v/>
      </c>
      <c r="W76" s="132" t="str">
        <f>IF(COUNTIF('WH-B'!$A:$A, $C76), W$1, "")</f>
        <v>Workplace Happiness: Science &amp; Practice (B)</v>
      </c>
      <c r="X76" s="132" t="str">
        <f>IF(COUNTIF(LETV!$A:$A, $C76), X$1, "")</f>
        <v/>
      </c>
      <c r="Y76" s="132" t="str">
        <f>IF(COUNTIF('Film&amp;Firm-A'!$A:$A, $C76), Y$1, "")</f>
        <v/>
      </c>
      <c r="Z76" s="132" t="str">
        <f>IF(COUNTIF('Film&amp;Firm-B'!$A:$A, $C76), Z$1, "")</f>
        <v/>
      </c>
      <c r="AA76" s="132" t="str">
        <f>IF(COUNTIF(SHRM!$A:$A, $C76), AA$1, "")</f>
        <v/>
      </c>
      <c r="AB76" s="132" t="str">
        <f>IF(COUNTIF('SCM-A'!$A:$A, $C76), AB$1, "")</f>
        <v/>
      </c>
      <c r="AC76" s="132" t="str">
        <f>IF(COUNTIF('SCM-B'!$A:$A, $C76), AC$1, "")</f>
        <v/>
      </c>
      <c r="AD76" s="132" t="str">
        <f>IF(COUNTIF(AIS!$A:$A, $C76), AD$1, "")</f>
        <v/>
      </c>
      <c r="AE76" s="132" t="str">
        <f>IF(COUNTIF(EB!$A:$A, $C76), AE$1, "")</f>
        <v/>
      </c>
      <c r="AF76" s="132" t="str">
        <f>IF(COUNTIF('AIAM-A'!$A:$A, $C76), AF$1, "")</f>
        <v/>
      </c>
      <c r="AG76" s="132" t="str">
        <f>IF(COUNTIF('AIAM-B'!$A:$A, $C76), AG$1, "")</f>
        <v/>
      </c>
      <c r="AH76" s="132" t="str">
        <f>IF(COUNTIF('SA-A'!$A:$A, $C76), AH$1, "")</f>
        <v>SPORTS ANALYTICS (A)</v>
      </c>
      <c r="AI76" s="132" t="str">
        <f>IF(COUNTIF('SA-B'!$A:$A, $C76), AI$1, "")</f>
        <v/>
      </c>
      <c r="AJ76" s="132" t="str">
        <f>IF(COUNTIF(CSM!$A:$A, $C76), AJ$1, "")</f>
        <v/>
      </c>
      <c r="AK76" s="132" t="str">
        <f>IF(COUNTIF(EM!$A:$A, $C76), AK$1, "")</f>
        <v/>
      </c>
      <c r="AL76" s="132" t="str">
        <f>IF(COUNTIF(I4TS!$A:$A, $C76), AL$1, "")</f>
        <v/>
      </c>
    </row>
    <row r="77" spans="1:38" ht="13">
      <c r="A77" s="131">
        <v>76</v>
      </c>
      <c r="B77" s="131" t="s">
        <v>557</v>
      </c>
      <c r="C77" s="134" t="s">
        <v>256</v>
      </c>
      <c r="D77" s="135" t="s">
        <v>581</v>
      </c>
      <c r="E77" s="135" t="s">
        <v>582</v>
      </c>
      <c r="F77" s="131">
        <f t="shared" ca="1" si="0"/>
        <v>5</v>
      </c>
      <c r="G77" s="106" t="str">
        <f ca="1">IFERROR(__xludf.DUMMYFUNCTION("INDEX(FILTER($P77:$AL77, $P77:$AL77 &lt;&gt; """"), 1)"),"Fintech (Digital Transformation in Finance) (B)")</f>
        <v>Fintech (Digital Transformation in Finance) (B)</v>
      </c>
      <c r="H77" s="106" t="str">
        <f ca="1">IFERROR(__xludf.DUMMYFUNCTION("INDEX(FILTER($P77:$AL77, $P77:$AL77 &lt;&gt; """"), 2)"),"Behavioural Economics and Decision-Making (A)")</f>
        <v>Behavioural Economics and Decision-Making (A)</v>
      </c>
      <c r="I77" s="106" t="str">
        <f ca="1">IFERROR(__xludf.DUMMYFUNCTION("INDEX(FILTER($P77:$AL77, $P77:$AL77 &lt;&gt; """"), 3)"),"Leadership Excellence Through Values : Wisdom from the Mahabharata")</f>
        <v>Leadership Excellence Through Values : Wisdom from the Mahabharata</v>
      </c>
      <c r="J77" s="106" t="str">
        <f ca="1">IFERROR(__xludf.DUMMYFUNCTION("IFERROR(INDEX(FILTER($P77:$AL77, $P77:$AL77 &lt;&gt; """"), 4),)"),"AI AND  STRATEGY")</f>
        <v>AI AND  STRATEGY</v>
      </c>
      <c r="K77" s="106" t="str">
        <f ca="1">IFERROR(__xludf.DUMMYFUNCTION("IFERROR(INDEX(FILTER($P77:$AL77, $P77:$AL77 &lt;&gt; """"), 5),)"),"Industry 4.0 in Transport Sector")</f>
        <v>Industry 4.0 in Transport Sector</v>
      </c>
      <c r="L77" s="107"/>
      <c r="M77" s="107"/>
      <c r="N77" s="107"/>
      <c r="O77" s="107"/>
      <c r="P77" s="132" t="str">
        <f>IF(COUNTIF('Fintech-A'!$A:$A, $C77), P$1, "")</f>
        <v/>
      </c>
      <c r="Q77" s="132" t="str">
        <f>IF(COUNTIF('Fintech-B'!$A:$A, $C77), Q$1, "")</f>
        <v>Fintech (Digital Transformation in Finance) (B)</v>
      </c>
      <c r="R77" s="132" t="str">
        <f>IF(COUNTIF('BEDM-A'!$A:$A, $C77), R$1, "")</f>
        <v>Behavioural Economics and Decision-Making (A)</v>
      </c>
      <c r="S77" s="132" t="str">
        <f>IF(COUNTIF('BEDM-B'!$A:$A, $C77), S$1, "")</f>
        <v/>
      </c>
      <c r="T77" s="132" t="str">
        <f>IF(COUNTIF('Art-A'!$A:$A, $C77), T$1, "")</f>
        <v/>
      </c>
      <c r="U77" s="132" t="str">
        <f>IF(COUNTIF('Art-B'!$A:$A, $C77), U$1, "")</f>
        <v/>
      </c>
      <c r="V77" s="132" t="str">
        <f>IF(COUNTIF('WH-A'!$A:$A, $C77), V$1, "")</f>
        <v/>
      </c>
      <c r="W77" s="132" t="str">
        <f>IF(COUNTIF('WH-B'!$A:$A, $C77), W$1, "")</f>
        <v/>
      </c>
      <c r="X77" s="132" t="str">
        <f>IF(COUNTIF(LETV!$A:$A, $C77), X$1, "")</f>
        <v>Leadership Excellence Through Values : Wisdom from the Mahabharata</v>
      </c>
      <c r="Y77" s="132" t="str">
        <f>IF(COUNTIF('Film&amp;Firm-A'!$A:$A, $C77), Y$1, "")</f>
        <v/>
      </c>
      <c r="Z77" s="132" t="str">
        <f>IF(COUNTIF('Film&amp;Firm-B'!$A:$A, $C77), Z$1, "")</f>
        <v/>
      </c>
      <c r="AA77" s="132" t="str">
        <f>IF(COUNTIF(SHRM!$A:$A, $C77), AA$1, "")</f>
        <v/>
      </c>
      <c r="AB77" s="132" t="str">
        <f>IF(COUNTIF('SCM-A'!$A:$A, $C77), AB$1, "")</f>
        <v/>
      </c>
      <c r="AC77" s="132" t="str">
        <f>IF(COUNTIF('SCM-B'!$A:$A, $C77), AC$1, "")</f>
        <v/>
      </c>
      <c r="AD77" s="132" t="str">
        <f>IF(COUNTIF(AIS!$A:$A, $C77), AD$1, "")</f>
        <v>AI AND  STRATEGY</v>
      </c>
      <c r="AE77" s="132" t="str">
        <f>IF(COUNTIF(EB!$A:$A, $C77), AE$1, "")</f>
        <v/>
      </c>
      <c r="AF77" s="132" t="str">
        <f>IF(COUNTIF('AIAM-A'!$A:$A, $C77), AF$1, "")</f>
        <v/>
      </c>
      <c r="AG77" s="132" t="str">
        <f>IF(COUNTIF('AIAM-B'!$A:$A, $C77), AG$1, "")</f>
        <v/>
      </c>
      <c r="AH77" s="132" t="str">
        <f>IF(COUNTIF('SA-A'!$A:$A, $C77), AH$1, "")</f>
        <v/>
      </c>
      <c r="AI77" s="132" t="str">
        <f>IF(COUNTIF('SA-B'!$A:$A, $C77), AI$1, "")</f>
        <v/>
      </c>
      <c r="AJ77" s="132" t="str">
        <f>IF(COUNTIF(CSM!$A:$A, $C77), AJ$1, "")</f>
        <v/>
      </c>
      <c r="AK77" s="132" t="str">
        <f>IF(COUNTIF(EM!$A:$A, $C77), AK$1, "")</f>
        <v/>
      </c>
      <c r="AL77" s="132" t="str">
        <f>IF(COUNTIF(I4TS!$A:$A, $C77), AL$1, "")</f>
        <v>Industry 4.0 in Transport Sector</v>
      </c>
    </row>
    <row r="78" spans="1:38" ht="13">
      <c r="A78" s="131">
        <v>77</v>
      </c>
      <c r="B78" s="131" t="s">
        <v>557</v>
      </c>
      <c r="C78" s="134" t="s">
        <v>583</v>
      </c>
      <c r="D78" s="135" t="s">
        <v>584</v>
      </c>
      <c r="E78" s="135" t="s">
        <v>585</v>
      </c>
      <c r="F78" s="131">
        <f t="shared" ca="1" si="0"/>
        <v>5</v>
      </c>
      <c r="G78" s="106" t="str">
        <f ca="1">IFERROR(__xludf.DUMMYFUNCTION("INDEX(FILTER($P78:$AL78, $P78:$AL78 &lt;&gt; """"), 1)"),"Behavioural Economics and Decision-Making (B)")</f>
        <v>Behavioural Economics and Decision-Making (B)</v>
      </c>
      <c r="H78" s="106" t="str">
        <f ca="1">IFERROR(__xludf.DUMMYFUNCTION("INDEX(FILTER($P78:$AL78, $P78:$AL78 &lt;&gt; """"), 2)"),"SPORTS ANALYTICS (A)")</f>
        <v>SPORTS ANALYTICS (A)</v>
      </c>
      <c r="I78" s="106" t="str">
        <f ca="1">IFERROR(__xludf.DUMMYFUNCTION("INDEX(FILTER($P78:$AL78, $P78:$AL78 &lt;&gt; """"), 3)"),"Industry 4.0 in Transport Sector")</f>
        <v>Industry 4.0 in Transport Sector</v>
      </c>
      <c r="J78" s="106" t="str">
        <f ca="1">IFERROR(__xludf.DUMMYFUNCTION("IFERROR(INDEX(FILTER($P78:$AL78, $P78:$AL78 &lt;&gt; """"), 4),)"),"")</f>
        <v/>
      </c>
      <c r="K78" s="106" t="str">
        <f ca="1">IFERROR(__xludf.DUMMYFUNCTION("IFERROR(INDEX(FILTER($P78:$AL78, $P78:$AL78 &lt;&gt; """"), 5),)"),"")</f>
        <v/>
      </c>
      <c r="L78" s="107"/>
      <c r="M78" s="107"/>
      <c r="N78" s="107"/>
      <c r="O78" s="107"/>
      <c r="P78" s="132" t="str">
        <f>IF(COUNTIF('Fintech-A'!$A:$A, $C78), P$1, "")</f>
        <v/>
      </c>
      <c r="Q78" s="132" t="str">
        <f>IF(COUNTIF('Fintech-B'!$A:$A, $C78), Q$1, "")</f>
        <v/>
      </c>
      <c r="R78" s="132" t="str">
        <f>IF(COUNTIF('BEDM-A'!$A:$A, $C78), R$1, "")</f>
        <v/>
      </c>
      <c r="S78" s="132" t="str">
        <f>IF(COUNTIF('BEDM-B'!$A:$A, $C78), S$1, "")</f>
        <v>Behavioural Economics and Decision-Making (B)</v>
      </c>
      <c r="T78" s="132" t="str">
        <f>IF(COUNTIF('Art-A'!$A:$A, $C78), T$1, "")</f>
        <v/>
      </c>
      <c r="U78" s="132" t="str">
        <f>IF(COUNTIF('Art-B'!$A:$A, $C78), U$1, "")</f>
        <v/>
      </c>
      <c r="V78" s="132" t="str">
        <f>IF(COUNTIF('WH-A'!$A:$A, $C78), V$1, "")</f>
        <v/>
      </c>
      <c r="W78" s="132" t="str">
        <f>IF(COUNTIF('WH-B'!$A:$A, $C78), W$1, "")</f>
        <v/>
      </c>
      <c r="X78" s="132" t="str">
        <f>IF(COUNTIF(LETV!$A:$A, $C78), X$1, "")</f>
        <v/>
      </c>
      <c r="Y78" s="132" t="str">
        <f>IF(COUNTIF('Film&amp;Firm-A'!$A:$A, $C78), Y$1, "")</f>
        <v/>
      </c>
      <c r="Z78" s="132" t="str">
        <f>IF(COUNTIF('Film&amp;Firm-B'!$A:$A, $C78), Z$1, "")</f>
        <v/>
      </c>
      <c r="AA78" s="132" t="str">
        <f>IF(COUNTIF(SHRM!$A:$A, $C78), AA$1, "")</f>
        <v/>
      </c>
      <c r="AB78" s="132" t="str">
        <f>IF(COUNTIF('SCM-A'!$A:$A, $C78), AB$1, "")</f>
        <v/>
      </c>
      <c r="AC78" s="132" t="str">
        <f>IF(COUNTIF('SCM-B'!$A:$A, $C78), AC$1, "")</f>
        <v/>
      </c>
      <c r="AD78" s="132" t="str">
        <f>IF(COUNTIF(AIS!$A:$A, $C78), AD$1, "")</f>
        <v/>
      </c>
      <c r="AE78" s="132" t="str">
        <f>IF(COUNTIF(EB!$A:$A, $C78), AE$1, "")</f>
        <v/>
      </c>
      <c r="AF78" s="132" t="str">
        <f>IF(COUNTIF('AIAM-A'!$A:$A, $C78), AF$1, "")</f>
        <v/>
      </c>
      <c r="AG78" s="132" t="str">
        <f>IF(COUNTIF('AIAM-B'!$A:$A, $C78), AG$1, "")</f>
        <v/>
      </c>
      <c r="AH78" s="132" t="str">
        <f>IF(COUNTIF('SA-A'!$A:$A, $C78), AH$1, "")</f>
        <v>SPORTS ANALYTICS (A)</v>
      </c>
      <c r="AI78" s="132" t="str">
        <f>IF(COUNTIF('SA-B'!$A:$A, $C78), AI$1, "")</f>
        <v/>
      </c>
      <c r="AJ78" s="132" t="str">
        <f>IF(COUNTIF(CSM!$A:$A, $C78), AJ$1, "")</f>
        <v/>
      </c>
      <c r="AK78" s="132" t="str">
        <f>IF(COUNTIF(EM!$A:$A, $C78), AK$1, "")</f>
        <v/>
      </c>
      <c r="AL78" s="132" t="str">
        <f>IF(COUNTIF(I4TS!$A:$A, $C78), AL$1, "")</f>
        <v>Industry 4.0 in Transport Sector</v>
      </c>
    </row>
    <row r="79" spans="1:38" ht="13">
      <c r="A79" s="131">
        <v>78</v>
      </c>
      <c r="B79" s="131" t="s">
        <v>557</v>
      </c>
      <c r="C79" s="134" t="s">
        <v>586</v>
      </c>
      <c r="D79" s="135" t="s">
        <v>587</v>
      </c>
      <c r="E79" s="135" t="s">
        <v>588</v>
      </c>
      <c r="F79" s="131">
        <f t="shared" ca="1" si="0"/>
        <v>5</v>
      </c>
      <c r="G79" s="106" t="str">
        <f ca="1">IFERROR(__xludf.DUMMYFUNCTION("INDEX(FILTER($P79:$AL79, $P79:$AL79 &lt;&gt; """"), 1)"),"AI AND  STRATEGY")</f>
        <v>AI AND  STRATEGY</v>
      </c>
      <c r="H79" s="106" t="str">
        <f ca="1">IFERROR(__xludf.DUMMYFUNCTION("INDEX(FILTER($P79:$AL79, $P79:$AL79 &lt;&gt; """"), 2)"),"AI Applications in Marketing (A)")</f>
        <v>AI Applications in Marketing (A)</v>
      </c>
      <c r="I79" s="106" t="str">
        <f ca="1">IFERROR(__xludf.DUMMYFUNCTION("INDEX(FILTER($P79:$AL79, $P79:$AL79 &lt;&gt; """"), 3)"),"SPORTS ANALYTICS (B)")</f>
        <v>SPORTS ANALYTICS (B)</v>
      </c>
      <c r="J79" s="106" t="str">
        <f ca="1">IFERROR(__xludf.DUMMYFUNCTION("IFERROR(INDEX(FILTER($P79:$AL79, $P79:$AL79 &lt;&gt; """"), 4),)"),"")</f>
        <v/>
      </c>
      <c r="K79" s="106" t="str">
        <f ca="1">IFERROR(__xludf.DUMMYFUNCTION("IFERROR(INDEX(FILTER($P79:$AL79, $P79:$AL79 &lt;&gt; """"), 5),)"),"")</f>
        <v/>
      </c>
      <c r="L79" s="107"/>
      <c r="M79" s="107"/>
      <c r="N79" s="107"/>
      <c r="O79" s="107"/>
      <c r="P79" s="132" t="str">
        <f>IF(COUNTIF('Fintech-A'!$A:$A, $C79), P$1, "")</f>
        <v/>
      </c>
      <c r="Q79" s="132" t="str">
        <f>IF(COUNTIF('Fintech-B'!$A:$A, $C79), Q$1, "")</f>
        <v/>
      </c>
      <c r="R79" s="132" t="str">
        <f>IF(COUNTIF('BEDM-A'!$A:$A, $C79), R$1, "")</f>
        <v/>
      </c>
      <c r="S79" s="132" t="str">
        <f>IF(COUNTIF('BEDM-B'!$A:$A, $C79), S$1, "")</f>
        <v/>
      </c>
      <c r="T79" s="132" t="str">
        <f>IF(COUNTIF('Art-A'!$A:$A, $C79), T$1, "")</f>
        <v/>
      </c>
      <c r="U79" s="132" t="str">
        <f>IF(COUNTIF('Art-B'!$A:$A, $C79), U$1, "")</f>
        <v/>
      </c>
      <c r="V79" s="132" t="str">
        <f>IF(COUNTIF('WH-A'!$A:$A, $C79), V$1, "")</f>
        <v/>
      </c>
      <c r="W79" s="132" t="str">
        <f>IF(COUNTIF('WH-B'!$A:$A, $C79), W$1, "")</f>
        <v/>
      </c>
      <c r="X79" s="132" t="str">
        <f>IF(COUNTIF(LETV!$A:$A, $C79), X$1, "")</f>
        <v/>
      </c>
      <c r="Y79" s="132" t="str">
        <f>IF(COUNTIF('Film&amp;Firm-A'!$A:$A, $C79), Y$1, "")</f>
        <v/>
      </c>
      <c r="Z79" s="132" t="str">
        <f>IF(COUNTIF('Film&amp;Firm-B'!$A:$A, $C79), Z$1, "")</f>
        <v/>
      </c>
      <c r="AA79" s="132" t="str">
        <f>IF(COUNTIF(SHRM!$A:$A, $C79), AA$1, "")</f>
        <v/>
      </c>
      <c r="AB79" s="132" t="str">
        <f>IF(COUNTIF('SCM-A'!$A:$A, $C79), AB$1, "")</f>
        <v/>
      </c>
      <c r="AC79" s="132" t="str">
        <f>IF(COUNTIF('SCM-B'!$A:$A, $C79), AC$1, "")</f>
        <v/>
      </c>
      <c r="AD79" s="132" t="str">
        <f>IF(COUNTIF(AIS!$A:$A, $C79), AD$1, "")</f>
        <v>AI AND  STRATEGY</v>
      </c>
      <c r="AE79" s="132" t="str">
        <f>IF(COUNTIF(EB!$A:$A, $C79), AE$1, "")</f>
        <v/>
      </c>
      <c r="AF79" s="132" t="str">
        <f>IF(COUNTIF('AIAM-A'!$A:$A, $C79), AF$1, "")</f>
        <v>AI Applications in Marketing (A)</v>
      </c>
      <c r="AG79" s="132" t="str">
        <f>IF(COUNTIF('AIAM-B'!$A:$A, $C79), AG$1, "")</f>
        <v/>
      </c>
      <c r="AH79" s="132" t="str">
        <f>IF(COUNTIF('SA-A'!$A:$A, $C79), AH$1, "")</f>
        <v/>
      </c>
      <c r="AI79" s="132" t="str">
        <f>IF(COUNTIF('SA-B'!$A:$A, $C79), AI$1, "")</f>
        <v>SPORTS ANALYTICS (B)</v>
      </c>
      <c r="AJ79" s="132" t="str">
        <f>IF(COUNTIF(CSM!$A:$A, $C79), AJ$1, "")</f>
        <v/>
      </c>
      <c r="AK79" s="132" t="str">
        <f>IF(COUNTIF(EM!$A:$A, $C79), AK$1, "")</f>
        <v/>
      </c>
      <c r="AL79" s="132" t="str">
        <f>IF(COUNTIF(I4TS!$A:$A, $C79), AL$1, "")</f>
        <v/>
      </c>
    </row>
    <row r="80" spans="1:38" ht="13">
      <c r="A80" s="131">
        <v>79</v>
      </c>
      <c r="B80" s="131" t="s">
        <v>557</v>
      </c>
      <c r="C80" s="134" t="s">
        <v>589</v>
      </c>
      <c r="D80" s="135" t="s">
        <v>590</v>
      </c>
      <c r="E80" s="135" t="s">
        <v>591</v>
      </c>
      <c r="F80" s="131">
        <f t="shared" ca="1" si="0"/>
        <v>5</v>
      </c>
      <c r="G80" s="106" t="str">
        <f ca="1">IFERROR(__xludf.DUMMYFUNCTION("INDEX(FILTER($P80:$AL80, $P80:$AL80 &lt;&gt; """"), 1)"),"Behavioural Economics and Decision-Making (B)")</f>
        <v>Behavioural Economics and Decision-Making (B)</v>
      </c>
      <c r="H80" s="106" t="str">
        <f ca="1">IFERROR(__xludf.DUMMYFUNCTION("INDEX(FILTER($P80:$AL80, $P80:$AL80 &lt;&gt; """"), 2)"),"Strategic HRM")</f>
        <v>Strategic HRM</v>
      </c>
      <c r="I80" s="106" t="str">
        <f ca="1">IFERROR(__xludf.DUMMYFUNCTION("INDEX(FILTER($P80:$AL80, $P80:$AL80 &lt;&gt; """"), 3)"),"Entrepreneurial Marketing")</f>
        <v>Entrepreneurial Marketing</v>
      </c>
      <c r="J80" s="106" t="str">
        <f ca="1">IFERROR(__xludf.DUMMYFUNCTION("IFERROR(INDEX(FILTER($P80:$AL80, $P80:$AL80 &lt;&gt; """"), 4),)"),"")</f>
        <v/>
      </c>
      <c r="K80" s="106" t="str">
        <f ca="1">IFERROR(__xludf.DUMMYFUNCTION("IFERROR(INDEX(FILTER($P80:$AL80, $P80:$AL80 &lt;&gt; """"), 5),)"),"")</f>
        <v/>
      </c>
      <c r="L80" s="107"/>
      <c r="M80" s="107"/>
      <c r="N80" s="107"/>
      <c r="O80" s="107"/>
      <c r="P80" s="132" t="str">
        <f>IF(COUNTIF('Fintech-A'!$A:$A, $C80), P$1, "")</f>
        <v/>
      </c>
      <c r="Q80" s="132" t="str">
        <f>IF(COUNTIF('Fintech-B'!$A:$A, $C80), Q$1, "")</f>
        <v/>
      </c>
      <c r="R80" s="132" t="str">
        <f>IF(COUNTIF('BEDM-A'!$A:$A, $C80), R$1, "")</f>
        <v/>
      </c>
      <c r="S80" s="132" t="str">
        <f>IF(COUNTIF('BEDM-B'!$A:$A, $C80), S$1, "")</f>
        <v>Behavioural Economics and Decision-Making (B)</v>
      </c>
      <c r="T80" s="132" t="str">
        <f>IF(COUNTIF('Art-A'!$A:$A, $C80), T$1, "")</f>
        <v/>
      </c>
      <c r="U80" s="132" t="str">
        <f>IF(COUNTIF('Art-B'!$A:$A, $C80), U$1, "")</f>
        <v/>
      </c>
      <c r="V80" s="132" t="str">
        <f>IF(COUNTIF('WH-A'!$A:$A, $C80), V$1, "")</f>
        <v/>
      </c>
      <c r="W80" s="132" t="str">
        <f>IF(COUNTIF('WH-B'!$A:$A, $C80), W$1, "")</f>
        <v/>
      </c>
      <c r="X80" s="132" t="str">
        <f>IF(COUNTIF(LETV!$A:$A, $C80), X$1, "")</f>
        <v/>
      </c>
      <c r="Y80" s="132" t="str">
        <f>IF(COUNTIF('Film&amp;Firm-A'!$A:$A, $C80), Y$1, "")</f>
        <v/>
      </c>
      <c r="Z80" s="132" t="str">
        <f>IF(COUNTIF('Film&amp;Firm-B'!$A:$A, $C80), Z$1, "")</f>
        <v/>
      </c>
      <c r="AA80" s="132" t="str">
        <f>IF(COUNTIF(SHRM!$A:$A, $C80), AA$1, "")</f>
        <v>Strategic HRM</v>
      </c>
      <c r="AB80" s="132" t="str">
        <f>IF(COUNTIF('SCM-A'!$A:$A, $C80), AB$1, "")</f>
        <v/>
      </c>
      <c r="AC80" s="132" t="str">
        <f>IF(COUNTIF('SCM-B'!$A:$A, $C80), AC$1, "")</f>
        <v/>
      </c>
      <c r="AD80" s="132" t="str">
        <f>IF(COUNTIF(AIS!$A:$A, $C80), AD$1, "")</f>
        <v/>
      </c>
      <c r="AE80" s="132" t="str">
        <f>IF(COUNTIF(EB!$A:$A, $C80), AE$1, "")</f>
        <v/>
      </c>
      <c r="AF80" s="132" t="str">
        <f>IF(COUNTIF('AIAM-A'!$A:$A, $C80), AF$1, "")</f>
        <v/>
      </c>
      <c r="AG80" s="132" t="str">
        <f>IF(COUNTIF('AIAM-B'!$A:$A, $C80), AG$1, "")</f>
        <v/>
      </c>
      <c r="AH80" s="132" t="str">
        <f>IF(COUNTIF('SA-A'!$A:$A, $C80), AH$1, "")</f>
        <v/>
      </c>
      <c r="AI80" s="132" t="str">
        <f>IF(COUNTIF('SA-B'!$A:$A, $C80), AI$1, "")</f>
        <v/>
      </c>
      <c r="AJ80" s="132" t="str">
        <f>IF(COUNTIF(CSM!$A:$A, $C80), AJ$1, "")</f>
        <v/>
      </c>
      <c r="AK80" s="132" t="str">
        <f>IF(COUNTIF(EM!$A:$A, $C80), AK$1, "")</f>
        <v>Entrepreneurial Marketing</v>
      </c>
      <c r="AL80" s="132" t="str">
        <f>IF(COUNTIF(I4TS!$A:$A, $C80), AL$1, "")</f>
        <v/>
      </c>
    </row>
    <row r="81" spans="1:38" ht="13">
      <c r="A81" s="131">
        <v>80</v>
      </c>
      <c r="B81" s="131" t="s">
        <v>557</v>
      </c>
      <c r="C81" s="134" t="s">
        <v>592</v>
      </c>
      <c r="D81" s="135" t="s">
        <v>593</v>
      </c>
      <c r="E81" s="135" t="s">
        <v>594</v>
      </c>
      <c r="F81" s="131">
        <f t="shared" ca="1" si="0"/>
        <v>5</v>
      </c>
      <c r="G81" s="106" t="str">
        <f ca="1">IFERROR(__xludf.DUMMYFUNCTION("INDEX(FILTER($P81:$AL81, $P81:$AL81 &lt;&gt; """"), 1)"),"Fintech (Digital Transformation in Finance) (B)")</f>
        <v>Fintech (Digital Transformation in Finance) (B)</v>
      </c>
      <c r="H81" s="106" t="str">
        <f ca="1">IFERROR(__xludf.DUMMYFUNCTION("INDEX(FILTER($P81:$AL81, $P81:$AL81 &lt;&gt; """"), 2)"),"Behavioural Economics and Decision-Making (A)")</f>
        <v>Behavioural Economics and Decision-Making (A)</v>
      </c>
      <c r="I81" s="106" t="str">
        <f ca="1">IFERROR(__xludf.DUMMYFUNCTION("INDEX(FILTER($P81:$AL81, $P81:$AL81 &lt;&gt; """"), 3)"),"AI AND  STRATEGY")</f>
        <v>AI AND  STRATEGY</v>
      </c>
      <c r="J81" s="106" t="str">
        <f ca="1">IFERROR(__xludf.DUMMYFUNCTION("IFERROR(INDEX(FILTER($P81:$AL81, $P81:$AL81 &lt;&gt; """"), 4),)"),"")</f>
        <v/>
      </c>
      <c r="K81" s="106" t="str">
        <f ca="1">IFERROR(__xludf.DUMMYFUNCTION("IFERROR(INDEX(FILTER($P81:$AL81, $P81:$AL81 &lt;&gt; """"), 5),)"),"")</f>
        <v/>
      </c>
      <c r="L81" s="107"/>
      <c r="M81" s="107"/>
      <c r="N81" s="107"/>
      <c r="O81" s="107"/>
      <c r="P81" s="132" t="str">
        <f>IF(COUNTIF('Fintech-A'!$A:$A, $C81), P$1, "")</f>
        <v/>
      </c>
      <c r="Q81" s="132" t="str">
        <f>IF(COUNTIF('Fintech-B'!$A:$A, $C81), Q$1, "")</f>
        <v>Fintech (Digital Transformation in Finance) (B)</v>
      </c>
      <c r="R81" s="132" t="str">
        <f>IF(COUNTIF('BEDM-A'!$A:$A, $C81), R$1, "")</f>
        <v>Behavioural Economics and Decision-Making (A)</v>
      </c>
      <c r="S81" s="132" t="str">
        <f>IF(COUNTIF('BEDM-B'!$A:$A, $C81), S$1, "")</f>
        <v/>
      </c>
      <c r="T81" s="132" t="str">
        <f>IF(COUNTIF('Art-A'!$A:$A, $C81), T$1, "")</f>
        <v/>
      </c>
      <c r="U81" s="132" t="str">
        <f>IF(COUNTIF('Art-B'!$A:$A, $C81), U$1, "")</f>
        <v/>
      </c>
      <c r="V81" s="132" t="str">
        <f>IF(COUNTIF('WH-A'!$A:$A, $C81), V$1, "")</f>
        <v/>
      </c>
      <c r="W81" s="132" t="str">
        <f>IF(COUNTIF('WH-B'!$A:$A, $C81), W$1, "")</f>
        <v/>
      </c>
      <c r="X81" s="132" t="str">
        <f>IF(COUNTIF(LETV!$A:$A, $C81), X$1, "")</f>
        <v/>
      </c>
      <c r="Y81" s="132" t="str">
        <f>IF(COUNTIF('Film&amp;Firm-A'!$A:$A, $C81), Y$1, "")</f>
        <v/>
      </c>
      <c r="Z81" s="132" t="str">
        <f>IF(COUNTIF('Film&amp;Firm-B'!$A:$A, $C81), Z$1, "")</f>
        <v/>
      </c>
      <c r="AA81" s="132" t="str">
        <f>IF(COUNTIF(SHRM!$A:$A, $C81), AA$1, "")</f>
        <v/>
      </c>
      <c r="AB81" s="132" t="str">
        <f>IF(COUNTIF('SCM-A'!$A:$A, $C81), AB$1, "")</f>
        <v/>
      </c>
      <c r="AC81" s="132" t="str">
        <f>IF(COUNTIF('SCM-B'!$A:$A, $C81), AC$1, "")</f>
        <v/>
      </c>
      <c r="AD81" s="132" t="str">
        <f>IF(COUNTIF(AIS!$A:$A, $C81), AD$1, "")</f>
        <v>AI AND  STRATEGY</v>
      </c>
      <c r="AE81" s="132" t="str">
        <f>IF(COUNTIF(EB!$A:$A, $C81), AE$1, "")</f>
        <v/>
      </c>
      <c r="AF81" s="132" t="str">
        <f>IF(COUNTIF('AIAM-A'!$A:$A, $C81), AF$1, "")</f>
        <v/>
      </c>
      <c r="AG81" s="132" t="str">
        <f>IF(COUNTIF('AIAM-B'!$A:$A, $C81), AG$1, "")</f>
        <v/>
      </c>
      <c r="AH81" s="132" t="str">
        <f>IF(COUNTIF('SA-A'!$A:$A, $C81), AH$1, "")</f>
        <v/>
      </c>
      <c r="AI81" s="132" t="str">
        <f>IF(COUNTIF('SA-B'!$A:$A, $C81), AI$1, "")</f>
        <v/>
      </c>
      <c r="AJ81" s="132" t="str">
        <f>IF(COUNTIF(CSM!$A:$A, $C81), AJ$1, "")</f>
        <v/>
      </c>
      <c r="AK81" s="132" t="str">
        <f>IF(COUNTIF(EM!$A:$A, $C81), AK$1, "")</f>
        <v/>
      </c>
      <c r="AL81" s="132" t="str">
        <f>IF(COUNTIF(I4TS!$A:$A, $C81), AL$1, "")</f>
        <v/>
      </c>
    </row>
    <row r="82" spans="1:38" ht="13">
      <c r="A82" s="131">
        <v>81</v>
      </c>
      <c r="B82" s="131" t="s">
        <v>557</v>
      </c>
      <c r="C82" s="134" t="s">
        <v>595</v>
      </c>
      <c r="D82" s="135" t="s">
        <v>596</v>
      </c>
      <c r="E82" s="135" t="s">
        <v>597</v>
      </c>
      <c r="F82" s="131">
        <f t="shared" ca="1" si="0"/>
        <v>5</v>
      </c>
      <c r="G82" s="106" t="str">
        <f ca="1">IFERROR(__xludf.DUMMYFUNCTION("INDEX(FILTER($P82:$AL82, $P82:$AL82 &lt;&gt; """"), 1)"),"Strategic Career Management (A)")</f>
        <v>Strategic Career Management (A)</v>
      </c>
      <c r="H82" s="106" t="str">
        <f ca="1">IFERROR(__xludf.DUMMYFUNCTION("INDEX(FILTER($P82:$AL82, $P82:$AL82 &lt;&gt; """"), 2)"),"AI Applications in Marketing (A)")</f>
        <v>AI Applications in Marketing (A)</v>
      </c>
      <c r="I82" s="106" t="str">
        <f ca="1">IFERROR(__xludf.DUMMYFUNCTION("INDEX(FILTER($P82:$AL82, $P82:$AL82 &lt;&gt; """"), 3)"),"SPORTS ANALYTICS (A)")</f>
        <v>SPORTS ANALYTICS (A)</v>
      </c>
      <c r="J82" s="106" t="str">
        <f ca="1">IFERROR(__xludf.DUMMYFUNCTION("IFERROR(INDEX(FILTER($P82:$AL82, $P82:$AL82 &lt;&gt; """"), 4),)"),"")</f>
        <v/>
      </c>
      <c r="K82" s="106" t="str">
        <f ca="1">IFERROR(__xludf.DUMMYFUNCTION("IFERROR(INDEX(FILTER($P82:$AL82, $P82:$AL82 &lt;&gt; """"), 5),)"),"")</f>
        <v/>
      </c>
      <c r="L82" s="107"/>
      <c r="M82" s="107"/>
      <c r="N82" s="107"/>
      <c r="O82" s="107"/>
      <c r="P82" s="132" t="str">
        <f>IF(COUNTIF('Fintech-A'!$A:$A, $C82), P$1, "")</f>
        <v/>
      </c>
      <c r="Q82" s="132" t="str">
        <f>IF(COUNTIF('Fintech-B'!$A:$A, $C82), Q$1, "")</f>
        <v/>
      </c>
      <c r="R82" s="132" t="str">
        <f>IF(COUNTIF('BEDM-A'!$A:$A, $C82), R$1, "")</f>
        <v/>
      </c>
      <c r="S82" s="132" t="str">
        <f>IF(COUNTIF('BEDM-B'!$A:$A, $C82), S$1, "")</f>
        <v/>
      </c>
      <c r="T82" s="132" t="str">
        <f>IF(COUNTIF('Art-A'!$A:$A, $C82), T$1, "")</f>
        <v/>
      </c>
      <c r="U82" s="132" t="str">
        <f>IF(COUNTIF('Art-B'!$A:$A, $C82), U$1, "")</f>
        <v/>
      </c>
      <c r="V82" s="132" t="str">
        <f>IF(COUNTIF('WH-A'!$A:$A, $C82), V$1, "")</f>
        <v/>
      </c>
      <c r="W82" s="132" t="str">
        <f>IF(COUNTIF('WH-B'!$A:$A, $C82), W$1, "")</f>
        <v/>
      </c>
      <c r="X82" s="132" t="str">
        <f>IF(COUNTIF(LETV!$A:$A, $C82), X$1, "")</f>
        <v/>
      </c>
      <c r="Y82" s="132" t="str">
        <f>IF(COUNTIF('Film&amp;Firm-A'!$A:$A, $C82), Y$1, "")</f>
        <v/>
      </c>
      <c r="Z82" s="132" t="str">
        <f>IF(COUNTIF('Film&amp;Firm-B'!$A:$A, $C82), Z$1, "")</f>
        <v/>
      </c>
      <c r="AA82" s="132" t="str">
        <f>IF(COUNTIF(SHRM!$A:$A, $C82), AA$1, "")</f>
        <v/>
      </c>
      <c r="AB82" s="132" t="str">
        <f>IF(COUNTIF('SCM-A'!$A:$A, $C82), AB$1, "")</f>
        <v>Strategic Career Management (A)</v>
      </c>
      <c r="AC82" s="132" t="str">
        <f>IF(COUNTIF('SCM-B'!$A:$A, $C82), AC$1, "")</f>
        <v/>
      </c>
      <c r="AD82" s="132" t="str">
        <f>IF(COUNTIF(AIS!$A:$A, $C82), AD$1, "")</f>
        <v/>
      </c>
      <c r="AE82" s="132" t="str">
        <f>IF(COUNTIF(EB!$A:$A, $C82), AE$1, "")</f>
        <v/>
      </c>
      <c r="AF82" s="132" t="str">
        <f>IF(COUNTIF('AIAM-A'!$A:$A, $C82), AF$1, "")</f>
        <v>AI Applications in Marketing (A)</v>
      </c>
      <c r="AG82" s="132" t="str">
        <f>IF(COUNTIF('AIAM-B'!$A:$A, $C82), AG$1, "")</f>
        <v/>
      </c>
      <c r="AH82" s="132" t="str">
        <f>IF(COUNTIF('SA-A'!$A:$A, $C82), AH$1, "")</f>
        <v>SPORTS ANALYTICS (A)</v>
      </c>
      <c r="AI82" s="132" t="str">
        <f>IF(COUNTIF('SA-B'!$A:$A, $C82), AI$1, "")</f>
        <v/>
      </c>
      <c r="AJ82" s="132" t="str">
        <f>IF(COUNTIF(CSM!$A:$A, $C82), AJ$1, "")</f>
        <v/>
      </c>
      <c r="AK82" s="132" t="str">
        <f>IF(COUNTIF(EM!$A:$A, $C82), AK$1, "")</f>
        <v/>
      </c>
      <c r="AL82" s="132" t="str">
        <f>IF(COUNTIF(I4TS!$A:$A, $C82), AL$1, "")</f>
        <v/>
      </c>
    </row>
    <row r="83" spans="1:38" ht="13">
      <c r="A83" s="131">
        <v>82</v>
      </c>
      <c r="B83" s="131" t="s">
        <v>557</v>
      </c>
      <c r="C83" s="134" t="s">
        <v>598</v>
      </c>
      <c r="D83" s="135" t="s">
        <v>599</v>
      </c>
      <c r="E83" s="135" t="s">
        <v>600</v>
      </c>
      <c r="F83" s="131">
        <f t="shared" ca="1" si="0"/>
        <v>5</v>
      </c>
      <c r="G83" s="106" t="str">
        <f ca="1">IFERROR(__xludf.DUMMYFUNCTION("INDEX(FILTER($P83:$AL83, $P83:$AL83 &lt;&gt; """"), 1)"),"Fintech (Digital Transformation in Finance) (B)")</f>
        <v>Fintech (Digital Transformation in Finance) (B)</v>
      </c>
      <c r="H83" s="106" t="str">
        <f ca="1">IFERROR(__xludf.DUMMYFUNCTION("INDEX(FILTER($P83:$AL83, $P83:$AL83 &lt;&gt; """"), 2)"),"Film &amp; the Firm: Visual Culture in Business Contexts (B)")</f>
        <v>Film &amp; the Firm: Visual Culture in Business Contexts (B)</v>
      </c>
      <c r="I83" s="106" t="str">
        <f ca="1">IFERROR(__xludf.DUMMYFUNCTION("INDEX(FILTER($P83:$AL83, $P83:$AL83 &lt;&gt; """"), 3)"),"Customer Success Management")</f>
        <v>Customer Success Management</v>
      </c>
      <c r="J83" s="106" t="str">
        <f ca="1">IFERROR(__xludf.DUMMYFUNCTION("IFERROR(INDEX(FILTER($P83:$AL83, $P83:$AL83 &lt;&gt; """"), 4),)"),"")</f>
        <v/>
      </c>
      <c r="K83" s="106" t="str">
        <f ca="1">IFERROR(__xludf.DUMMYFUNCTION("IFERROR(INDEX(FILTER($P83:$AL83, $P83:$AL83 &lt;&gt; """"), 5),)"),"")</f>
        <v/>
      </c>
      <c r="L83" s="107"/>
      <c r="M83" s="107"/>
      <c r="N83" s="107"/>
      <c r="O83" s="107"/>
      <c r="P83" s="132" t="str">
        <f>IF(COUNTIF('Fintech-A'!$A:$A, $C83), P$1, "")</f>
        <v/>
      </c>
      <c r="Q83" s="132" t="str">
        <f>IF(COUNTIF('Fintech-B'!$A:$A, $C83), Q$1, "")</f>
        <v>Fintech (Digital Transformation in Finance) (B)</v>
      </c>
      <c r="R83" s="132" t="str">
        <f>IF(COUNTIF('BEDM-A'!$A:$A, $C83), R$1, "")</f>
        <v/>
      </c>
      <c r="S83" s="132" t="str">
        <f>IF(COUNTIF('BEDM-B'!$A:$A, $C83), S$1, "")</f>
        <v/>
      </c>
      <c r="T83" s="132" t="str">
        <f>IF(COUNTIF('Art-A'!$A:$A, $C83), T$1, "")</f>
        <v/>
      </c>
      <c r="U83" s="132" t="str">
        <f>IF(COUNTIF('Art-B'!$A:$A, $C83), U$1, "")</f>
        <v/>
      </c>
      <c r="V83" s="132" t="str">
        <f>IF(COUNTIF('WH-A'!$A:$A, $C83), V$1, "")</f>
        <v/>
      </c>
      <c r="W83" s="132" t="str">
        <f>IF(COUNTIF('WH-B'!$A:$A, $C83), W$1, "")</f>
        <v/>
      </c>
      <c r="X83" s="132" t="str">
        <f>IF(COUNTIF(LETV!$A:$A, $C83), X$1, "")</f>
        <v/>
      </c>
      <c r="Y83" s="132" t="str">
        <f>IF(COUNTIF('Film&amp;Firm-A'!$A:$A, $C83), Y$1, "")</f>
        <v/>
      </c>
      <c r="Z83" s="132" t="str">
        <f>IF(COUNTIF('Film&amp;Firm-B'!$A:$A, $C83), Z$1, "")</f>
        <v>Film &amp; the Firm: Visual Culture in Business Contexts (B)</v>
      </c>
      <c r="AA83" s="132" t="str">
        <f>IF(COUNTIF(SHRM!$A:$A, $C83), AA$1, "")</f>
        <v/>
      </c>
      <c r="AB83" s="132" t="str">
        <f>IF(COUNTIF('SCM-A'!$A:$A, $C83), AB$1, "")</f>
        <v/>
      </c>
      <c r="AC83" s="132" t="str">
        <f>IF(COUNTIF('SCM-B'!$A:$A, $C83), AC$1, "")</f>
        <v/>
      </c>
      <c r="AD83" s="132" t="str">
        <f>IF(COUNTIF(AIS!$A:$A, $C83), AD$1, "")</f>
        <v/>
      </c>
      <c r="AE83" s="132" t="str">
        <f>IF(COUNTIF(EB!$A:$A, $C83), AE$1, "")</f>
        <v/>
      </c>
      <c r="AF83" s="132" t="str">
        <f>IF(COUNTIF('AIAM-A'!$A:$A, $C83), AF$1, "")</f>
        <v/>
      </c>
      <c r="AG83" s="132" t="str">
        <f>IF(COUNTIF('AIAM-B'!$A:$A, $C83), AG$1, "")</f>
        <v/>
      </c>
      <c r="AH83" s="132" t="str">
        <f>IF(COUNTIF('SA-A'!$A:$A, $C83), AH$1, "")</f>
        <v/>
      </c>
      <c r="AI83" s="132" t="str">
        <f>IF(COUNTIF('SA-B'!$A:$A, $C83), AI$1, "")</f>
        <v/>
      </c>
      <c r="AJ83" s="132" t="str">
        <f>IF(COUNTIF(CSM!$A:$A, $C83), AJ$1, "")</f>
        <v>Customer Success Management</v>
      </c>
      <c r="AK83" s="132" t="str">
        <f>IF(COUNTIF(EM!$A:$A, $C83), AK$1, "")</f>
        <v/>
      </c>
      <c r="AL83" s="132" t="str">
        <f>IF(COUNTIF(I4TS!$A:$A, $C83), AL$1, "")</f>
        <v/>
      </c>
    </row>
    <row r="84" spans="1:38" ht="13">
      <c r="A84" s="131">
        <v>83</v>
      </c>
      <c r="B84" s="131" t="s">
        <v>557</v>
      </c>
      <c r="C84" s="134" t="s">
        <v>257</v>
      </c>
      <c r="D84" s="135" t="s">
        <v>601</v>
      </c>
      <c r="E84" s="135" t="s">
        <v>602</v>
      </c>
      <c r="F84" s="131">
        <f t="shared" ca="1" si="0"/>
        <v>5</v>
      </c>
      <c r="G84" s="106" t="str">
        <f ca="1">IFERROR(__xludf.DUMMYFUNCTION("INDEX(FILTER($P84:$AL84, $P84:$AL84 &lt;&gt; """"), 1)"),"The Art, Craft, and Science of Management: Learning through Classics and Best Collections (A)")</f>
        <v>The Art, Craft, and Science of Management: Learning through Classics and Best Collections (A)</v>
      </c>
      <c r="H84" s="106" t="str">
        <f ca="1">IFERROR(__xludf.DUMMYFUNCTION("INDEX(FILTER($P84:$AL84, $P84:$AL84 &lt;&gt; """"), 2)"),"Strategic HRM")</f>
        <v>Strategic HRM</v>
      </c>
      <c r="I84" s="106" t="str">
        <f ca="1">IFERROR(__xludf.DUMMYFUNCTION("INDEX(FILTER($P84:$AL84, $P84:$AL84 &lt;&gt; """"), 3)"),"Strategic Career Management (B)")</f>
        <v>Strategic Career Management (B)</v>
      </c>
      <c r="J84" s="106" t="str">
        <f ca="1">IFERROR(__xludf.DUMMYFUNCTION("IFERROR(INDEX(FILTER($P84:$AL84, $P84:$AL84 &lt;&gt; """"), 4),)"),"")</f>
        <v/>
      </c>
      <c r="K84" s="106" t="str">
        <f ca="1">IFERROR(__xludf.DUMMYFUNCTION("IFERROR(INDEX(FILTER($P84:$AL84, $P84:$AL84 &lt;&gt; """"), 5),)"),"")</f>
        <v/>
      </c>
      <c r="L84" s="107"/>
      <c r="M84" s="107"/>
      <c r="N84" s="107"/>
      <c r="O84" s="107"/>
      <c r="P84" s="132" t="str">
        <f>IF(COUNTIF('Fintech-A'!$A:$A, $C84), P$1, "")</f>
        <v/>
      </c>
      <c r="Q84" s="132" t="str">
        <f>IF(COUNTIF('Fintech-B'!$A:$A, $C84), Q$1, "")</f>
        <v/>
      </c>
      <c r="R84" s="132" t="str">
        <f>IF(COUNTIF('BEDM-A'!$A:$A, $C84), R$1, "")</f>
        <v/>
      </c>
      <c r="S84" s="132" t="str">
        <f>IF(COUNTIF('BEDM-B'!$A:$A, $C84), S$1, "")</f>
        <v/>
      </c>
      <c r="T84" s="132" t="str">
        <f>IF(COUNTIF('Art-A'!$A:$A, $C84), T$1, "")</f>
        <v>The Art, Craft, and Science of Management: Learning through Classics and Best Collections (A)</v>
      </c>
      <c r="U84" s="132" t="str">
        <f>IF(COUNTIF('Art-B'!$A:$A, $C84), U$1, "")</f>
        <v/>
      </c>
      <c r="V84" s="132" t="str">
        <f>IF(COUNTIF('WH-A'!$A:$A, $C84), V$1, "")</f>
        <v/>
      </c>
      <c r="W84" s="132" t="str">
        <f>IF(COUNTIF('WH-B'!$A:$A, $C84), W$1, "")</f>
        <v/>
      </c>
      <c r="X84" s="132" t="str">
        <f>IF(COUNTIF(LETV!$A:$A, $C84), X$1, "")</f>
        <v/>
      </c>
      <c r="Y84" s="132" t="str">
        <f>IF(COUNTIF('Film&amp;Firm-A'!$A:$A, $C84), Y$1, "")</f>
        <v/>
      </c>
      <c r="Z84" s="132" t="str">
        <f>IF(COUNTIF('Film&amp;Firm-B'!$A:$A, $C84), Z$1, "")</f>
        <v/>
      </c>
      <c r="AA84" s="132" t="str">
        <f>IF(COUNTIF(SHRM!$A:$A, $C84), AA$1, "")</f>
        <v>Strategic HRM</v>
      </c>
      <c r="AB84" s="132" t="str">
        <f>IF(COUNTIF('SCM-A'!$A:$A, $C84), AB$1, "")</f>
        <v/>
      </c>
      <c r="AC84" s="132" t="str">
        <f>IF(COUNTIF('SCM-B'!$A:$A, $C84), AC$1, "")</f>
        <v>Strategic Career Management (B)</v>
      </c>
      <c r="AD84" s="132" t="str">
        <f>IF(COUNTIF(AIS!$A:$A, $C84), AD$1, "")</f>
        <v/>
      </c>
      <c r="AE84" s="132" t="str">
        <f>IF(COUNTIF(EB!$A:$A, $C84), AE$1, "")</f>
        <v/>
      </c>
      <c r="AF84" s="132" t="str">
        <f>IF(COUNTIF('AIAM-A'!$A:$A, $C84), AF$1, "")</f>
        <v/>
      </c>
      <c r="AG84" s="132" t="str">
        <f>IF(COUNTIF('AIAM-B'!$A:$A, $C84), AG$1, "")</f>
        <v/>
      </c>
      <c r="AH84" s="132" t="str">
        <f>IF(COUNTIF('SA-A'!$A:$A, $C84), AH$1, "")</f>
        <v/>
      </c>
      <c r="AI84" s="132" t="str">
        <f>IF(COUNTIF('SA-B'!$A:$A, $C84), AI$1, "")</f>
        <v/>
      </c>
      <c r="AJ84" s="132" t="str">
        <f>IF(COUNTIF(CSM!$A:$A, $C84), AJ$1, "")</f>
        <v/>
      </c>
      <c r="AK84" s="132" t="str">
        <f>IF(COUNTIF(EM!$A:$A, $C84), AK$1, "")</f>
        <v/>
      </c>
      <c r="AL84" s="132" t="str">
        <f>IF(COUNTIF(I4TS!$A:$A, $C84), AL$1, "")</f>
        <v/>
      </c>
    </row>
    <row r="85" spans="1:38" ht="13">
      <c r="A85" s="131">
        <v>84</v>
      </c>
      <c r="B85" s="131" t="s">
        <v>557</v>
      </c>
      <c r="C85" s="134" t="s">
        <v>603</v>
      </c>
      <c r="D85" s="135" t="s">
        <v>604</v>
      </c>
      <c r="E85" s="135" t="s">
        <v>605</v>
      </c>
      <c r="F85" s="131">
        <f t="shared" ca="1" si="0"/>
        <v>5</v>
      </c>
      <c r="G85" s="106" t="str">
        <f ca="1">IFERROR(__xludf.DUMMYFUNCTION("INDEX(FILTER($P85:$AL85, $P85:$AL85 &lt;&gt; """"), 1)"),"Strategic HRM")</f>
        <v>Strategic HRM</v>
      </c>
      <c r="H85" s="106" t="str">
        <f ca="1">IFERROR(__xludf.DUMMYFUNCTION("INDEX(FILTER($P85:$AL85, $P85:$AL85 &lt;&gt; """"), 2)"),"Strategic Career Management (A)")</f>
        <v>Strategic Career Management (A)</v>
      </c>
      <c r="I85" s="106" t="str">
        <f ca="1">IFERROR(__xludf.DUMMYFUNCTION("INDEX(FILTER($P85:$AL85, $P85:$AL85 &lt;&gt; """"), 3)"),"AI Applications in Marketing (A)")</f>
        <v>AI Applications in Marketing (A)</v>
      </c>
      <c r="J85" s="106" t="str">
        <f ca="1">IFERROR(__xludf.DUMMYFUNCTION("IFERROR(INDEX(FILTER($P85:$AL85, $P85:$AL85 &lt;&gt; """"), 4),)"),"")</f>
        <v/>
      </c>
      <c r="K85" s="106" t="str">
        <f ca="1">IFERROR(__xludf.DUMMYFUNCTION("IFERROR(INDEX(FILTER($P85:$AL85, $P85:$AL85 &lt;&gt; """"), 5),)"),"")</f>
        <v/>
      </c>
      <c r="L85" s="107"/>
      <c r="M85" s="107"/>
      <c r="N85" s="107"/>
      <c r="O85" s="107"/>
      <c r="P85" s="132" t="str">
        <f>IF(COUNTIF('Fintech-A'!$A:$A, $C85), P$1, "")</f>
        <v/>
      </c>
      <c r="Q85" s="132" t="str">
        <f>IF(COUNTIF('Fintech-B'!$A:$A, $C85), Q$1, "")</f>
        <v/>
      </c>
      <c r="R85" s="132" t="str">
        <f>IF(COUNTIF('BEDM-A'!$A:$A, $C85), R$1, "")</f>
        <v/>
      </c>
      <c r="S85" s="132" t="str">
        <f>IF(COUNTIF('BEDM-B'!$A:$A, $C85), S$1, "")</f>
        <v/>
      </c>
      <c r="T85" s="132" t="str">
        <f>IF(COUNTIF('Art-A'!$A:$A, $C85), T$1, "")</f>
        <v/>
      </c>
      <c r="U85" s="132" t="str">
        <f>IF(COUNTIF('Art-B'!$A:$A, $C85), U$1, "")</f>
        <v/>
      </c>
      <c r="V85" s="132" t="str">
        <f>IF(COUNTIF('WH-A'!$A:$A, $C85), V$1, "")</f>
        <v/>
      </c>
      <c r="W85" s="132" t="str">
        <f>IF(COUNTIF('WH-B'!$A:$A, $C85), W$1, "")</f>
        <v/>
      </c>
      <c r="X85" s="132" t="str">
        <f>IF(COUNTIF(LETV!$A:$A, $C85), X$1, "")</f>
        <v/>
      </c>
      <c r="Y85" s="132" t="str">
        <f>IF(COUNTIF('Film&amp;Firm-A'!$A:$A, $C85), Y$1, "")</f>
        <v/>
      </c>
      <c r="Z85" s="132" t="str">
        <f>IF(COUNTIF('Film&amp;Firm-B'!$A:$A, $C85), Z$1, "")</f>
        <v/>
      </c>
      <c r="AA85" s="132" t="str">
        <f>IF(COUNTIF(SHRM!$A:$A, $C85), AA$1, "")</f>
        <v>Strategic HRM</v>
      </c>
      <c r="AB85" s="132" t="str">
        <f>IF(COUNTIF('SCM-A'!$A:$A, $C85), AB$1, "")</f>
        <v>Strategic Career Management (A)</v>
      </c>
      <c r="AC85" s="132" t="str">
        <f>IF(COUNTIF('SCM-B'!$A:$A, $C85), AC$1, "")</f>
        <v/>
      </c>
      <c r="AD85" s="132" t="str">
        <f>IF(COUNTIF(AIS!$A:$A, $C85), AD$1, "")</f>
        <v/>
      </c>
      <c r="AE85" s="132" t="str">
        <f>IF(COUNTIF(EB!$A:$A, $C85), AE$1, "")</f>
        <v/>
      </c>
      <c r="AF85" s="132" t="str">
        <f>IF(COUNTIF('AIAM-A'!$A:$A, $C85), AF$1, "")</f>
        <v>AI Applications in Marketing (A)</v>
      </c>
      <c r="AG85" s="132" t="str">
        <f>IF(COUNTIF('AIAM-B'!$A:$A, $C85), AG$1, "")</f>
        <v/>
      </c>
      <c r="AH85" s="132" t="str">
        <f>IF(COUNTIF('SA-A'!$A:$A, $C85), AH$1, "")</f>
        <v/>
      </c>
      <c r="AI85" s="132" t="str">
        <f>IF(COUNTIF('SA-B'!$A:$A, $C85), AI$1, "")</f>
        <v/>
      </c>
      <c r="AJ85" s="132" t="str">
        <f>IF(COUNTIF(CSM!$A:$A, $C85), AJ$1, "")</f>
        <v/>
      </c>
      <c r="AK85" s="132" t="str">
        <f>IF(COUNTIF(EM!$A:$A, $C85), AK$1, "")</f>
        <v/>
      </c>
      <c r="AL85" s="132" t="str">
        <f>IF(COUNTIF(I4TS!$A:$A, $C85), AL$1, "")</f>
        <v/>
      </c>
    </row>
    <row r="86" spans="1:38" ht="13">
      <c r="A86" s="131">
        <v>85</v>
      </c>
      <c r="B86" s="131" t="s">
        <v>557</v>
      </c>
      <c r="C86" s="134" t="s">
        <v>606</v>
      </c>
      <c r="D86" s="135" t="s">
        <v>607</v>
      </c>
      <c r="E86" s="135" t="s">
        <v>608</v>
      </c>
      <c r="F86" s="131">
        <f t="shared" ca="1" si="0"/>
        <v>5</v>
      </c>
      <c r="G86" s="106" t="str">
        <f ca="1">IFERROR(__xludf.DUMMYFUNCTION("INDEX(FILTER($P86:$AL86, $P86:$AL86 &lt;&gt; """"), 1)"),"Fintech (Digital Transformation in Finance) (B)")</f>
        <v>Fintech (Digital Transformation in Finance) (B)</v>
      </c>
      <c r="H86" s="106" t="str">
        <f ca="1">IFERROR(__xludf.DUMMYFUNCTION("INDEX(FILTER($P86:$AL86, $P86:$AL86 &lt;&gt; """"), 2)"),"AI AND  STRATEGY")</f>
        <v>AI AND  STRATEGY</v>
      </c>
      <c r="I86" s="106" t="str">
        <f ca="1">IFERROR(__xludf.DUMMYFUNCTION("INDEX(FILTER($P86:$AL86, $P86:$AL86 &lt;&gt; """"), 3)"),"SPORTS ANALYTICS (A)")</f>
        <v>SPORTS ANALYTICS (A)</v>
      </c>
      <c r="J86" s="106" t="str">
        <f ca="1">IFERROR(__xludf.DUMMYFUNCTION("IFERROR(INDEX(FILTER($P86:$AL86, $P86:$AL86 &lt;&gt; """"), 4),)"),"Customer Success Management")</f>
        <v>Customer Success Management</v>
      </c>
      <c r="K86" s="106" t="str">
        <f ca="1">IFERROR(__xludf.DUMMYFUNCTION("IFERROR(INDEX(FILTER($P86:$AL86, $P86:$AL86 &lt;&gt; """"), 5),)"),"Industry 4.0 in Transport Sector")</f>
        <v>Industry 4.0 in Transport Sector</v>
      </c>
      <c r="L86" s="107"/>
      <c r="M86" s="107"/>
      <c r="N86" s="107"/>
      <c r="O86" s="107"/>
      <c r="P86" s="132" t="str">
        <f>IF(COUNTIF('Fintech-A'!$A:$A, $C86), P$1, "")</f>
        <v/>
      </c>
      <c r="Q86" s="132" t="str">
        <f>IF(COUNTIF('Fintech-B'!$A:$A, $C86), Q$1, "")</f>
        <v>Fintech (Digital Transformation in Finance) (B)</v>
      </c>
      <c r="R86" s="132" t="str">
        <f>IF(COUNTIF('BEDM-A'!$A:$A, $C86), R$1, "")</f>
        <v/>
      </c>
      <c r="S86" s="132" t="str">
        <f>IF(COUNTIF('BEDM-B'!$A:$A, $C86), S$1, "")</f>
        <v/>
      </c>
      <c r="T86" s="132" t="str">
        <f>IF(COUNTIF('Art-A'!$A:$A, $C86), T$1, "")</f>
        <v/>
      </c>
      <c r="U86" s="132" t="str">
        <f>IF(COUNTIF('Art-B'!$A:$A, $C86), U$1, "")</f>
        <v/>
      </c>
      <c r="V86" s="132" t="str">
        <f>IF(COUNTIF('WH-A'!$A:$A, $C86), V$1, "")</f>
        <v/>
      </c>
      <c r="W86" s="132" t="str">
        <f>IF(COUNTIF('WH-B'!$A:$A, $C86), W$1, "")</f>
        <v/>
      </c>
      <c r="X86" s="132" t="str">
        <f>IF(COUNTIF(LETV!$A:$A, $C86), X$1, "")</f>
        <v/>
      </c>
      <c r="Y86" s="132" t="str">
        <f>IF(COUNTIF('Film&amp;Firm-A'!$A:$A, $C86), Y$1, "")</f>
        <v/>
      </c>
      <c r="Z86" s="132" t="str">
        <f>IF(COUNTIF('Film&amp;Firm-B'!$A:$A, $C86), Z$1, "")</f>
        <v/>
      </c>
      <c r="AA86" s="132" t="str">
        <f>IF(COUNTIF(SHRM!$A:$A, $C86), AA$1, "")</f>
        <v/>
      </c>
      <c r="AB86" s="132" t="str">
        <f>IF(COUNTIF('SCM-A'!$A:$A, $C86), AB$1, "")</f>
        <v/>
      </c>
      <c r="AC86" s="132" t="str">
        <f>IF(COUNTIF('SCM-B'!$A:$A, $C86), AC$1, "")</f>
        <v/>
      </c>
      <c r="AD86" s="132" t="str">
        <f>IF(COUNTIF(AIS!$A:$A, $C86), AD$1, "")</f>
        <v>AI AND  STRATEGY</v>
      </c>
      <c r="AE86" s="132" t="str">
        <f>IF(COUNTIF(EB!$A:$A, $C86), AE$1, "")</f>
        <v/>
      </c>
      <c r="AF86" s="132" t="str">
        <f>IF(COUNTIF('AIAM-A'!$A:$A, $C86), AF$1, "")</f>
        <v/>
      </c>
      <c r="AG86" s="132" t="str">
        <f>IF(COUNTIF('AIAM-B'!$A:$A, $C86), AG$1, "")</f>
        <v/>
      </c>
      <c r="AH86" s="132" t="str">
        <f>IF(COUNTIF('SA-A'!$A:$A, $C86), AH$1, "")</f>
        <v>SPORTS ANALYTICS (A)</v>
      </c>
      <c r="AI86" s="132" t="str">
        <f>IF(COUNTIF('SA-B'!$A:$A, $C86), AI$1, "")</f>
        <v/>
      </c>
      <c r="AJ86" s="132" t="str">
        <f>IF(COUNTIF(CSM!$A:$A, $C86), AJ$1, "")</f>
        <v>Customer Success Management</v>
      </c>
      <c r="AK86" s="132" t="str">
        <f>IF(COUNTIF(EM!$A:$A, $C86), AK$1, "")</f>
        <v/>
      </c>
      <c r="AL86" s="132" t="str">
        <f>IF(COUNTIF(I4TS!$A:$A, $C86), AL$1, "")</f>
        <v>Industry 4.0 in Transport Sector</v>
      </c>
    </row>
    <row r="87" spans="1:38" ht="13">
      <c r="A87" s="131">
        <v>86</v>
      </c>
      <c r="B87" s="131" t="s">
        <v>557</v>
      </c>
      <c r="C87" s="134" t="s">
        <v>258</v>
      </c>
      <c r="D87" s="135" t="s">
        <v>609</v>
      </c>
      <c r="E87" s="135" t="s">
        <v>610</v>
      </c>
      <c r="F87" s="131">
        <f t="shared" ca="1" si="0"/>
        <v>5</v>
      </c>
      <c r="G87" s="106" t="str">
        <f ca="1">IFERROR(__xludf.DUMMYFUNCTION("INDEX(FILTER($P87:$AL87, $P87:$AL87 &lt;&gt; """"), 1)"),"Fintech (Digital Transformation in Finance) (B)")</f>
        <v>Fintech (Digital Transformation in Finance) (B)</v>
      </c>
      <c r="H87" s="106" t="str">
        <f ca="1">IFERROR(__xludf.DUMMYFUNCTION("INDEX(FILTER($P87:$AL87, $P87:$AL87 &lt;&gt; """"), 2)"),"Workplace Happiness: Science &amp; Practice (A)")</f>
        <v>Workplace Happiness: Science &amp; Practice (A)</v>
      </c>
      <c r="I87" s="106" t="str">
        <f ca="1">IFERROR(__xludf.DUMMYFUNCTION("INDEX(FILTER($P87:$AL87, $P87:$AL87 &lt;&gt; """"), 3)"),"AI Applications in Marketing (A)")</f>
        <v>AI Applications in Marketing (A)</v>
      </c>
      <c r="J87" s="106" t="str">
        <f ca="1">IFERROR(__xludf.DUMMYFUNCTION("IFERROR(INDEX(FILTER($P87:$AL87, $P87:$AL87 &lt;&gt; """"), 4),)"),"")</f>
        <v/>
      </c>
      <c r="K87" s="106" t="str">
        <f ca="1">IFERROR(__xludf.DUMMYFUNCTION("IFERROR(INDEX(FILTER($P87:$AL87, $P87:$AL87 &lt;&gt; """"), 5),)"),"")</f>
        <v/>
      </c>
      <c r="L87" s="107"/>
      <c r="M87" s="107"/>
      <c r="N87" s="107"/>
      <c r="O87" s="107"/>
      <c r="P87" s="132" t="str">
        <f>IF(COUNTIF('Fintech-A'!$A:$A, $C87), P$1, "")</f>
        <v/>
      </c>
      <c r="Q87" s="132" t="str">
        <f>IF(COUNTIF('Fintech-B'!$A:$A, $C87), Q$1, "")</f>
        <v>Fintech (Digital Transformation in Finance) (B)</v>
      </c>
      <c r="R87" s="132" t="str">
        <f>IF(COUNTIF('BEDM-A'!$A:$A, $C87), R$1, "")</f>
        <v/>
      </c>
      <c r="S87" s="132" t="str">
        <f>IF(COUNTIF('BEDM-B'!$A:$A, $C87), S$1, "")</f>
        <v/>
      </c>
      <c r="T87" s="132" t="str">
        <f>IF(COUNTIF('Art-A'!$A:$A, $C87), T$1, "")</f>
        <v/>
      </c>
      <c r="U87" s="132" t="str">
        <f>IF(COUNTIF('Art-B'!$A:$A, $C87), U$1, "")</f>
        <v/>
      </c>
      <c r="V87" s="132" t="str">
        <f>IF(COUNTIF('WH-A'!$A:$A, $C87), V$1, "")</f>
        <v>Workplace Happiness: Science &amp; Practice (A)</v>
      </c>
      <c r="W87" s="132" t="str">
        <f>IF(COUNTIF('WH-B'!$A:$A, $C87), W$1, "")</f>
        <v/>
      </c>
      <c r="X87" s="132" t="str">
        <f>IF(COUNTIF(LETV!$A:$A, $C87), X$1, "")</f>
        <v/>
      </c>
      <c r="Y87" s="132" t="str">
        <f>IF(COUNTIF('Film&amp;Firm-A'!$A:$A, $C87), Y$1, "")</f>
        <v/>
      </c>
      <c r="Z87" s="132" t="str">
        <f>IF(COUNTIF('Film&amp;Firm-B'!$A:$A, $C87), Z$1, "")</f>
        <v/>
      </c>
      <c r="AA87" s="132" t="str">
        <f>IF(COUNTIF(SHRM!$A:$A, $C87), AA$1, "")</f>
        <v/>
      </c>
      <c r="AB87" s="132" t="str">
        <f>IF(COUNTIF('SCM-A'!$A:$A, $C87), AB$1, "")</f>
        <v/>
      </c>
      <c r="AC87" s="132" t="str">
        <f>IF(COUNTIF('SCM-B'!$A:$A, $C87), AC$1, "")</f>
        <v/>
      </c>
      <c r="AD87" s="132" t="str">
        <f>IF(COUNTIF(AIS!$A:$A, $C87), AD$1, "")</f>
        <v/>
      </c>
      <c r="AE87" s="132" t="str">
        <f>IF(COUNTIF(EB!$A:$A, $C87), AE$1, "")</f>
        <v/>
      </c>
      <c r="AF87" s="132" t="str">
        <f>IF(COUNTIF('AIAM-A'!$A:$A, $C87), AF$1, "")</f>
        <v>AI Applications in Marketing (A)</v>
      </c>
      <c r="AG87" s="132" t="str">
        <f>IF(COUNTIF('AIAM-B'!$A:$A, $C87), AG$1, "")</f>
        <v/>
      </c>
      <c r="AH87" s="132" t="str">
        <f>IF(COUNTIF('SA-A'!$A:$A, $C87), AH$1, "")</f>
        <v/>
      </c>
      <c r="AI87" s="132" t="str">
        <f>IF(COUNTIF('SA-B'!$A:$A, $C87), AI$1, "")</f>
        <v/>
      </c>
      <c r="AJ87" s="132" t="str">
        <f>IF(COUNTIF(CSM!$A:$A, $C87), AJ$1, "")</f>
        <v/>
      </c>
      <c r="AK87" s="132" t="str">
        <f>IF(COUNTIF(EM!$A:$A, $C87), AK$1, "")</f>
        <v/>
      </c>
      <c r="AL87" s="132" t="str">
        <f>IF(COUNTIF(I4TS!$A:$A, $C87), AL$1, "")</f>
        <v/>
      </c>
    </row>
    <row r="88" spans="1:38" ht="13">
      <c r="A88" s="131">
        <v>87</v>
      </c>
      <c r="B88" s="131" t="s">
        <v>557</v>
      </c>
      <c r="C88" s="134" t="s">
        <v>259</v>
      </c>
      <c r="D88" s="135" t="s">
        <v>611</v>
      </c>
      <c r="E88" s="135" t="s">
        <v>612</v>
      </c>
      <c r="F88" s="131">
        <f t="shared" ca="1" si="0"/>
        <v>5</v>
      </c>
      <c r="G88" s="106" t="str">
        <f ca="1">IFERROR(__xludf.DUMMYFUNCTION("INDEX(FILTER($P88:$AL88, $P88:$AL88 &lt;&gt; """"), 1)"),"Workplace Happiness: Science &amp; Practice (A)")</f>
        <v>Workplace Happiness: Science &amp; Practice (A)</v>
      </c>
      <c r="H88" s="106" t="str">
        <f ca="1">IFERROR(__xludf.DUMMYFUNCTION("INDEX(FILTER($P88:$AL88, $P88:$AL88 &lt;&gt; """"), 2)"),"Film &amp; the Firm: Visual Culture in Business Contexts (B)")</f>
        <v>Film &amp; the Firm: Visual Culture in Business Contexts (B)</v>
      </c>
      <c r="I88" s="106" t="str">
        <f ca="1">IFERROR(__xludf.DUMMYFUNCTION("INDEX(FILTER($P88:$AL88, $P88:$AL88 &lt;&gt; """"), 3)"),"Strategic Career Management (A)")</f>
        <v>Strategic Career Management (A)</v>
      </c>
      <c r="J88" s="106" t="str">
        <f ca="1">IFERROR(__xludf.DUMMYFUNCTION("IFERROR(INDEX(FILTER($P88:$AL88, $P88:$AL88 &lt;&gt; """"), 4),)"),"")</f>
        <v/>
      </c>
      <c r="K88" s="106" t="str">
        <f ca="1">IFERROR(__xludf.DUMMYFUNCTION("IFERROR(INDEX(FILTER($P88:$AL88, $P88:$AL88 &lt;&gt; """"), 5),)"),"")</f>
        <v/>
      </c>
      <c r="L88" s="107"/>
      <c r="M88" s="107"/>
      <c r="N88" s="107"/>
      <c r="O88" s="107"/>
      <c r="P88" s="132" t="str">
        <f>IF(COUNTIF('Fintech-A'!$A:$A, $C88), P$1, "")</f>
        <v/>
      </c>
      <c r="Q88" s="132" t="str">
        <f>IF(COUNTIF('Fintech-B'!$A:$A, $C88), Q$1, "")</f>
        <v/>
      </c>
      <c r="R88" s="132" t="str">
        <f>IF(COUNTIF('BEDM-A'!$A:$A, $C88), R$1, "")</f>
        <v/>
      </c>
      <c r="S88" s="132" t="str">
        <f>IF(COUNTIF('BEDM-B'!$A:$A, $C88), S$1, "")</f>
        <v/>
      </c>
      <c r="T88" s="132" t="str">
        <f>IF(COUNTIF('Art-A'!$A:$A, $C88), T$1, "")</f>
        <v/>
      </c>
      <c r="U88" s="132" t="str">
        <f>IF(COUNTIF('Art-B'!$A:$A, $C88), U$1, "")</f>
        <v/>
      </c>
      <c r="V88" s="132" t="str">
        <f>IF(COUNTIF('WH-A'!$A:$A, $C88), V$1, "")</f>
        <v>Workplace Happiness: Science &amp; Practice (A)</v>
      </c>
      <c r="W88" s="132" t="str">
        <f>IF(COUNTIF('WH-B'!$A:$A, $C88), W$1, "")</f>
        <v/>
      </c>
      <c r="X88" s="132" t="str">
        <f>IF(COUNTIF(LETV!$A:$A, $C88), X$1, "")</f>
        <v/>
      </c>
      <c r="Y88" s="132" t="str">
        <f>IF(COUNTIF('Film&amp;Firm-A'!$A:$A, $C88), Y$1, "")</f>
        <v/>
      </c>
      <c r="Z88" s="132" t="str">
        <f>IF(COUNTIF('Film&amp;Firm-B'!$A:$A, $C88), Z$1, "")</f>
        <v>Film &amp; the Firm: Visual Culture in Business Contexts (B)</v>
      </c>
      <c r="AA88" s="132" t="str">
        <f>IF(COUNTIF(SHRM!$A:$A, $C88), AA$1, "")</f>
        <v/>
      </c>
      <c r="AB88" s="132" t="str">
        <f>IF(COUNTIF('SCM-A'!$A:$A, $C88), AB$1, "")</f>
        <v>Strategic Career Management (A)</v>
      </c>
      <c r="AC88" s="132" t="str">
        <f>IF(COUNTIF('SCM-B'!$A:$A, $C88), AC$1, "")</f>
        <v/>
      </c>
      <c r="AD88" s="132" t="str">
        <f>IF(COUNTIF(AIS!$A:$A, $C88), AD$1, "")</f>
        <v/>
      </c>
      <c r="AE88" s="132" t="str">
        <f>IF(COUNTIF(EB!$A:$A, $C88), AE$1, "")</f>
        <v/>
      </c>
      <c r="AF88" s="132" t="str">
        <f>IF(COUNTIF('AIAM-A'!$A:$A, $C88), AF$1, "")</f>
        <v/>
      </c>
      <c r="AG88" s="132" t="str">
        <f>IF(COUNTIF('AIAM-B'!$A:$A, $C88), AG$1, "")</f>
        <v/>
      </c>
      <c r="AH88" s="132" t="str">
        <f>IF(COUNTIF('SA-A'!$A:$A, $C88), AH$1, "")</f>
        <v/>
      </c>
      <c r="AI88" s="132" t="str">
        <f>IF(COUNTIF('SA-B'!$A:$A, $C88), AI$1, "")</f>
        <v/>
      </c>
      <c r="AJ88" s="132" t="str">
        <f>IF(COUNTIF(CSM!$A:$A, $C88), AJ$1, "")</f>
        <v/>
      </c>
      <c r="AK88" s="132" t="str">
        <f>IF(COUNTIF(EM!$A:$A, $C88), AK$1, "")</f>
        <v/>
      </c>
      <c r="AL88" s="132" t="str">
        <f>IF(COUNTIF(I4TS!$A:$A, $C88), AL$1, "")</f>
        <v/>
      </c>
    </row>
    <row r="89" spans="1:38" ht="13">
      <c r="A89" s="131">
        <v>88</v>
      </c>
      <c r="B89" s="131" t="s">
        <v>557</v>
      </c>
      <c r="C89" s="134" t="s">
        <v>613</v>
      </c>
      <c r="D89" s="135" t="s">
        <v>614</v>
      </c>
      <c r="E89" s="135" t="s">
        <v>615</v>
      </c>
      <c r="F89" s="131">
        <f t="shared" ca="1" si="0"/>
        <v>5</v>
      </c>
      <c r="G89" s="106" t="str">
        <f ca="1">IFERROR(__xludf.DUMMYFUNCTION("INDEX(FILTER($P89:$AL89, $P89:$AL89 &lt;&gt; """"), 1)"),"Fintech (Digital Transformation in Finance) (B)")</f>
        <v>Fintech (Digital Transformation in Finance) (B)</v>
      </c>
      <c r="H89" s="106" t="str">
        <f ca="1">IFERROR(__xludf.DUMMYFUNCTION("INDEX(FILTER($P89:$AL89, $P89:$AL89 &lt;&gt; """"), 2)"),"Strategic HRM")</f>
        <v>Strategic HRM</v>
      </c>
      <c r="I89" s="106" t="str">
        <f ca="1">IFERROR(__xludf.DUMMYFUNCTION("INDEX(FILTER($P89:$AL89, $P89:$AL89 &lt;&gt; """"), 3)"),"Strategic Career Management (B)")</f>
        <v>Strategic Career Management (B)</v>
      </c>
      <c r="J89" s="106" t="str">
        <f ca="1">IFERROR(__xludf.DUMMYFUNCTION("IFERROR(INDEX(FILTER($P89:$AL89, $P89:$AL89 &lt;&gt; """"), 4),)"),"")</f>
        <v/>
      </c>
      <c r="K89" s="106" t="str">
        <f ca="1">IFERROR(__xludf.DUMMYFUNCTION("IFERROR(INDEX(FILTER($P89:$AL89, $P89:$AL89 &lt;&gt; """"), 5),)"),"")</f>
        <v/>
      </c>
      <c r="L89" s="107"/>
      <c r="M89" s="107"/>
      <c r="N89" s="107"/>
      <c r="O89" s="107"/>
      <c r="P89" s="132" t="str">
        <f>IF(COUNTIF('Fintech-A'!$A:$A, $C89), P$1, "")</f>
        <v/>
      </c>
      <c r="Q89" s="132" t="str">
        <f>IF(COUNTIF('Fintech-B'!$A:$A, $C89), Q$1, "")</f>
        <v>Fintech (Digital Transformation in Finance) (B)</v>
      </c>
      <c r="R89" s="132" t="str">
        <f>IF(COUNTIF('BEDM-A'!$A:$A, $C89), R$1, "")</f>
        <v/>
      </c>
      <c r="S89" s="132" t="str">
        <f>IF(COUNTIF('BEDM-B'!$A:$A, $C89), S$1, "")</f>
        <v/>
      </c>
      <c r="T89" s="132" t="str">
        <f>IF(COUNTIF('Art-A'!$A:$A, $C89), T$1, "")</f>
        <v/>
      </c>
      <c r="U89" s="132" t="str">
        <f>IF(COUNTIF('Art-B'!$A:$A, $C89), U$1, "")</f>
        <v/>
      </c>
      <c r="V89" s="132" t="str">
        <f>IF(COUNTIF('WH-A'!$A:$A, $C89), V$1, "")</f>
        <v/>
      </c>
      <c r="W89" s="132" t="str">
        <f>IF(COUNTIF('WH-B'!$A:$A, $C89), W$1, "")</f>
        <v/>
      </c>
      <c r="X89" s="132" t="str">
        <f>IF(COUNTIF(LETV!$A:$A, $C89), X$1, "")</f>
        <v/>
      </c>
      <c r="Y89" s="132" t="str">
        <f>IF(COUNTIF('Film&amp;Firm-A'!$A:$A, $C89), Y$1, "")</f>
        <v/>
      </c>
      <c r="Z89" s="132" t="str">
        <f>IF(COUNTIF('Film&amp;Firm-B'!$A:$A, $C89), Z$1, "")</f>
        <v/>
      </c>
      <c r="AA89" s="132" t="str">
        <f>IF(COUNTIF(SHRM!$A:$A, $C89), AA$1, "")</f>
        <v>Strategic HRM</v>
      </c>
      <c r="AB89" s="132" t="str">
        <f>IF(COUNTIF('SCM-A'!$A:$A, $C89), AB$1, "")</f>
        <v/>
      </c>
      <c r="AC89" s="132" t="str">
        <f>IF(COUNTIF('SCM-B'!$A:$A, $C89), AC$1, "")</f>
        <v>Strategic Career Management (B)</v>
      </c>
      <c r="AD89" s="132" t="str">
        <f>IF(COUNTIF(AIS!$A:$A, $C89), AD$1, "")</f>
        <v/>
      </c>
      <c r="AE89" s="132" t="str">
        <f>IF(COUNTIF(EB!$A:$A, $C89), AE$1, "")</f>
        <v/>
      </c>
      <c r="AF89" s="132" t="str">
        <f>IF(COUNTIF('AIAM-A'!$A:$A, $C89), AF$1, "")</f>
        <v/>
      </c>
      <c r="AG89" s="132" t="str">
        <f>IF(COUNTIF('AIAM-B'!$A:$A, $C89), AG$1, "")</f>
        <v/>
      </c>
      <c r="AH89" s="132" t="str">
        <f>IF(COUNTIF('SA-A'!$A:$A, $C89), AH$1, "")</f>
        <v/>
      </c>
      <c r="AI89" s="132" t="str">
        <f>IF(COUNTIF('SA-B'!$A:$A, $C89), AI$1, "")</f>
        <v/>
      </c>
      <c r="AJ89" s="132" t="str">
        <f>IF(COUNTIF(CSM!$A:$A, $C89), AJ$1, "")</f>
        <v/>
      </c>
      <c r="AK89" s="132" t="str">
        <f>IF(COUNTIF(EM!$A:$A, $C89), AK$1, "")</f>
        <v/>
      </c>
      <c r="AL89" s="132" t="str">
        <f>IF(COUNTIF(I4TS!$A:$A, $C89), AL$1, "")</f>
        <v/>
      </c>
    </row>
    <row r="90" spans="1:38" ht="13">
      <c r="A90" s="131">
        <v>89</v>
      </c>
      <c r="B90" s="131" t="s">
        <v>557</v>
      </c>
      <c r="C90" s="134" t="s">
        <v>616</v>
      </c>
      <c r="D90" s="135" t="s">
        <v>617</v>
      </c>
      <c r="E90" s="135" t="s">
        <v>618</v>
      </c>
      <c r="F90" s="131">
        <f t="shared" ca="1" si="0"/>
        <v>5</v>
      </c>
      <c r="G90" s="106" t="str">
        <f ca="1">IFERROR(__xludf.DUMMYFUNCTION("INDEX(FILTER($P90:$AL90, $P90:$AL90 &lt;&gt; """"), 1)"),"AI AND  STRATEGY")</f>
        <v>AI AND  STRATEGY</v>
      </c>
      <c r="H90" s="106" t="str">
        <f ca="1">IFERROR(__xludf.DUMMYFUNCTION("INDEX(FILTER($P90:$AL90, $P90:$AL90 &lt;&gt; """"), 2)"),"AI Applications in Marketing (B)")</f>
        <v>AI Applications in Marketing (B)</v>
      </c>
      <c r="I90" s="106" t="str">
        <f ca="1">IFERROR(__xludf.DUMMYFUNCTION("INDEX(FILTER($P90:$AL90, $P90:$AL90 &lt;&gt; """"), 3)"),"Industry 4.0 in Transport Sector")</f>
        <v>Industry 4.0 in Transport Sector</v>
      </c>
      <c r="J90" s="106" t="str">
        <f ca="1">IFERROR(__xludf.DUMMYFUNCTION("IFERROR(INDEX(FILTER($P90:$AL90, $P90:$AL90 &lt;&gt; """"), 4),)"),"")</f>
        <v/>
      </c>
      <c r="K90" s="106" t="str">
        <f ca="1">IFERROR(__xludf.DUMMYFUNCTION("IFERROR(INDEX(FILTER($P90:$AL90, $P90:$AL90 &lt;&gt; """"), 5),)"),"")</f>
        <v/>
      </c>
      <c r="L90" s="107"/>
      <c r="M90" s="107"/>
      <c r="N90" s="107"/>
      <c r="O90" s="107"/>
      <c r="P90" s="132" t="str">
        <f>IF(COUNTIF('Fintech-A'!$A:$A, $C90), P$1, "")</f>
        <v/>
      </c>
      <c r="Q90" s="132" t="str">
        <f>IF(COUNTIF('Fintech-B'!$A:$A, $C90), Q$1, "")</f>
        <v/>
      </c>
      <c r="R90" s="132" t="str">
        <f>IF(COUNTIF('BEDM-A'!$A:$A, $C90), R$1, "")</f>
        <v/>
      </c>
      <c r="S90" s="132" t="str">
        <f>IF(COUNTIF('BEDM-B'!$A:$A, $C90), S$1, "")</f>
        <v/>
      </c>
      <c r="T90" s="132" t="str">
        <f>IF(COUNTIF('Art-A'!$A:$A, $C90), T$1, "")</f>
        <v/>
      </c>
      <c r="U90" s="132" t="str">
        <f>IF(COUNTIF('Art-B'!$A:$A, $C90), U$1, "")</f>
        <v/>
      </c>
      <c r="V90" s="132" t="str">
        <f>IF(COUNTIF('WH-A'!$A:$A, $C90), V$1, "")</f>
        <v/>
      </c>
      <c r="W90" s="132" t="str">
        <f>IF(COUNTIF('WH-B'!$A:$A, $C90), W$1, "")</f>
        <v/>
      </c>
      <c r="X90" s="132" t="str">
        <f>IF(COUNTIF(LETV!$A:$A, $C90), X$1, "")</f>
        <v/>
      </c>
      <c r="Y90" s="132" t="str">
        <f>IF(COUNTIF('Film&amp;Firm-A'!$A:$A, $C90), Y$1, "")</f>
        <v/>
      </c>
      <c r="Z90" s="132" t="str">
        <f>IF(COUNTIF('Film&amp;Firm-B'!$A:$A, $C90), Z$1, "")</f>
        <v/>
      </c>
      <c r="AA90" s="132" t="str">
        <f>IF(COUNTIF(SHRM!$A:$A, $C90), AA$1, "")</f>
        <v/>
      </c>
      <c r="AB90" s="132" t="str">
        <f>IF(COUNTIF('SCM-A'!$A:$A, $C90), AB$1, "")</f>
        <v/>
      </c>
      <c r="AC90" s="132" t="str">
        <f>IF(COUNTIF('SCM-B'!$A:$A, $C90), AC$1, "")</f>
        <v/>
      </c>
      <c r="AD90" s="132" t="str">
        <f>IF(COUNTIF(AIS!$A:$A, $C90), AD$1, "")</f>
        <v>AI AND  STRATEGY</v>
      </c>
      <c r="AE90" s="132" t="str">
        <f>IF(COUNTIF(EB!$A:$A, $C90), AE$1, "")</f>
        <v/>
      </c>
      <c r="AF90" s="132" t="str">
        <f>IF(COUNTIF('AIAM-A'!$A:$A, $C90), AF$1, "")</f>
        <v/>
      </c>
      <c r="AG90" s="132" t="str">
        <f>IF(COUNTIF('AIAM-B'!$A:$A, $C90), AG$1, "")</f>
        <v>AI Applications in Marketing (B)</v>
      </c>
      <c r="AH90" s="132" t="str">
        <f>IF(COUNTIF('SA-A'!$A:$A, $C90), AH$1, "")</f>
        <v/>
      </c>
      <c r="AI90" s="132" t="str">
        <f>IF(COUNTIF('SA-B'!$A:$A, $C90), AI$1, "")</f>
        <v/>
      </c>
      <c r="AJ90" s="132" t="str">
        <f>IF(COUNTIF(CSM!$A:$A, $C90), AJ$1, "")</f>
        <v/>
      </c>
      <c r="AK90" s="132" t="str">
        <f>IF(COUNTIF(EM!$A:$A, $C90), AK$1, "")</f>
        <v/>
      </c>
      <c r="AL90" s="132" t="str">
        <f>IF(COUNTIF(I4TS!$A:$A, $C90), AL$1, "")</f>
        <v>Industry 4.0 in Transport Sector</v>
      </c>
    </row>
    <row r="91" spans="1:38" ht="13">
      <c r="A91" s="131">
        <v>90</v>
      </c>
      <c r="B91" s="131" t="s">
        <v>557</v>
      </c>
      <c r="C91" s="134" t="s">
        <v>260</v>
      </c>
      <c r="D91" s="135" t="s">
        <v>619</v>
      </c>
      <c r="E91" s="135" t="s">
        <v>620</v>
      </c>
      <c r="F91" s="131">
        <f t="shared" ca="1" si="0"/>
        <v>5</v>
      </c>
      <c r="G91" s="106" t="str">
        <f ca="1">IFERROR(__xludf.DUMMYFUNCTION("INDEX(FILTER($P91:$AL91, $P91:$AL91 &lt;&gt; """"), 1)"),"Strategic HRM")</f>
        <v>Strategic HRM</v>
      </c>
      <c r="H91" s="106" t="str">
        <f ca="1">IFERROR(__xludf.DUMMYFUNCTION("INDEX(FILTER($P91:$AL91, $P91:$AL91 &lt;&gt; """"), 2)"),"Employer Branding")</f>
        <v>Employer Branding</v>
      </c>
      <c r="I91" s="106" t="str">
        <f ca="1">IFERROR(__xludf.DUMMYFUNCTION("INDEX(FILTER($P91:$AL91, $P91:$AL91 &lt;&gt; """"), 3)"),"SPORTS ANALYTICS (A)")</f>
        <v>SPORTS ANALYTICS (A)</v>
      </c>
      <c r="J91" s="106" t="str">
        <f ca="1">IFERROR(__xludf.DUMMYFUNCTION("IFERROR(INDEX(FILTER($P91:$AL91, $P91:$AL91 &lt;&gt; """"), 4),)"),"")</f>
        <v/>
      </c>
      <c r="K91" s="106" t="str">
        <f ca="1">IFERROR(__xludf.DUMMYFUNCTION("IFERROR(INDEX(FILTER($P91:$AL91, $P91:$AL91 &lt;&gt; """"), 5),)"),"")</f>
        <v/>
      </c>
      <c r="L91" s="107"/>
      <c r="M91" s="107"/>
      <c r="N91" s="107"/>
      <c r="O91" s="107"/>
      <c r="P91" s="132" t="str">
        <f>IF(COUNTIF('Fintech-A'!$A:$A, $C91), P$1, "")</f>
        <v/>
      </c>
      <c r="Q91" s="132" t="str">
        <f>IF(COUNTIF('Fintech-B'!$A:$A, $C91), Q$1, "")</f>
        <v/>
      </c>
      <c r="R91" s="132" t="str">
        <f>IF(COUNTIF('BEDM-A'!$A:$A, $C91), R$1, "")</f>
        <v/>
      </c>
      <c r="S91" s="132" t="str">
        <f>IF(COUNTIF('BEDM-B'!$A:$A, $C91), S$1, "")</f>
        <v/>
      </c>
      <c r="T91" s="132" t="str">
        <f>IF(COUNTIF('Art-A'!$A:$A, $C91), T$1, "")</f>
        <v/>
      </c>
      <c r="U91" s="132" t="str">
        <f>IF(COUNTIF('Art-B'!$A:$A, $C91), U$1, "")</f>
        <v/>
      </c>
      <c r="V91" s="132" t="str">
        <f>IF(COUNTIF('WH-A'!$A:$A, $C91), V$1, "")</f>
        <v/>
      </c>
      <c r="W91" s="132" t="str">
        <f>IF(COUNTIF('WH-B'!$A:$A, $C91), W$1, "")</f>
        <v/>
      </c>
      <c r="X91" s="132" t="str">
        <f>IF(COUNTIF(LETV!$A:$A, $C91), X$1, "")</f>
        <v/>
      </c>
      <c r="Y91" s="132" t="str">
        <f>IF(COUNTIF('Film&amp;Firm-A'!$A:$A, $C91), Y$1, "")</f>
        <v/>
      </c>
      <c r="Z91" s="132" t="str">
        <f>IF(COUNTIF('Film&amp;Firm-B'!$A:$A, $C91), Z$1, "")</f>
        <v/>
      </c>
      <c r="AA91" s="132" t="str">
        <f>IF(COUNTIF(SHRM!$A:$A, $C91), AA$1, "")</f>
        <v>Strategic HRM</v>
      </c>
      <c r="AB91" s="132" t="str">
        <f>IF(COUNTIF('SCM-A'!$A:$A, $C91), AB$1, "")</f>
        <v/>
      </c>
      <c r="AC91" s="132" t="str">
        <f>IF(COUNTIF('SCM-B'!$A:$A, $C91), AC$1, "")</f>
        <v/>
      </c>
      <c r="AD91" s="132" t="str">
        <f>IF(COUNTIF(AIS!$A:$A, $C91), AD$1, "")</f>
        <v/>
      </c>
      <c r="AE91" s="132" t="str">
        <f>IF(COUNTIF(EB!$A:$A, $C91), AE$1, "")</f>
        <v>Employer Branding</v>
      </c>
      <c r="AF91" s="132" t="str">
        <f>IF(COUNTIF('AIAM-A'!$A:$A, $C91), AF$1, "")</f>
        <v/>
      </c>
      <c r="AG91" s="132" t="str">
        <f>IF(COUNTIF('AIAM-B'!$A:$A, $C91), AG$1, "")</f>
        <v/>
      </c>
      <c r="AH91" s="132" t="str">
        <f>IF(COUNTIF('SA-A'!$A:$A, $C91), AH$1, "")</f>
        <v>SPORTS ANALYTICS (A)</v>
      </c>
      <c r="AI91" s="132" t="str">
        <f>IF(COUNTIF('SA-B'!$A:$A, $C91), AI$1, "")</f>
        <v/>
      </c>
      <c r="AJ91" s="132" t="str">
        <f>IF(COUNTIF(CSM!$A:$A, $C91), AJ$1, "")</f>
        <v/>
      </c>
      <c r="AK91" s="132" t="str">
        <f>IF(COUNTIF(EM!$A:$A, $C91), AK$1, "")</f>
        <v/>
      </c>
      <c r="AL91" s="132" t="str">
        <f>IF(COUNTIF(I4TS!$A:$A, $C91), AL$1, "")</f>
        <v/>
      </c>
    </row>
    <row r="92" spans="1:38" ht="13">
      <c r="A92" s="131">
        <v>91</v>
      </c>
      <c r="B92" s="131" t="s">
        <v>557</v>
      </c>
      <c r="C92" s="134" t="s">
        <v>261</v>
      </c>
      <c r="D92" s="135" t="s">
        <v>621</v>
      </c>
      <c r="E92" s="135" t="s">
        <v>622</v>
      </c>
      <c r="F92" s="131">
        <f t="shared" ca="1" si="0"/>
        <v>5</v>
      </c>
      <c r="G92" s="106" t="str">
        <f ca="1">IFERROR(__xludf.DUMMYFUNCTION("INDEX(FILTER($P92:$AL92, $P92:$AL92 &lt;&gt; """"), 1)"),"Film &amp; the Firm: Visual Culture in Business Contexts (B)")</f>
        <v>Film &amp; the Firm: Visual Culture in Business Contexts (B)</v>
      </c>
      <c r="H92" s="106" t="str">
        <f ca="1">IFERROR(__xludf.DUMMYFUNCTION("INDEX(FILTER($P92:$AL92, $P92:$AL92 &lt;&gt; """"), 2)"),"AI Applications in Marketing (A)")</f>
        <v>AI Applications in Marketing (A)</v>
      </c>
      <c r="I92" s="106" t="str">
        <f ca="1">IFERROR(__xludf.DUMMYFUNCTION("INDEX(FILTER($P92:$AL92, $P92:$AL92 &lt;&gt; """"), 3)"),"SPORTS ANALYTICS (B)")</f>
        <v>SPORTS ANALYTICS (B)</v>
      </c>
      <c r="J92" s="106" t="str">
        <f ca="1">IFERROR(__xludf.DUMMYFUNCTION("IFERROR(INDEX(FILTER($P92:$AL92, $P92:$AL92 &lt;&gt; """"), 4),)"),"")</f>
        <v/>
      </c>
      <c r="K92" s="106" t="str">
        <f ca="1">IFERROR(__xludf.DUMMYFUNCTION("IFERROR(INDEX(FILTER($P92:$AL92, $P92:$AL92 &lt;&gt; """"), 5),)"),"")</f>
        <v/>
      </c>
      <c r="L92" s="107"/>
      <c r="M92" s="107"/>
      <c r="N92" s="107"/>
      <c r="O92" s="107"/>
      <c r="P92" s="132" t="str">
        <f>IF(COUNTIF('Fintech-A'!$A:$A, $C92), P$1, "")</f>
        <v/>
      </c>
      <c r="Q92" s="132" t="str">
        <f>IF(COUNTIF('Fintech-B'!$A:$A, $C92), Q$1, "")</f>
        <v/>
      </c>
      <c r="R92" s="132" t="str">
        <f>IF(COUNTIF('BEDM-A'!$A:$A, $C92), R$1, "")</f>
        <v/>
      </c>
      <c r="S92" s="132" t="str">
        <f>IF(COUNTIF('BEDM-B'!$A:$A, $C92), S$1, "")</f>
        <v/>
      </c>
      <c r="T92" s="132" t="str">
        <f>IF(COUNTIF('Art-A'!$A:$A, $C92), T$1, "")</f>
        <v/>
      </c>
      <c r="U92" s="132" t="str">
        <f>IF(COUNTIF('Art-B'!$A:$A, $C92), U$1, "")</f>
        <v/>
      </c>
      <c r="V92" s="132" t="str">
        <f>IF(COUNTIF('WH-A'!$A:$A, $C92), V$1, "")</f>
        <v/>
      </c>
      <c r="W92" s="132" t="str">
        <f>IF(COUNTIF('WH-B'!$A:$A, $C92), W$1, "")</f>
        <v/>
      </c>
      <c r="X92" s="132" t="str">
        <f>IF(COUNTIF(LETV!$A:$A, $C92), X$1, "")</f>
        <v/>
      </c>
      <c r="Y92" s="132" t="str">
        <f>IF(COUNTIF('Film&amp;Firm-A'!$A:$A, $C92), Y$1, "")</f>
        <v/>
      </c>
      <c r="Z92" s="132" t="str">
        <f>IF(COUNTIF('Film&amp;Firm-B'!$A:$A, $C92), Z$1, "")</f>
        <v>Film &amp; the Firm: Visual Culture in Business Contexts (B)</v>
      </c>
      <c r="AA92" s="132" t="str">
        <f>IF(COUNTIF(SHRM!$A:$A, $C92), AA$1, "")</f>
        <v/>
      </c>
      <c r="AB92" s="132" t="str">
        <f>IF(COUNTIF('SCM-A'!$A:$A, $C92), AB$1, "")</f>
        <v/>
      </c>
      <c r="AC92" s="132" t="str">
        <f>IF(COUNTIF('SCM-B'!$A:$A, $C92), AC$1, "")</f>
        <v/>
      </c>
      <c r="AD92" s="132" t="str">
        <f>IF(COUNTIF(AIS!$A:$A, $C92), AD$1, "")</f>
        <v/>
      </c>
      <c r="AE92" s="132" t="str">
        <f>IF(COUNTIF(EB!$A:$A, $C92), AE$1, "")</f>
        <v/>
      </c>
      <c r="AF92" s="132" t="str">
        <f>IF(COUNTIF('AIAM-A'!$A:$A, $C92), AF$1, "")</f>
        <v>AI Applications in Marketing (A)</v>
      </c>
      <c r="AG92" s="132" t="str">
        <f>IF(COUNTIF('AIAM-B'!$A:$A, $C92), AG$1, "")</f>
        <v/>
      </c>
      <c r="AH92" s="132" t="str">
        <f>IF(COUNTIF('SA-A'!$A:$A, $C92), AH$1, "")</f>
        <v/>
      </c>
      <c r="AI92" s="132" t="str">
        <f>IF(COUNTIF('SA-B'!$A:$A, $C92), AI$1, "")</f>
        <v>SPORTS ANALYTICS (B)</v>
      </c>
      <c r="AJ92" s="132" t="str">
        <f>IF(COUNTIF(CSM!$A:$A, $C92), AJ$1, "")</f>
        <v/>
      </c>
      <c r="AK92" s="132" t="str">
        <f>IF(COUNTIF(EM!$A:$A, $C92), AK$1, "")</f>
        <v/>
      </c>
      <c r="AL92" s="132" t="str">
        <f>IF(COUNTIF(I4TS!$A:$A, $C92), AL$1, "")</f>
        <v/>
      </c>
    </row>
    <row r="93" spans="1:38" ht="13">
      <c r="A93" s="131">
        <v>92</v>
      </c>
      <c r="B93" s="131" t="s">
        <v>557</v>
      </c>
      <c r="C93" s="134" t="s">
        <v>623</v>
      </c>
      <c r="D93" s="135" t="s">
        <v>624</v>
      </c>
      <c r="E93" s="135" t="s">
        <v>625</v>
      </c>
      <c r="F93" s="131">
        <f t="shared" ca="1" si="0"/>
        <v>5</v>
      </c>
      <c r="G93" s="106" t="str">
        <f ca="1">IFERROR(__xludf.DUMMYFUNCTION("INDEX(FILTER($P93:$AL93, $P93:$AL93 &lt;&gt; """"), 1)"),"Fintech (Digital Transformation in Finance) (B)")</f>
        <v>Fintech (Digital Transformation in Finance) (B)</v>
      </c>
      <c r="H93" s="106" t="str">
        <f ca="1">IFERROR(__xludf.DUMMYFUNCTION("INDEX(FILTER($P93:$AL93, $P93:$AL93 &lt;&gt; """"), 2)"),"Strategic Career Management (A)")</f>
        <v>Strategic Career Management (A)</v>
      </c>
      <c r="I93" s="106" t="str">
        <f ca="1">IFERROR(__xludf.DUMMYFUNCTION("INDEX(FILTER($P93:$AL93, $P93:$AL93 &lt;&gt; """"), 3)"),"AI Applications in Marketing (B)")</f>
        <v>AI Applications in Marketing (B)</v>
      </c>
      <c r="J93" s="106" t="str">
        <f ca="1">IFERROR(__xludf.DUMMYFUNCTION("IFERROR(INDEX(FILTER($P93:$AL93, $P93:$AL93 &lt;&gt; """"), 4),)"),"SPORTS ANALYTICS (B)")</f>
        <v>SPORTS ANALYTICS (B)</v>
      </c>
      <c r="K93" s="106" t="str">
        <f ca="1">IFERROR(__xludf.DUMMYFUNCTION("IFERROR(INDEX(FILTER($P93:$AL93, $P93:$AL93 &lt;&gt; """"), 5),)"),"Entrepreneurial Marketing")</f>
        <v>Entrepreneurial Marketing</v>
      </c>
      <c r="L93" s="107"/>
      <c r="M93" s="107"/>
      <c r="N93" s="107"/>
      <c r="O93" s="107"/>
      <c r="P93" s="132" t="str">
        <f>IF(COUNTIF('Fintech-A'!$A:$A, $C93), P$1, "")</f>
        <v/>
      </c>
      <c r="Q93" s="132" t="str">
        <f>IF(COUNTIF('Fintech-B'!$A:$A, $C93), Q$1, "")</f>
        <v>Fintech (Digital Transformation in Finance) (B)</v>
      </c>
      <c r="R93" s="132" t="str">
        <f>IF(COUNTIF('BEDM-A'!$A:$A, $C93), R$1, "")</f>
        <v/>
      </c>
      <c r="S93" s="132" t="str">
        <f>IF(COUNTIF('BEDM-B'!$A:$A, $C93), S$1, "")</f>
        <v/>
      </c>
      <c r="T93" s="132" t="str">
        <f>IF(COUNTIF('Art-A'!$A:$A, $C93), T$1, "")</f>
        <v/>
      </c>
      <c r="U93" s="132" t="str">
        <f>IF(COUNTIF('Art-B'!$A:$A, $C93), U$1, "")</f>
        <v/>
      </c>
      <c r="V93" s="132" t="str">
        <f>IF(COUNTIF('WH-A'!$A:$A, $C93), V$1, "")</f>
        <v/>
      </c>
      <c r="W93" s="132" t="str">
        <f>IF(COUNTIF('WH-B'!$A:$A, $C93), W$1, "")</f>
        <v/>
      </c>
      <c r="X93" s="132" t="str">
        <f>IF(COUNTIF(LETV!$A:$A, $C93), X$1, "")</f>
        <v/>
      </c>
      <c r="Y93" s="132" t="str">
        <f>IF(COUNTIF('Film&amp;Firm-A'!$A:$A, $C93), Y$1, "")</f>
        <v/>
      </c>
      <c r="Z93" s="132" t="str">
        <f>IF(COUNTIF('Film&amp;Firm-B'!$A:$A, $C93), Z$1, "")</f>
        <v/>
      </c>
      <c r="AA93" s="132" t="str">
        <f>IF(COUNTIF(SHRM!$A:$A, $C93), AA$1, "")</f>
        <v/>
      </c>
      <c r="AB93" s="132" t="str">
        <f>IF(COUNTIF('SCM-A'!$A:$A, $C93), AB$1, "")</f>
        <v>Strategic Career Management (A)</v>
      </c>
      <c r="AC93" s="132" t="str">
        <f>IF(COUNTIF('SCM-B'!$A:$A, $C93), AC$1, "")</f>
        <v/>
      </c>
      <c r="AD93" s="132" t="str">
        <f>IF(COUNTIF(AIS!$A:$A, $C93), AD$1, "")</f>
        <v/>
      </c>
      <c r="AE93" s="132" t="str">
        <f>IF(COUNTIF(EB!$A:$A, $C93), AE$1, "")</f>
        <v/>
      </c>
      <c r="AF93" s="132" t="str">
        <f>IF(COUNTIF('AIAM-A'!$A:$A, $C93), AF$1, "")</f>
        <v/>
      </c>
      <c r="AG93" s="132" t="str">
        <f>IF(COUNTIF('AIAM-B'!$A:$A, $C93), AG$1, "")</f>
        <v>AI Applications in Marketing (B)</v>
      </c>
      <c r="AH93" s="132" t="str">
        <f>IF(COUNTIF('SA-A'!$A:$A, $C93), AH$1, "")</f>
        <v/>
      </c>
      <c r="AI93" s="132" t="str">
        <f>IF(COUNTIF('SA-B'!$A:$A, $C93), AI$1, "")</f>
        <v>SPORTS ANALYTICS (B)</v>
      </c>
      <c r="AJ93" s="132" t="str">
        <f>IF(COUNTIF(CSM!$A:$A, $C93), AJ$1, "")</f>
        <v/>
      </c>
      <c r="AK93" s="132" t="str">
        <f>IF(COUNTIF(EM!$A:$A, $C93), AK$1, "")</f>
        <v>Entrepreneurial Marketing</v>
      </c>
      <c r="AL93" s="132" t="str">
        <f>IF(COUNTIF(I4TS!$A:$A, $C93), AL$1, "")</f>
        <v/>
      </c>
    </row>
    <row r="94" spans="1:38" ht="13">
      <c r="A94" s="131">
        <v>93</v>
      </c>
      <c r="B94" s="131" t="s">
        <v>557</v>
      </c>
      <c r="C94" s="134" t="s">
        <v>262</v>
      </c>
      <c r="D94" s="135" t="s">
        <v>626</v>
      </c>
      <c r="E94" s="135" t="s">
        <v>627</v>
      </c>
      <c r="F94" s="131">
        <f t="shared" ca="1" si="0"/>
        <v>5</v>
      </c>
      <c r="G94" s="106" t="str">
        <f ca="1">IFERROR(__xludf.DUMMYFUNCTION("INDEX(FILTER($P94:$AL94, $P94:$AL94 &lt;&gt; """"), 1)"),"Behavioural Economics and Decision-Making (B)")</f>
        <v>Behavioural Economics and Decision-Making (B)</v>
      </c>
      <c r="H94" s="106" t="str">
        <f ca="1">IFERROR(__xludf.DUMMYFUNCTION("INDEX(FILTER($P94:$AL94, $P94:$AL94 &lt;&gt; """"), 2)"),"The Art, Craft, and Science of Management: Learning through Classics and Best Collections (A)")</f>
        <v>The Art, Craft, and Science of Management: Learning through Classics and Best Collections (A)</v>
      </c>
      <c r="I94" s="106" t="str">
        <f ca="1">IFERROR(__xludf.DUMMYFUNCTION("INDEX(FILTER($P94:$AL94, $P94:$AL94 &lt;&gt; """"), 3)"),"Industry 4.0 in Transport Sector")</f>
        <v>Industry 4.0 in Transport Sector</v>
      </c>
      <c r="J94" s="106" t="str">
        <f ca="1">IFERROR(__xludf.DUMMYFUNCTION("IFERROR(INDEX(FILTER($P94:$AL94, $P94:$AL94 &lt;&gt; """"), 4),)"),"")</f>
        <v/>
      </c>
      <c r="K94" s="106" t="str">
        <f ca="1">IFERROR(__xludf.DUMMYFUNCTION("IFERROR(INDEX(FILTER($P94:$AL94, $P94:$AL94 &lt;&gt; """"), 5),)"),"")</f>
        <v/>
      </c>
      <c r="L94" s="107"/>
      <c r="M94" s="107"/>
      <c r="N94" s="107"/>
      <c r="O94" s="107"/>
      <c r="P94" s="132" t="str">
        <f>IF(COUNTIF('Fintech-A'!$A:$A, $C94), P$1, "")</f>
        <v/>
      </c>
      <c r="Q94" s="132" t="str">
        <f>IF(COUNTIF('Fintech-B'!$A:$A, $C94), Q$1, "")</f>
        <v/>
      </c>
      <c r="R94" s="132" t="str">
        <f>IF(COUNTIF('BEDM-A'!$A:$A, $C94), R$1, "")</f>
        <v/>
      </c>
      <c r="S94" s="132" t="str">
        <f>IF(COUNTIF('BEDM-B'!$A:$A, $C94), S$1, "")</f>
        <v>Behavioural Economics and Decision-Making (B)</v>
      </c>
      <c r="T94" s="132" t="str">
        <f>IF(COUNTIF('Art-A'!$A:$A, $C94), T$1, "")</f>
        <v>The Art, Craft, and Science of Management: Learning through Classics and Best Collections (A)</v>
      </c>
      <c r="U94" s="132" t="str">
        <f>IF(COUNTIF('Art-B'!$A:$A, $C94), U$1, "")</f>
        <v/>
      </c>
      <c r="V94" s="132" t="str">
        <f>IF(COUNTIF('WH-A'!$A:$A, $C94), V$1, "")</f>
        <v/>
      </c>
      <c r="W94" s="132" t="str">
        <f>IF(COUNTIF('WH-B'!$A:$A, $C94), W$1, "")</f>
        <v/>
      </c>
      <c r="X94" s="132" t="str">
        <f>IF(COUNTIF(LETV!$A:$A, $C94), X$1, "")</f>
        <v/>
      </c>
      <c r="Y94" s="132" t="str">
        <f>IF(COUNTIF('Film&amp;Firm-A'!$A:$A, $C94), Y$1, "")</f>
        <v/>
      </c>
      <c r="Z94" s="132" t="str">
        <f>IF(COUNTIF('Film&amp;Firm-B'!$A:$A, $C94), Z$1, "")</f>
        <v/>
      </c>
      <c r="AA94" s="132" t="str">
        <f>IF(COUNTIF(SHRM!$A:$A, $C94), AA$1, "")</f>
        <v/>
      </c>
      <c r="AB94" s="132" t="str">
        <f>IF(COUNTIF('SCM-A'!$A:$A, $C94), AB$1, "")</f>
        <v/>
      </c>
      <c r="AC94" s="132" t="str">
        <f>IF(COUNTIF('SCM-B'!$A:$A, $C94), AC$1, "")</f>
        <v/>
      </c>
      <c r="AD94" s="132" t="str">
        <f>IF(COUNTIF(AIS!$A:$A, $C94), AD$1, "")</f>
        <v/>
      </c>
      <c r="AE94" s="132" t="str">
        <f>IF(COUNTIF(EB!$A:$A, $C94), AE$1, "")</f>
        <v/>
      </c>
      <c r="AF94" s="132" t="str">
        <f>IF(COUNTIF('AIAM-A'!$A:$A, $C94), AF$1, "")</f>
        <v/>
      </c>
      <c r="AG94" s="132" t="str">
        <f>IF(COUNTIF('AIAM-B'!$A:$A, $C94), AG$1, "")</f>
        <v/>
      </c>
      <c r="AH94" s="132" t="str">
        <f>IF(COUNTIF('SA-A'!$A:$A, $C94), AH$1, "")</f>
        <v/>
      </c>
      <c r="AI94" s="132" t="str">
        <f>IF(COUNTIF('SA-B'!$A:$A, $C94), AI$1, "")</f>
        <v/>
      </c>
      <c r="AJ94" s="132" t="str">
        <f>IF(COUNTIF(CSM!$A:$A, $C94), AJ$1, "")</f>
        <v/>
      </c>
      <c r="AK94" s="132" t="str">
        <f>IF(COUNTIF(EM!$A:$A, $C94), AK$1, "")</f>
        <v/>
      </c>
      <c r="AL94" s="132" t="str">
        <f>IF(COUNTIF(I4TS!$A:$A, $C94), AL$1, "")</f>
        <v>Industry 4.0 in Transport Sector</v>
      </c>
    </row>
    <row r="95" spans="1:38" ht="13">
      <c r="A95" s="131">
        <v>94</v>
      </c>
      <c r="B95" s="131" t="s">
        <v>557</v>
      </c>
      <c r="C95" s="134" t="s">
        <v>628</v>
      </c>
      <c r="D95" s="107" t="s">
        <v>629</v>
      </c>
      <c r="E95" s="135" t="s">
        <v>630</v>
      </c>
      <c r="F95" s="131">
        <f t="shared" ca="1" si="0"/>
        <v>5</v>
      </c>
      <c r="G95" s="106" t="str">
        <f ca="1">IFERROR(__xludf.DUMMYFUNCTION("INDEX(FILTER($P95:$AL95, $P95:$AL95 &lt;&gt; """"), 1)"),"Employer Branding")</f>
        <v>Employer Branding</v>
      </c>
      <c r="H95" s="106" t="str">
        <f ca="1">IFERROR(__xludf.DUMMYFUNCTION("INDEX(FILTER($P95:$AL95, $P95:$AL95 &lt;&gt; """"), 2)"),"AI Applications in Marketing (A)")</f>
        <v>AI Applications in Marketing (A)</v>
      </c>
      <c r="I95" s="106" t="str">
        <f ca="1">IFERROR(__xludf.DUMMYFUNCTION("INDEX(FILTER($P95:$AL95, $P95:$AL95 &lt;&gt; """"), 3)"),"SPORTS ANALYTICS (B)")</f>
        <v>SPORTS ANALYTICS (B)</v>
      </c>
      <c r="J95" s="106" t="str">
        <f ca="1">IFERROR(__xludf.DUMMYFUNCTION("IFERROR(INDEX(FILTER($P95:$AL95, $P95:$AL95 &lt;&gt; """"), 4),)"),"Customer Success Management")</f>
        <v>Customer Success Management</v>
      </c>
      <c r="K95" s="106" t="str">
        <f ca="1">IFERROR(__xludf.DUMMYFUNCTION("IFERROR(INDEX(FILTER($P95:$AL95, $P95:$AL95 &lt;&gt; """"), 5),)"),"Entrepreneurial Marketing")</f>
        <v>Entrepreneurial Marketing</v>
      </c>
      <c r="L95" s="107"/>
      <c r="M95" s="107"/>
      <c r="N95" s="107"/>
      <c r="O95" s="107"/>
      <c r="P95" s="132" t="str">
        <f>IF(COUNTIF('Fintech-A'!$A:$A, $C95), P$1, "")</f>
        <v/>
      </c>
      <c r="Q95" s="132" t="str">
        <f>IF(COUNTIF('Fintech-B'!$A:$A, $C95), Q$1, "")</f>
        <v/>
      </c>
      <c r="R95" s="132" t="str">
        <f>IF(COUNTIF('BEDM-A'!$A:$A, $C95), R$1, "")</f>
        <v/>
      </c>
      <c r="S95" s="132" t="str">
        <f>IF(COUNTIF('BEDM-B'!$A:$A, $C95), S$1, "")</f>
        <v/>
      </c>
      <c r="T95" s="132" t="str">
        <f>IF(COUNTIF('Art-A'!$A:$A, $C95), T$1, "")</f>
        <v/>
      </c>
      <c r="U95" s="132" t="str">
        <f>IF(COUNTIF('Art-B'!$A:$A, $C95), U$1, "")</f>
        <v/>
      </c>
      <c r="V95" s="132" t="str">
        <f>IF(COUNTIF('WH-A'!$A:$A, $C95), V$1, "")</f>
        <v/>
      </c>
      <c r="W95" s="132" t="str">
        <f>IF(COUNTIF('WH-B'!$A:$A, $C95), W$1, "")</f>
        <v/>
      </c>
      <c r="X95" s="132" t="str">
        <f>IF(COUNTIF(LETV!$A:$A, $C95), X$1, "")</f>
        <v/>
      </c>
      <c r="Y95" s="132" t="str">
        <f>IF(COUNTIF('Film&amp;Firm-A'!$A:$A, $C95), Y$1, "")</f>
        <v/>
      </c>
      <c r="Z95" s="132" t="str">
        <f>IF(COUNTIF('Film&amp;Firm-B'!$A:$A, $C95), Z$1, "")</f>
        <v/>
      </c>
      <c r="AA95" s="132" t="str">
        <f>IF(COUNTIF(SHRM!$A:$A, $C95), AA$1, "")</f>
        <v/>
      </c>
      <c r="AB95" s="132" t="str">
        <f>IF(COUNTIF('SCM-A'!$A:$A, $C95), AB$1, "")</f>
        <v/>
      </c>
      <c r="AC95" s="132" t="str">
        <f>IF(COUNTIF('SCM-B'!$A:$A, $C95), AC$1, "")</f>
        <v/>
      </c>
      <c r="AD95" s="132" t="str">
        <f>IF(COUNTIF(AIS!$A:$A, $C95), AD$1, "")</f>
        <v/>
      </c>
      <c r="AE95" s="132" t="str">
        <f>IF(COUNTIF(EB!$A:$A, $C95), AE$1, "")</f>
        <v>Employer Branding</v>
      </c>
      <c r="AF95" s="132" t="str">
        <f>IF(COUNTIF('AIAM-A'!$A:$A, $C95), AF$1, "")</f>
        <v>AI Applications in Marketing (A)</v>
      </c>
      <c r="AG95" s="132" t="str">
        <f>IF(COUNTIF('AIAM-B'!$A:$A, $C95), AG$1, "")</f>
        <v/>
      </c>
      <c r="AH95" s="132" t="str">
        <f>IF(COUNTIF('SA-A'!$A:$A, $C95), AH$1, "")</f>
        <v/>
      </c>
      <c r="AI95" s="132" t="str">
        <f>IF(COUNTIF('SA-B'!$A:$A, $C95), AI$1, "")</f>
        <v>SPORTS ANALYTICS (B)</v>
      </c>
      <c r="AJ95" s="132" t="str">
        <f>IF(COUNTIF(CSM!$A:$A, $C95), AJ$1, "")</f>
        <v>Customer Success Management</v>
      </c>
      <c r="AK95" s="132" t="str">
        <f>IF(COUNTIF(EM!$A:$A, $C95), AK$1, "")</f>
        <v>Entrepreneurial Marketing</v>
      </c>
      <c r="AL95" s="132" t="str">
        <f>IF(COUNTIF(I4TS!$A:$A, $C95), AL$1, "")</f>
        <v/>
      </c>
    </row>
    <row r="96" spans="1:38" ht="13">
      <c r="A96" s="131">
        <v>95</v>
      </c>
      <c r="B96" s="131" t="s">
        <v>557</v>
      </c>
      <c r="C96" s="134" t="s">
        <v>631</v>
      </c>
      <c r="D96" s="135" t="s">
        <v>632</v>
      </c>
      <c r="E96" s="135" t="s">
        <v>633</v>
      </c>
      <c r="F96" s="131">
        <f t="shared" ca="1" si="0"/>
        <v>5</v>
      </c>
      <c r="G96" s="106" t="str">
        <f ca="1">IFERROR(__xludf.DUMMYFUNCTION("INDEX(FILTER($P96:$AL96, $P96:$AL96 &lt;&gt; """"), 1)"),"Fintech (Digital Transformation in Finance) (A)")</f>
        <v>Fintech (Digital Transformation in Finance) (A)</v>
      </c>
      <c r="H96" s="106" t="str">
        <f ca="1">IFERROR(__xludf.DUMMYFUNCTION("INDEX(FILTER($P96:$AL96, $P96:$AL96 &lt;&gt; """"), 2)"),"The Art, Craft, and Science of Management: Learning through Classics and Best Collections (A)")</f>
        <v>The Art, Craft, and Science of Management: Learning through Classics and Best Collections (A)</v>
      </c>
      <c r="I96" s="106" t="str">
        <f ca="1">IFERROR(__xludf.DUMMYFUNCTION("INDEX(FILTER($P96:$AL96, $P96:$AL96 &lt;&gt; """"), 3)"),"Strategic Career Management (B)")</f>
        <v>Strategic Career Management (B)</v>
      </c>
      <c r="J96" s="106" t="str">
        <f ca="1">IFERROR(__xludf.DUMMYFUNCTION("IFERROR(INDEX(FILTER($P96:$AL96, $P96:$AL96 &lt;&gt; """"), 4),)"),"AI Applications in Marketing (A)")</f>
        <v>AI Applications in Marketing (A)</v>
      </c>
      <c r="K96" s="106" t="str">
        <f ca="1">IFERROR(__xludf.DUMMYFUNCTION("IFERROR(INDEX(FILTER($P96:$AL96, $P96:$AL96 &lt;&gt; """"), 5),)"),"SPORTS ANALYTICS (A)")</f>
        <v>SPORTS ANALYTICS (A)</v>
      </c>
      <c r="L96" s="107"/>
      <c r="M96" s="107"/>
      <c r="N96" s="107"/>
      <c r="O96" s="107"/>
      <c r="P96" s="132" t="str">
        <f>IF(COUNTIF('Fintech-A'!$A:$A, $C96), P$1, "")</f>
        <v>Fintech (Digital Transformation in Finance) (A)</v>
      </c>
      <c r="Q96" s="132" t="str">
        <f>IF(COUNTIF('Fintech-B'!$A:$A, $C96), Q$1, "")</f>
        <v/>
      </c>
      <c r="R96" s="132" t="str">
        <f>IF(COUNTIF('BEDM-A'!$A:$A, $C96), R$1, "")</f>
        <v/>
      </c>
      <c r="S96" s="132" t="str">
        <f>IF(COUNTIF('BEDM-B'!$A:$A, $C96), S$1, "")</f>
        <v/>
      </c>
      <c r="T96" s="132" t="str">
        <f>IF(COUNTIF('Art-A'!$A:$A, $C96), T$1, "")</f>
        <v>The Art, Craft, and Science of Management: Learning through Classics and Best Collections (A)</v>
      </c>
      <c r="U96" s="132" t="str">
        <f>IF(COUNTIF('Art-B'!$A:$A, $C96), U$1, "")</f>
        <v/>
      </c>
      <c r="V96" s="132" t="str">
        <f>IF(COUNTIF('WH-A'!$A:$A, $C96), V$1, "")</f>
        <v/>
      </c>
      <c r="W96" s="132" t="str">
        <f>IF(COUNTIF('WH-B'!$A:$A, $C96), W$1, "")</f>
        <v/>
      </c>
      <c r="X96" s="132" t="str">
        <f>IF(COUNTIF(LETV!$A:$A, $C96), X$1, "")</f>
        <v/>
      </c>
      <c r="Y96" s="132" t="str">
        <f>IF(COUNTIF('Film&amp;Firm-A'!$A:$A, $C96), Y$1, "")</f>
        <v/>
      </c>
      <c r="Z96" s="132" t="str">
        <f>IF(COUNTIF('Film&amp;Firm-B'!$A:$A, $C96), Z$1, "")</f>
        <v/>
      </c>
      <c r="AA96" s="132" t="str">
        <f>IF(COUNTIF(SHRM!$A:$A, $C96), AA$1, "")</f>
        <v/>
      </c>
      <c r="AB96" s="132" t="str">
        <f>IF(COUNTIF('SCM-A'!$A:$A, $C96), AB$1, "")</f>
        <v/>
      </c>
      <c r="AC96" s="132" t="str">
        <f>IF(COUNTIF('SCM-B'!$A:$A, $C96), AC$1, "")</f>
        <v>Strategic Career Management (B)</v>
      </c>
      <c r="AD96" s="132" t="str">
        <f>IF(COUNTIF(AIS!$A:$A, $C96), AD$1, "")</f>
        <v/>
      </c>
      <c r="AE96" s="132" t="str">
        <f>IF(COUNTIF(EB!$A:$A, $C96), AE$1, "")</f>
        <v/>
      </c>
      <c r="AF96" s="132" t="str">
        <f>IF(COUNTIF('AIAM-A'!$A:$A, $C96), AF$1, "")</f>
        <v>AI Applications in Marketing (A)</v>
      </c>
      <c r="AG96" s="132" t="str">
        <f>IF(COUNTIF('AIAM-B'!$A:$A, $C96), AG$1, "")</f>
        <v/>
      </c>
      <c r="AH96" s="132" t="str">
        <f>IF(COUNTIF('SA-A'!$A:$A, $C96), AH$1, "")</f>
        <v>SPORTS ANALYTICS (A)</v>
      </c>
      <c r="AI96" s="132" t="str">
        <f>IF(COUNTIF('SA-B'!$A:$A, $C96), AI$1, "")</f>
        <v/>
      </c>
      <c r="AJ96" s="132" t="str">
        <f>IF(COUNTIF(CSM!$A:$A, $C96), AJ$1, "")</f>
        <v/>
      </c>
      <c r="AK96" s="132" t="str">
        <f>IF(COUNTIF(EM!$A:$A, $C96), AK$1, "")</f>
        <v/>
      </c>
      <c r="AL96" s="132" t="str">
        <f>IF(COUNTIF(I4TS!$A:$A, $C96), AL$1, "")</f>
        <v/>
      </c>
    </row>
    <row r="97" spans="1:38" ht="13">
      <c r="A97" s="131">
        <v>96</v>
      </c>
      <c r="B97" s="131" t="s">
        <v>557</v>
      </c>
      <c r="C97" s="134" t="s">
        <v>634</v>
      </c>
      <c r="D97" s="135" t="s">
        <v>635</v>
      </c>
      <c r="E97" s="135" t="s">
        <v>636</v>
      </c>
      <c r="F97" s="131">
        <f t="shared" ca="1" si="0"/>
        <v>5</v>
      </c>
      <c r="G97" s="106" t="str">
        <f ca="1">IFERROR(__xludf.DUMMYFUNCTION("INDEX(FILTER($P97:$AL97, $P97:$AL97 &lt;&gt; """"), 1)"),"The Art, Craft, and Science of Management: Learning through Classics and Best Collections (A)")</f>
        <v>The Art, Craft, and Science of Management: Learning through Classics and Best Collections (A)</v>
      </c>
      <c r="H97" s="106" t="str">
        <f ca="1">IFERROR(__xludf.DUMMYFUNCTION("INDEX(FILTER($P97:$AL97, $P97:$AL97 &lt;&gt; """"), 2)"),"Strategic Career Management (A)")</f>
        <v>Strategic Career Management (A)</v>
      </c>
      <c r="I97" s="106" t="str">
        <f ca="1">IFERROR(__xludf.DUMMYFUNCTION("INDEX(FILTER($P97:$AL97, $P97:$AL97 &lt;&gt; """"), 3)"),"Entrepreneurial Marketing")</f>
        <v>Entrepreneurial Marketing</v>
      </c>
      <c r="J97" s="106" t="str">
        <f ca="1">IFERROR(__xludf.DUMMYFUNCTION("IFERROR(INDEX(FILTER($P97:$AL97, $P97:$AL97 &lt;&gt; """"), 4),)"),"")</f>
        <v/>
      </c>
      <c r="K97" s="106" t="str">
        <f ca="1">IFERROR(__xludf.DUMMYFUNCTION("IFERROR(INDEX(FILTER($P97:$AL97, $P97:$AL97 &lt;&gt; """"), 5),)"),"")</f>
        <v/>
      </c>
      <c r="L97" s="107"/>
      <c r="M97" s="107"/>
      <c r="N97" s="107"/>
      <c r="O97" s="107"/>
      <c r="P97" s="132" t="str">
        <f>IF(COUNTIF('Fintech-A'!$A:$A, $C97), P$1, "")</f>
        <v/>
      </c>
      <c r="Q97" s="132" t="str">
        <f>IF(COUNTIF('Fintech-B'!$A:$A, $C97), Q$1, "")</f>
        <v/>
      </c>
      <c r="R97" s="132" t="str">
        <f>IF(COUNTIF('BEDM-A'!$A:$A, $C97), R$1, "")</f>
        <v/>
      </c>
      <c r="S97" s="132" t="str">
        <f>IF(COUNTIF('BEDM-B'!$A:$A, $C97), S$1, "")</f>
        <v/>
      </c>
      <c r="T97" s="132" t="str">
        <f>IF(COUNTIF('Art-A'!$A:$A, $C97), T$1, "")</f>
        <v>The Art, Craft, and Science of Management: Learning through Classics and Best Collections (A)</v>
      </c>
      <c r="U97" s="132" t="str">
        <f>IF(COUNTIF('Art-B'!$A:$A, $C97), U$1, "")</f>
        <v/>
      </c>
      <c r="V97" s="132" t="str">
        <f>IF(COUNTIF('WH-A'!$A:$A, $C97), V$1, "")</f>
        <v/>
      </c>
      <c r="W97" s="132" t="str">
        <f>IF(COUNTIF('WH-B'!$A:$A, $C97), W$1, "")</f>
        <v/>
      </c>
      <c r="X97" s="132" t="str">
        <f>IF(COUNTIF(LETV!$A:$A, $C97), X$1, "")</f>
        <v/>
      </c>
      <c r="Y97" s="132" t="str">
        <f>IF(COUNTIF('Film&amp;Firm-A'!$A:$A, $C97), Y$1, "")</f>
        <v/>
      </c>
      <c r="Z97" s="132" t="str">
        <f>IF(COUNTIF('Film&amp;Firm-B'!$A:$A, $C97), Z$1, "")</f>
        <v/>
      </c>
      <c r="AA97" s="132" t="str">
        <f>IF(COUNTIF(SHRM!$A:$A, $C97), AA$1, "")</f>
        <v/>
      </c>
      <c r="AB97" s="132" t="str">
        <f>IF(COUNTIF('SCM-A'!$A:$A, $C97), AB$1, "")</f>
        <v>Strategic Career Management (A)</v>
      </c>
      <c r="AC97" s="132" t="str">
        <f>IF(COUNTIF('SCM-B'!$A:$A, $C97), AC$1, "")</f>
        <v/>
      </c>
      <c r="AD97" s="132" t="str">
        <f>IF(COUNTIF(AIS!$A:$A, $C97), AD$1, "")</f>
        <v/>
      </c>
      <c r="AE97" s="132" t="str">
        <f>IF(COUNTIF(EB!$A:$A, $C97), AE$1, "")</f>
        <v/>
      </c>
      <c r="AF97" s="132" t="str">
        <f>IF(COUNTIF('AIAM-A'!$A:$A, $C97), AF$1, "")</f>
        <v/>
      </c>
      <c r="AG97" s="132" t="str">
        <f>IF(COUNTIF('AIAM-B'!$A:$A, $C97), AG$1, "")</f>
        <v/>
      </c>
      <c r="AH97" s="132" t="str">
        <f>IF(COUNTIF('SA-A'!$A:$A, $C97), AH$1, "")</f>
        <v/>
      </c>
      <c r="AI97" s="132" t="str">
        <f>IF(COUNTIF('SA-B'!$A:$A, $C97), AI$1, "")</f>
        <v/>
      </c>
      <c r="AJ97" s="132" t="str">
        <f>IF(COUNTIF(CSM!$A:$A, $C97), AJ$1, "")</f>
        <v/>
      </c>
      <c r="AK97" s="132" t="str">
        <f>IF(COUNTIF(EM!$A:$A, $C97), AK$1, "")</f>
        <v>Entrepreneurial Marketing</v>
      </c>
      <c r="AL97" s="132" t="str">
        <f>IF(COUNTIF(I4TS!$A:$A, $C97), AL$1, "")</f>
        <v/>
      </c>
    </row>
    <row r="98" spans="1:38" ht="13">
      <c r="A98" s="131">
        <v>97</v>
      </c>
      <c r="B98" s="131" t="s">
        <v>557</v>
      </c>
      <c r="C98" s="134" t="s">
        <v>637</v>
      </c>
      <c r="D98" s="135" t="s">
        <v>638</v>
      </c>
      <c r="E98" s="135" t="s">
        <v>639</v>
      </c>
      <c r="F98" s="131">
        <f t="shared" ca="1" si="0"/>
        <v>5</v>
      </c>
      <c r="G98" s="106" t="str">
        <f ca="1">IFERROR(__xludf.DUMMYFUNCTION("INDEX(FILTER($P98:$AL98, $P98:$AL98 &lt;&gt; """"), 1)"),"Behavioural Economics and Decision-Making (A)")</f>
        <v>Behavioural Economics and Decision-Making (A)</v>
      </c>
      <c r="H98" s="106" t="str">
        <f ca="1">IFERROR(__xludf.DUMMYFUNCTION("INDEX(FILTER($P98:$AL98, $P98:$AL98 &lt;&gt; """"), 2)"),"Workplace Happiness: Science &amp; Practice (B)")</f>
        <v>Workplace Happiness: Science &amp; Practice (B)</v>
      </c>
      <c r="I98" s="106" t="str">
        <f ca="1">IFERROR(__xludf.DUMMYFUNCTION("INDEX(FILTER($P98:$AL98, $P98:$AL98 &lt;&gt; """"), 3)"),"Strategic Career Management (B)")</f>
        <v>Strategic Career Management (B)</v>
      </c>
      <c r="J98" s="106" t="str">
        <f ca="1">IFERROR(__xludf.DUMMYFUNCTION("IFERROR(INDEX(FILTER($P98:$AL98, $P98:$AL98 &lt;&gt; """"), 4),)"),"")</f>
        <v/>
      </c>
      <c r="K98" s="106" t="str">
        <f ca="1">IFERROR(__xludf.DUMMYFUNCTION("IFERROR(INDEX(FILTER($P98:$AL98, $P98:$AL98 &lt;&gt; """"), 5),)"),"")</f>
        <v/>
      </c>
      <c r="L98" s="107"/>
      <c r="M98" s="107"/>
      <c r="N98" s="107"/>
      <c r="O98" s="107"/>
      <c r="P98" s="132" t="str">
        <f>IF(COUNTIF('Fintech-A'!$A:$A, $C98), P$1, "")</f>
        <v/>
      </c>
      <c r="Q98" s="132" t="str">
        <f>IF(COUNTIF('Fintech-B'!$A:$A, $C98), Q$1, "")</f>
        <v/>
      </c>
      <c r="R98" s="132" t="str">
        <f>IF(COUNTIF('BEDM-A'!$A:$A, $C98), R$1, "")</f>
        <v>Behavioural Economics and Decision-Making (A)</v>
      </c>
      <c r="S98" s="132" t="str">
        <f>IF(COUNTIF('BEDM-B'!$A:$A, $C98), S$1, "")</f>
        <v/>
      </c>
      <c r="T98" s="132" t="str">
        <f>IF(COUNTIF('Art-A'!$A:$A, $C98), T$1, "")</f>
        <v/>
      </c>
      <c r="U98" s="132" t="str">
        <f>IF(COUNTIF('Art-B'!$A:$A, $C98), U$1, "")</f>
        <v/>
      </c>
      <c r="V98" s="132" t="str">
        <f>IF(COUNTIF('WH-A'!$A:$A, $C98), V$1, "")</f>
        <v/>
      </c>
      <c r="W98" s="132" t="str">
        <f>IF(COUNTIF('WH-B'!$A:$A, $C98), W$1, "")</f>
        <v>Workplace Happiness: Science &amp; Practice (B)</v>
      </c>
      <c r="X98" s="132" t="str">
        <f>IF(COUNTIF(LETV!$A:$A, $C98), X$1, "")</f>
        <v/>
      </c>
      <c r="Y98" s="132" t="str">
        <f>IF(COUNTIF('Film&amp;Firm-A'!$A:$A, $C98), Y$1, "")</f>
        <v/>
      </c>
      <c r="Z98" s="132" t="str">
        <f>IF(COUNTIF('Film&amp;Firm-B'!$A:$A, $C98), Z$1, "")</f>
        <v/>
      </c>
      <c r="AA98" s="132" t="str">
        <f>IF(COUNTIF(SHRM!$A:$A, $C98), AA$1, "")</f>
        <v/>
      </c>
      <c r="AB98" s="132" t="str">
        <f>IF(COUNTIF('SCM-A'!$A:$A, $C98), AB$1, "")</f>
        <v/>
      </c>
      <c r="AC98" s="132" t="str">
        <f>IF(COUNTIF('SCM-B'!$A:$A, $C98), AC$1, "")</f>
        <v>Strategic Career Management (B)</v>
      </c>
      <c r="AD98" s="132" t="str">
        <f>IF(COUNTIF(AIS!$A:$A, $C98), AD$1, "")</f>
        <v/>
      </c>
      <c r="AE98" s="132" t="str">
        <f>IF(COUNTIF(EB!$A:$A, $C98), AE$1, "")</f>
        <v/>
      </c>
      <c r="AF98" s="132" t="str">
        <f>IF(COUNTIF('AIAM-A'!$A:$A, $C98), AF$1, "")</f>
        <v/>
      </c>
      <c r="AG98" s="132" t="str">
        <f>IF(COUNTIF('AIAM-B'!$A:$A, $C98), AG$1, "")</f>
        <v/>
      </c>
      <c r="AH98" s="132" t="str">
        <f>IF(COUNTIF('SA-A'!$A:$A, $C98), AH$1, "")</f>
        <v/>
      </c>
      <c r="AI98" s="132" t="str">
        <f>IF(COUNTIF('SA-B'!$A:$A, $C98), AI$1, "")</f>
        <v/>
      </c>
      <c r="AJ98" s="132" t="str">
        <f>IF(COUNTIF(CSM!$A:$A, $C98), AJ$1, "")</f>
        <v/>
      </c>
      <c r="AK98" s="132" t="str">
        <f>IF(COUNTIF(EM!$A:$A, $C98), AK$1, "")</f>
        <v/>
      </c>
      <c r="AL98" s="132" t="str">
        <f>IF(COUNTIF(I4TS!$A:$A, $C98), AL$1, "")</f>
        <v/>
      </c>
    </row>
    <row r="99" spans="1:38" ht="13">
      <c r="A99" s="131">
        <v>98</v>
      </c>
      <c r="B99" s="131" t="s">
        <v>557</v>
      </c>
      <c r="C99" s="134" t="s">
        <v>640</v>
      </c>
      <c r="D99" s="135" t="s">
        <v>641</v>
      </c>
      <c r="E99" s="135" t="s">
        <v>642</v>
      </c>
      <c r="F99" s="131">
        <f t="shared" ca="1" si="0"/>
        <v>5</v>
      </c>
      <c r="G99" s="106" t="str">
        <f ca="1">IFERROR(__xludf.DUMMYFUNCTION("INDEX(FILTER($P99:$AL99, $P99:$AL99 &lt;&gt; """"), 1)"),"SPORTS ANALYTICS (B)")</f>
        <v>SPORTS ANALYTICS (B)</v>
      </c>
      <c r="H99" s="106" t="str">
        <f ca="1">IFERROR(__xludf.DUMMYFUNCTION("INDEX(FILTER($P99:$AL99, $P99:$AL99 &lt;&gt; """"), 2)"),"Customer Success Management")</f>
        <v>Customer Success Management</v>
      </c>
      <c r="I99" s="106" t="str">
        <f ca="1">IFERROR(__xludf.DUMMYFUNCTION("INDEX(FILTER($P99:$AL99, $P99:$AL99 &lt;&gt; """"), 3)"),"Industry 4.0 in Transport Sector")</f>
        <v>Industry 4.0 in Transport Sector</v>
      </c>
      <c r="J99" s="106" t="str">
        <f ca="1">IFERROR(__xludf.DUMMYFUNCTION("IFERROR(INDEX(FILTER($P99:$AL99, $P99:$AL99 &lt;&gt; """"), 4),)"),"")</f>
        <v/>
      </c>
      <c r="K99" s="106" t="str">
        <f ca="1">IFERROR(__xludf.DUMMYFUNCTION("IFERROR(INDEX(FILTER($P99:$AL99, $P99:$AL99 &lt;&gt; """"), 5),)"),"")</f>
        <v/>
      </c>
      <c r="L99" s="107"/>
      <c r="M99" s="107"/>
      <c r="N99" s="107"/>
      <c r="O99" s="107"/>
      <c r="P99" s="132" t="str">
        <f>IF(COUNTIF('Fintech-A'!$A:$A, $C99), P$1, "")</f>
        <v/>
      </c>
      <c r="Q99" s="132" t="str">
        <f>IF(COUNTIF('Fintech-B'!$A:$A, $C99), Q$1, "")</f>
        <v/>
      </c>
      <c r="R99" s="132" t="str">
        <f>IF(COUNTIF('BEDM-A'!$A:$A, $C99), R$1, "")</f>
        <v/>
      </c>
      <c r="S99" s="132" t="str">
        <f>IF(COUNTIF('BEDM-B'!$A:$A, $C99), S$1, "")</f>
        <v/>
      </c>
      <c r="T99" s="132" t="str">
        <f>IF(COUNTIF('Art-A'!$A:$A, $C99), T$1, "")</f>
        <v/>
      </c>
      <c r="U99" s="132" t="str">
        <f>IF(COUNTIF('Art-B'!$A:$A, $C99), U$1, "")</f>
        <v/>
      </c>
      <c r="V99" s="132" t="str">
        <f>IF(COUNTIF('WH-A'!$A:$A, $C99), V$1, "")</f>
        <v/>
      </c>
      <c r="W99" s="132" t="str">
        <f>IF(COUNTIF('WH-B'!$A:$A, $C99), W$1, "")</f>
        <v/>
      </c>
      <c r="X99" s="132" t="str">
        <f>IF(COUNTIF(LETV!$A:$A, $C99), X$1, "")</f>
        <v/>
      </c>
      <c r="Y99" s="132" t="str">
        <f>IF(COUNTIF('Film&amp;Firm-A'!$A:$A, $C99), Y$1, "")</f>
        <v/>
      </c>
      <c r="Z99" s="132" t="str">
        <f>IF(COUNTIF('Film&amp;Firm-B'!$A:$A, $C99), Z$1, "")</f>
        <v/>
      </c>
      <c r="AA99" s="132" t="str">
        <f>IF(COUNTIF(SHRM!$A:$A, $C99), AA$1, "")</f>
        <v/>
      </c>
      <c r="AB99" s="132" t="str">
        <f>IF(COUNTIF('SCM-A'!$A:$A, $C99), AB$1, "")</f>
        <v/>
      </c>
      <c r="AC99" s="132" t="str">
        <f>IF(COUNTIF('SCM-B'!$A:$A, $C99), AC$1, "")</f>
        <v/>
      </c>
      <c r="AD99" s="132" t="str">
        <f>IF(COUNTIF(AIS!$A:$A, $C99), AD$1, "")</f>
        <v/>
      </c>
      <c r="AE99" s="132" t="str">
        <f>IF(COUNTIF(EB!$A:$A, $C99), AE$1, "")</f>
        <v/>
      </c>
      <c r="AF99" s="132" t="str">
        <f>IF(COUNTIF('AIAM-A'!$A:$A, $C99), AF$1, "")</f>
        <v/>
      </c>
      <c r="AG99" s="132" t="str">
        <f>IF(COUNTIF('AIAM-B'!$A:$A, $C99), AG$1, "")</f>
        <v/>
      </c>
      <c r="AH99" s="132" t="str">
        <f>IF(COUNTIF('SA-A'!$A:$A, $C99), AH$1, "")</f>
        <v/>
      </c>
      <c r="AI99" s="132" t="str">
        <f>IF(COUNTIF('SA-B'!$A:$A, $C99), AI$1, "")</f>
        <v>SPORTS ANALYTICS (B)</v>
      </c>
      <c r="AJ99" s="132" t="str">
        <f>IF(COUNTIF(CSM!$A:$A, $C99), AJ$1, "")</f>
        <v>Customer Success Management</v>
      </c>
      <c r="AK99" s="132" t="str">
        <f>IF(COUNTIF(EM!$A:$A, $C99), AK$1, "")</f>
        <v/>
      </c>
      <c r="AL99" s="132" t="str">
        <f>IF(COUNTIF(I4TS!$A:$A, $C99), AL$1, "")</f>
        <v>Industry 4.0 in Transport Sector</v>
      </c>
    </row>
    <row r="100" spans="1:38" ht="13">
      <c r="A100" s="131">
        <v>99</v>
      </c>
      <c r="B100" s="131" t="s">
        <v>557</v>
      </c>
      <c r="C100" s="134" t="s">
        <v>263</v>
      </c>
      <c r="D100" s="135" t="s">
        <v>643</v>
      </c>
      <c r="E100" s="135" t="s">
        <v>644</v>
      </c>
      <c r="F100" s="131">
        <f t="shared" ca="1" si="0"/>
        <v>5</v>
      </c>
      <c r="G100" s="106" t="str">
        <f ca="1">IFERROR(__xludf.DUMMYFUNCTION("INDEX(FILTER($P100:$AL100, $P100:$AL100 &lt;&gt; """"), 1)"),"Workplace Happiness: Science &amp; Practice (B)")</f>
        <v>Workplace Happiness: Science &amp; Practice (B)</v>
      </c>
      <c r="H100" s="106" t="str">
        <f ca="1">IFERROR(__xludf.DUMMYFUNCTION("INDEX(FILTER($P100:$AL100, $P100:$AL100 &lt;&gt; """"), 2)"),"Strategic Career Management (B)")</f>
        <v>Strategic Career Management (B)</v>
      </c>
      <c r="I100" s="106" t="str">
        <f ca="1">IFERROR(__xludf.DUMMYFUNCTION("INDEX(FILTER($P100:$AL100, $P100:$AL100 &lt;&gt; """"), 3)"),"AI AND  STRATEGY")</f>
        <v>AI AND  STRATEGY</v>
      </c>
      <c r="J100" s="106" t="str">
        <f ca="1">IFERROR(__xludf.DUMMYFUNCTION("IFERROR(INDEX(FILTER($P100:$AL100, $P100:$AL100 &lt;&gt; """"), 4),)"),"")</f>
        <v/>
      </c>
      <c r="K100" s="106" t="str">
        <f ca="1">IFERROR(__xludf.DUMMYFUNCTION("IFERROR(INDEX(FILTER($P100:$AL100, $P100:$AL100 &lt;&gt; """"), 5),)"),"")</f>
        <v/>
      </c>
      <c r="L100" s="107"/>
      <c r="M100" s="107"/>
      <c r="N100" s="107"/>
      <c r="O100" s="107"/>
      <c r="P100" s="132" t="str">
        <f>IF(COUNTIF('Fintech-A'!$A:$A, $C100), P$1, "")</f>
        <v/>
      </c>
      <c r="Q100" s="132" t="str">
        <f>IF(COUNTIF('Fintech-B'!$A:$A, $C100), Q$1, "")</f>
        <v/>
      </c>
      <c r="R100" s="132" t="str">
        <f>IF(COUNTIF('BEDM-A'!$A:$A, $C100), R$1, "")</f>
        <v/>
      </c>
      <c r="S100" s="132" t="str">
        <f>IF(COUNTIF('BEDM-B'!$A:$A, $C100), S$1, "")</f>
        <v/>
      </c>
      <c r="T100" s="132" t="str">
        <f>IF(COUNTIF('Art-A'!$A:$A, $C100), T$1, "")</f>
        <v/>
      </c>
      <c r="U100" s="132" t="str">
        <f>IF(COUNTIF('Art-B'!$A:$A, $C100), U$1, "")</f>
        <v/>
      </c>
      <c r="V100" s="132" t="str">
        <f>IF(COUNTIF('WH-A'!$A:$A, $C100), V$1, "")</f>
        <v/>
      </c>
      <c r="W100" s="132" t="str">
        <f>IF(COUNTIF('WH-B'!$A:$A, $C100), W$1, "")</f>
        <v>Workplace Happiness: Science &amp; Practice (B)</v>
      </c>
      <c r="X100" s="132" t="str">
        <f>IF(COUNTIF(LETV!$A:$A, $C100), X$1, "")</f>
        <v/>
      </c>
      <c r="Y100" s="132" t="str">
        <f>IF(COUNTIF('Film&amp;Firm-A'!$A:$A, $C100), Y$1, "")</f>
        <v/>
      </c>
      <c r="Z100" s="132" t="str">
        <f>IF(COUNTIF('Film&amp;Firm-B'!$A:$A, $C100), Z$1, "")</f>
        <v/>
      </c>
      <c r="AA100" s="132" t="str">
        <f>IF(COUNTIF(SHRM!$A:$A, $C100), AA$1, "")</f>
        <v/>
      </c>
      <c r="AB100" s="132" t="str">
        <f>IF(COUNTIF('SCM-A'!$A:$A, $C100), AB$1, "")</f>
        <v/>
      </c>
      <c r="AC100" s="132" t="str">
        <f>IF(COUNTIF('SCM-B'!$A:$A, $C100), AC$1, "")</f>
        <v>Strategic Career Management (B)</v>
      </c>
      <c r="AD100" s="132" t="str">
        <f>IF(COUNTIF(AIS!$A:$A, $C100), AD$1, "")</f>
        <v>AI AND  STRATEGY</v>
      </c>
      <c r="AE100" s="132" t="str">
        <f>IF(COUNTIF(EB!$A:$A, $C100), AE$1, "")</f>
        <v/>
      </c>
      <c r="AF100" s="132" t="str">
        <f>IF(COUNTIF('AIAM-A'!$A:$A, $C100), AF$1, "")</f>
        <v/>
      </c>
      <c r="AG100" s="132" t="str">
        <f>IF(COUNTIF('AIAM-B'!$A:$A, $C100), AG$1, "")</f>
        <v/>
      </c>
      <c r="AH100" s="132" t="str">
        <f>IF(COUNTIF('SA-A'!$A:$A, $C100), AH$1, "")</f>
        <v/>
      </c>
      <c r="AI100" s="132" t="str">
        <f>IF(COUNTIF('SA-B'!$A:$A, $C100), AI$1, "")</f>
        <v/>
      </c>
      <c r="AJ100" s="132" t="str">
        <f>IF(COUNTIF(CSM!$A:$A, $C100), AJ$1, "")</f>
        <v/>
      </c>
      <c r="AK100" s="132" t="str">
        <f>IF(COUNTIF(EM!$A:$A, $C100), AK$1, "")</f>
        <v/>
      </c>
      <c r="AL100" s="132" t="str">
        <f>IF(COUNTIF(I4TS!$A:$A, $C100), AL$1, "")</f>
        <v/>
      </c>
    </row>
    <row r="101" spans="1:38" ht="13">
      <c r="A101" s="131">
        <v>100</v>
      </c>
      <c r="B101" s="131" t="s">
        <v>557</v>
      </c>
      <c r="C101" s="134" t="s">
        <v>645</v>
      </c>
      <c r="D101" s="135" t="s">
        <v>646</v>
      </c>
      <c r="E101" s="135" t="s">
        <v>647</v>
      </c>
      <c r="F101" s="131">
        <f t="shared" ca="1" si="0"/>
        <v>5</v>
      </c>
      <c r="G101" s="106" t="str">
        <f ca="1">IFERROR(__xludf.DUMMYFUNCTION("INDEX(FILTER($P101:$AL101, $P101:$AL101 &lt;&gt; """"), 1)"),"Leadership Excellence Through Values : Wisdom from the Mahabharata")</f>
        <v>Leadership Excellence Through Values : Wisdom from the Mahabharata</v>
      </c>
      <c r="H101" s="106" t="str">
        <f ca="1">IFERROR(__xludf.DUMMYFUNCTION("INDEX(FILTER($P101:$AL101, $P101:$AL101 &lt;&gt; """"), 2)"),"AI AND  STRATEGY")</f>
        <v>AI AND  STRATEGY</v>
      </c>
      <c r="I101" s="106" t="str">
        <f ca="1">IFERROR(__xludf.DUMMYFUNCTION("INDEX(FILTER($P101:$AL101, $P101:$AL101 &lt;&gt; """"), 3)"),"Industry 4.0 in Transport Sector")</f>
        <v>Industry 4.0 in Transport Sector</v>
      </c>
      <c r="J101" s="106" t="str">
        <f ca="1">IFERROR(__xludf.DUMMYFUNCTION("IFERROR(INDEX(FILTER($P101:$AL101, $P101:$AL101 &lt;&gt; """"), 4),)"),"")</f>
        <v/>
      </c>
      <c r="K101" s="106" t="str">
        <f ca="1">IFERROR(__xludf.DUMMYFUNCTION("IFERROR(INDEX(FILTER($P101:$AL101, $P101:$AL101 &lt;&gt; """"), 5),)"),"")</f>
        <v/>
      </c>
      <c r="L101" s="107"/>
      <c r="M101" s="107"/>
      <c r="N101" s="107"/>
      <c r="O101" s="107"/>
      <c r="P101" s="132" t="str">
        <f>IF(COUNTIF('Fintech-A'!$A:$A, $C101), P$1, "")</f>
        <v/>
      </c>
      <c r="Q101" s="132" t="str">
        <f>IF(COUNTIF('Fintech-B'!$A:$A, $C101), Q$1, "")</f>
        <v/>
      </c>
      <c r="R101" s="132" t="str">
        <f>IF(COUNTIF('BEDM-A'!$A:$A, $C101), R$1, "")</f>
        <v/>
      </c>
      <c r="S101" s="132" t="str">
        <f>IF(COUNTIF('BEDM-B'!$A:$A, $C101), S$1, "")</f>
        <v/>
      </c>
      <c r="T101" s="132" t="str">
        <f>IF(COUNTIF('Art-A'!$A:$A, $C101), T$1, "")</f>
        <v/>
      </c>
      <c r="U101" s="132" t="str">
        <f>IF(COUNTIF('Art-B'!$A:$A, $C101), U$1, "")</f>
        <v/>
      </c>
      <c r="V101" s="132" t="str">
        <f>IF(COUNTIF('WH-A'!$A:$A, $C101), V$1, "")</f>
        <v/>
      </c>
      <c r="W101" s="132" t="str">
        <f>IF(COUNTIF('WH-B'!$A:$A, $C101), W$1, "")</f>
        <v/>
      </c>
      <c r="X101" s="132" t="str">
        <f>IF(COUNTIF(LETV!$A:$A, $C101), X$1, "")</f>
        <v>Leadership Excellence Through Values : Wisdom from the Mahabharata</v>
      </c>
      <c r="Y101" s="132" t="str">
        <f>IF(COUNTIF('Film&amp;Firm-A'!$A:$A, $C101), Y$1, "")</f>
        <v/>
      </c>
      <c r="Z101" s="132" t="str">
        <f>IF(COUNTIF('Film&amp;Firm-B'!$A:$A, $C101), Z$1, "")</f>
        <v/>
      </c>
      <c r="AA101" s="132" t="str">
        <f>IF(COUNTIF(SHRM!$A:$A, $C101), AA$1, "")</f>
        <v/>
      </c>
      <c r="AB101" s="132" t="str">
        <f>IF(COUNTIF('SCM-A'!$A:$A, $C101), AB$1, "")</f>
        <v/>
      </c>
      <c r="AC101" s="132" t="str">
        <f>IF(COUNTIF('SCM-B'!$A:$A, $C101), AC$1, "")</f>
        <v/>
      </c>
      <c r="AD101" s="132" t="str">
        <f>IF(COUNTIF(AIS!$A:$A, $C101), AD$1, "")</f>
        <v>AI AND  STRATEGY</v>
      </c>
      <c r="AE101" s="132" t="str">
        <f>IF(COUNTIF(EB!$A:$A, $C101), AE$1, "")</f>
        <v/>
      </c>
      <c r="AF101" s="132" t="str">
        <f>IF(COUNTIF('AIAM-A'!$A:$A, $C101), AF$1, "")</f>
        <v/>
      </c>
      <c r="AG101" s="132" t="str">
        <f>IF(COUNTIF('AIAM-B'!$A:$A, $C101), AG$1, "")</f>
        <v/>
      </c>
      <c r="AH101" s="132" t="str">
        <f>IF(COUNTIF('SA-A'!$A:$A, $C101), AH$1, "")</f>
        <v/>
      </c>
      <c r="AI101" s="132" t="str">
        <f>IF(COUNTIF('SA-B'!$A:$A, $C101), AI$1, "")</f>
        <v/>
      </c>
      <c r="AJ101" s="132" t="str">
        <f>IF(COUNTIF(CSM!$A:$A, $C101), AJ$1, "")</f>
        <v/>
      </c>
      <c r="AK101" s="132" t="str">
        <f>IF(COUNTIF(EM!$A:$A, $C101), AK$1, "")</f>
        <v/>
      </c>
      <c r="AL101" s="132" t="str">
        <f>IF(COUNTIF(I4TS!$A:$A, $C101), AL$1, "")</f>
        <v>Industry 4.0 in Transport Sector</v>
      </c>
    </row>
    <row r="102" spans="1:38" ht="13">
      <c r="A102" s="131">
        <v>101</v>
      </c>
      <c r="B102" s="131" t="s">
        <v>557</v>
      </c>
      <c r="C102" s="134" t="s">
        <v>648</v>
      </c>
      <c r="D102" s="135" t="s">
        <v>649</v>
      </c>
      <c r="E102" s="135" t="s">
        <v>650</v>
      </c>
      <c r="F102" s="131">
        <f t="shared" ca="1" si="0"/>
        <v>5</v>
      </c>
      <c r="G102" s="106" t="str">
        <f ca="1">IFERROR(__xludf.DUMMYFUNCTION("INDEX(FILTER($P102:$AL102, $P102:$AL102 &lt;&gt; """"), 1)"),"Behavioural Economics and Decision-Making (B)")</f>
        <v>Behavioural Economics and Decision-Making (B)</v>
      </c>
      <c r="H102" s="106" t="str">
        <f ca="1">IFERROR(__xludf.DUMMYFUNCTION("INDEX(FILTER($P102:$AL102, $P102:$AL102 &lt;&gt; """"), 2)"),"Employer Branding")</f>
        <v>Employer Branding</v>
      </c>
      <c r="I102" s="106" t="str">
        <f ca="1">IFERROR(__xludf.DUMMYFUNCTION("INDEX(FILTER($P102:$AL102, $P102:$AL102 &lt;&gt; """"), 3)"),"SPORTS ANALYTICS (A)")</f>
        <v>SPORTS ANALYTICS (A)</v>
      </c>
      <c r="J102" s="106" t="str">
        <f ca="1">IFERROR(__xludf.DUMMYFUNCTION("IFERROR(INDEX(FILTER($P102:$AL102, $P102:$AL102 &lt;&gt; """"), 4),)"),"")</f>
        <v/>
      </c>
      <c r="K102" s="106" t="str">
        <f ca="1">IFERROR(__xludf.DUMMYFUNCTION("IFERROR(INDEX(FILTER($P102:$AL102, $P102:$AL102 &lt;&gt; """"), 5),)"),"")</f>
        <v/>
      </c>
      <c r="L102" s="107"/>
      <c r="M102" s="107"/>
      <c r="N102" s="107"/>
      <c r="O102" s="107"/>
      <c r="P102" s="132" t="str">
        <f>IF(COUNTIF('Fintech-A'!$A:$A, $C102), P$1, "")</f>
        <v/>
      </c>
      <c r="Q102" s="132" t="str">
        <f>IF(COUNTIF('Fintech-B'!$A:$A, $C102), Q$1, "")</f>
        <v/>
      </c>
      <c r="R102" s="132" t="str">
        <f>IF(COUNTIF('BEDM-A'!$A:$A, $C102), R$1, "")</f>
        <v/>
      </c>
      <c r="S102" s="132" t="str">
        <f>IF(COUNTIF('BEDM-B'!$A:$A, $C102), S$1, "")</f>
        <v>Behavioural Economics and Decision-Making (B)</v>
      </c>
      <c r="T102" s="132" t="str">
        <f>IF(COUNTIF('Art-A'!$A:$A, $C102), T$1, "")</f>
        <v/>
      </c>
      <c r="U102" s="132" t="str">
        <f>IF(COUNTIF('Art-B'!$A:$A, $C102), U$1, "")</f>
        <v/>
      </c>
      <c r="V102" s="132" t="str">
        <f>IF(COUNTIF('WH-A'!$A:$A, $C102), V$1, "")</f>
        <v/>
      </c>
      <c r="W102" s="132" t="str">
        <f>IF(COUNTIF('WH-B'!$A:$A, $C102), W$1, "")</f>
        <v/>
      </c>
      <c r="X102" s="132" t="str">
        <f>IF(COUNTIF(LETV!$A:$A, $C102), X$1, "")</f>
        <v/>
      </c>
      <c r="Y102" s="132" t="str">
        <f>IF(COUNTIF('Film&amp;Firm-A'!$A:$A, $C102), Y$1, "")</f>
        <v/>
      </c>
      <c r="Z102" s="132" t="str">
        <f>IF(COUNTIF('Film&amp;Firm-B'!$A:$A, $C102), Z$1, "")</f>
        <v/>
      </c>
      <c r="AA102" s="132" t="str">
        <f>IF(COUNTIF(SHRM!$A:$A, $C102), AA$1, "")</f>
        <v/>
      </c>
      <c r="AB102" s="132" t="str">
        <f>IF(COUNTIF('SCM-A'!$A:$A, $C102), AB$1, "")</f>
        <v/>
      </c>
      <c r="AC102" s="132" t="str">
        <f>IF(COUNTIF('SCM-B'!$A:$A, $C102), AC$1, "")</f>
        <v/>
      </c>
      <c r="AD102" s="132" t="str">
        <f>IF(COUNTIF(AIS!$A:$A, $C102), AD$1, "")</f>
        <v/>
      </c>
      <c r="AE102" s="132" t="str">
        <f>IF(COUNTIF(EB!$A:$A, $C102), AE$1, "")</f>
        <v>Employer Branding</v>
      </c>
      <c r="AF102" s="132" t="str">
        <f>IF(COUNTIF('AIAM-A'!$A:$A, $C102), AF$1, "")</f>
        <v/>
      </c>
      <c r="AG102" s="132" t="str">
        <f>IF(COUNTIF('AIAM-B'!$A:$A, $C102), AG$1, "")</f>
        <v/>
      </c>
      <c r="AH102" s="132" t="str">
        <f>IF(COUNTIF('SA-A'!$A:$A, $C102), AH$1, "")</f>
        <v>SPORTS ANALYTICS (A)</v>
      </c>
      <c r="AI102" s="132" t="str">
        <f>IF(COUNTIF('SA-B'!$A:$A, $C102), AI$1, "")</f>
        <v/>
      </c>
      <c r="AJ102" s="132" t="str">
        <f>IF(COUNTIF(CSM!$A:$A, $C102), AJ$1, "")</f>
        <v/>
      </c>
      <c r="AK102" s="132" t="str">
        <f>IF(COUNTIF(EM!$A:$A, $C102), AK$1, "")</f>
        <v/>
      </c>
      <c r="AL102" s="132" t="str">
        <f>IF(COUNTIF(I4TS!$A:$A, $C102), AL$1, "")</f>
        <v/>
      </c>
    </row>
    <row r="103" spans="1:38" ht="13">
      <c r="A103" s="131">
        <v>102</v>
      </c>
      <c r="B103" s="131" t="s">
        <v>557</v>
      </c>
      <c r="C103" s="134" t="s">
        <v>264</v>
      </c>
      <c r="D103" s="135" t="s">
        <v>651</v>
      </c>
      <c r="E103" s="135" t="s">
        <v>652</v>
      </c>
      <c r="F103" s="131">
        <f t="shared" ca="1" si="0"/>
        <v>5</v>
      </c>
      <c r="G103" s="106" t="str">
        <f ca="1">IFERROR(__xludf.DUMMYFUNCTION("INDEX(FILTER($P103:$AL103, $P103:$AL103 &lt;&gt; """"), 1)"),"The Art, Craft, and Science of Management: Learning through Classics and Best Collections (A)")</f>
        <v>The Art, Craft, and Science of Management: Learning through Classics and Best Collections (A)</v>
      </c>
      <c r="H103" s="106" t="str">
        <f ca="1">IFERROR(__xludf.DUMMYFUNCTION("INDEX(FILTER($P103:$AL103, $P103:$AL103 &lt;&gt; """"), 2)"),"Strategic Career Management (B)")</f>
        <v>Strategic Career Management (B)</v>
      </c>
      <c r="I103" s="106" t="str">
        <f ca="1">IFERROR(__xludf.DUMMYFUNCTION("INDEX(FILTER($P103:$AL103, $P103:$AL103 &lt;&gt; """"), 3)"),"AI AND  STRATEGY")</f>
        <v>AI AND  STRATEGY</v>
      </c>
      <c r="J103" s="106" t="str">
        <f ca="1">IFERROR(__xludf.DUMMYFUNCTION("IFERROR(INDEX(FILTER($P103:$AL103, $P103:$AL103 &lt;&gt; """"), 4),)"),"Customer Success Management")</f>
        <v>Customer Success Management</v>
      </c>
      <c r="K103" s="106" t="str">
        <f ca="1">IFERROR(__xludf.DUMMYFUNCTION("IFERROR(INDEX(FILTER($P103:$AL103, $P103:$AL103 &lt;&gt; """"), 5),)"),"Entrepreneurial Marketing")</f>
        <v>Entrepreneurial Marketing</v>
      </c>
      <c r="L103" s="107"/>
      <c r="M103" s="107"/>
      <c r="N103" s="107"/>
      <c r="O103" s="107"/>
      <c r="P103" s="132" t="str">
        <f>IF(COUNTIF('Fintech-A'!$A:$A, $C103), P$1, "")</f>
        <v/>
      </c>
      <c r="Q103" s="132" t="str">
        <f>IF(COUNTIF('Fintech-B'!$A:$A, $C103), Q$1, "")</f>
        <v/>
      </c>
      <c r="R103" s="132" t="str">
        <f>IF(COUNTIF('BEDM-A'!$A:$A, $C103), R$1, "")</f>
        <v/>
      </c>
      <c r="S103" s="132" t="str">
        <f>IF(COUNTIF('BEDM-B'!$A:$A, $C103), S$1, "")</f>
        <v/>
      </c>
      <c r="T103" s="132" t="str">
        <f>IF(COUNTIF('Art-A'!$A:$A, $C103), T$1, "")</f>
        <v>The Art, Craft, and Science of Management: Learning through Classics and Best Collections (A)</v>
      </c>
      <c r="U103" s="132" t="str">
        <f>IF(COUNTIF('Art-B'!$A:$A, $C103), U$1, "")</f>
        <v/>
      </c>
      <c r="V103" s="132" t="str">
        <f>IF(COUNTIF('WH-A'!$A:$A, $C103), V$1, "")</f>
        <v/>
      </c>
      <c r="W103" s="132" t="str">
        <f>IF(COUNTIF('WH-B'!$A:$A, $C103), W$1, "")</f>
        <v/>
      </c>
      <c r="X103" s="132" t="str">
        <f>IF(COUNTIF(LETV!$A:$A, $C103), X$1, "")</f>
        <v/>
      </c>
      <c r="Y103" s="132" t="str">
        <f>IF(COUNTIF('Film&amp;Firm-A'!$A:$A, $C103), Y$1, "")</f>
        <v/>
      </c>
      <c r="Z103" s="132" t="str">
        <f>IF(COUNTIF('Film&amp;Firm-B'!$A:$A, $C103), Z$1, "")</f>
        <v/>
      </c>
      <c r="AA103" s="132" t="str">
        <f>IF(COUNTIF(SHRM!$A:$A, $C103), AA$1, "")</f>
        <v/>
      </c>
      <c r="AB103" s="132" t="str">
        <f>IF(COUNTIF('SCM-A'!$A:$A, $C103), AB$1, "")</f>
        <v/>
      </c>
      <c r="AC103" s="132" t="str">
        <f>IF(COUNTIF('SCM-B'!$A:$A, $C103), AC$1, "")</f>
        <v>Strategic Career Management (B)</v>
      </c>
      <c r="AD103" s="132" t="str">
        <f>IF(COUNTIF(AIS!$A:$A, $C103), AD$1, "")</f>
        <v>AI AND  STRATEGY</v>
      </c>
      <c r="AE103" s="132" t="str">
        <f>IF(COUNTIF(EB!$A:$A, $C103), AE$1, "")</f>
        <v/>
      </c>
      <c r="AF103" s="132" t="str">
        <f>IF(COUNTIF('AIAM-A'!$A:$A, $C103), AF$1, "")</f>
        <v/>
      </c>
      <c r="AG103" s="132" t="str">
        <f>IF(COUNTIF('AIAM-B'!$A:$A, $C103), AG$1, "")</f>
        <v/>
      </c>
      <c r="AH103" s="132" t="str">
        <f>IF(COUNTIF('SA-A'!$A:$A, $C103), AH$1, "")</f>
        <v/>
      </c>
      <c r="AI103" s="132" t="str">
        <f>IF(COUNTIF('SA-B'!$A:$A, $C103), AI$1, "")</f>
        <v/>
      </c>
      <c r="AJ103" s="132" t="str">
        <f>IF(COUNTIF(CSM!$A:$A, $C103), AJ$1, "")</f>
        <v>Customer Success Management</v>
      </c>
      <c r="AK103" s="132" t="str">
        <f>IF(COUNTIF(EM!$A:$A, $C103), AK$1, "")</f>
        <v>Entrepreneurial Marketing</v>
      </c>
      <c r="AL103" s="132" t="str">
        <f>IF(COUNTIF(I4TS!$A:$A, $C103), AL$1, "")</f>
        <v/>
      </c>
    </row>
    <row r="104" spans="1:38" ht="13">
      <c r="A104" s="131">
        <v>103</v>
      </c>
      <c r="B104" s="131" t="s">
        <v>557</v>
      </c>
      <c r="C104" s="134" t="s">
        <v>653</v>
      </c>
      <c r="D104" s="135" t="s">
        <v>654</v>
      </c>
      <c r="E104" s="135" t="s">
        <v>655</v>
      </c>
      <c r="F104" s="131">
        <f t="shared" ca="1" si="0"/>
        <v>5</v>
      </c>
      <c r="G104" s="106" t="str">
        <f ca="1">IFERROR(__xludf.DUMMYFUNCTION("INDEX(FILTER($P104:$AL104, $P104:$AL104 &lt;&gt; """"), 1)"),"Fintech (Digital Transformation in Finance) (B)")</f>
        <v>Fintech (Digital Transformation in Finance) (B)</v>
      </c>
      <c r="H104" s="106" t="str">
        <f ca="1">IFERROR(__xludf.DUMMYFUNCTION("INDEX(FILTER($P104:$AL104, $P104:$AL104 &lt;&gt; """"), 2)"),"Behavioural Economics and Decision-Making (B)")</f>
        <v>Behavioural Economics and Decision-Making (B)</v>
      </c>
      <c r="I104" s="106" t="str">
        <f ca="1">IFERROR(__xludf.DUMMYFUNCTION("INDEX(FILTER($P104:$AL104, $P104:$AL104 &lt;&gt; """"), 3)"),"AI Applications in Marketing (B)")</f>
        <v>AI Applications in Marketing (B)</v>
      </c>
      <c r="J104" s="106" t="str">
        <f ca="1">IFERROR(__xludf.DUMMYFUNCTION("IFERROR(INDEX(FILTER($P104:$AL104, $P104:$AL104 &lt;&gt; """"), 4),)"),"SPORTS ANALYTICS (B)")</f>
        <v>SPORTS ANALYTICS (B)</v>
      </c>
      <c r="K104" s="106" t="str">
        <f ca="1">IFERROR(__xludf.DUMMYFUNCTION("IFERROR(INDEX(FILTER($P104:$AL104, $P104:$AL104 &lt;&gt; """"), 5),)"),"Industry 4.0 in Transport Sector")</f>
        <v>Industry 4.0 in Transport Sector</v>
      </c>
      <c r="L104" s="107"/>
      <c r="M104" s="107"/>
      <c r="N104" s="107"/>
      <c r="O104" s="107"/>
      <c r="P104" s="132" t="str">
        <f>IF(COUNTIF('Fintech-A'!$A:$A, $C104), P$1, "")</f>
        <v/>
      </c>
      <c r="Q104" s="132" t="str">
        <f>IF(COUNTIF('Fintech-B'!$A:$A, $C104), Q$1, "")</f>
        <v>Fintech (Digital Transformation in Finance) (B)</v>
      </c>
      <c r="R104" s="132" t="str">
        <f>IF(COUNTIF('BEDM-A'!$A:$A, $C104), R$1, "")</f>
        <v/>
      </c>
      <c r="S104" s="132" t="str">
        <f>IF(COUNTIF('BEDM-B'!$A:$A, $C104), S$1, "")</f>
        <v>Behavioural Economics and Decision-Making (B)</v>
      </c>
      <c r="T104" s="132" t="str">
        <f>IF(COUNTIF('Art-A'!$A:$A, $C104), T$1, "")</f>
        <v/>
      </c>
      <c r="U104" s="132" t="str">
        <f>IF(COUNTIF('Art-B'!$A:$A, $C104), U$1, "")</f>
        <v/>
      </c>
      <c r="V104" s="132" t="str">
        <f>IF(COUNTIF('WH-A'!$A:$A, $C104), V$1, "")</f>
        <v/>
      </c>
      <c r="W104" s="132" t="str">
        <f>IF(COUNTIF('WH-B'!$A:$A, $C104), W$1, "")</f>
        <v/>
      </c>
      <c r="X104" s="132" t="str">
        <f>IF(COUNTIF(LETV!$A:$A, $C104), X$1, "")</f>
        <v/>
      </c>
      <c r="Y104" s="132" t="str">
        <f>IF(COUNTIF('Film&amp;Firm-A'!$A:$A, $C104), Y$1, "")</f>
        <v/>
      </c>
      <c r="Z104" s="132" t="str">
        <f>IF(COUNTIF('Film&amp;Firm-B'!$A:$A, $C104), Z$1, "")</f>
        <v/>
      </c>
      <c r="AA104" s="132" t="str">
        <f>IF(COUNTIF(SHRM!$A:$A, $C104), AA$1, "")</f>
        <v/>
      </c>
      <c r="AB104" s="132" t="str">
        <f>IF(COUNTIF('SCM-A'!$A:$A, $C104), AB$1, "")</f>
        <v/>
      </c>
      <c r="AC104" s="132" t="str">
        <f>IF(COUNTIF('SCM-B'!$A:$A, $C104), AC$1, "")</f>
        <v/>
      </c>
      <c r="AD104" s="132" t="str">
        <f>IF(COUNTIF(AIS!$A:$A, $C104), AD$1, "")</f>
        <v/>
      </c>
      <c r="AE104" s="132" t="str">
        <f>IF(COUNTIF(EB!$A:$A, $C104), AE$1, "")</f>
        <v/>
      </c>
      <c r="AF104" s="132" t="str">
        <f>IF(COUNTIF('AIAM-A'!$A:$A, $C104), AF$1, "")</f>
        <v/>
      </c>
      <c r="AG104" s="132" t="str">
        <f>IF(COUNTIF('AIAM-B'!$A:$A, $C104), AG$1, "")</f>
        <v>AI Applications in Marketing (B)</v>
      </c>
      <c r="AH104" s="132" t="str">
        <f>IF(COUNTIF('SA-A'!$A:$A, $C104), AH$1, "")</f>
        <v/>
      </c>
      <c r="AI104" s="132" t="str">
        <f>IF(COUNTIF('SA-B'!$A:$A, $C104), AI$1, "")</f>
        <v>SPORTS ANALYTICS (B)</v>
      </c>
      <c r="AJ104" s="132" t="str">
        <f>IF(COUNTIF(CSM!$A:$A, $C104), AJ$1, "")</f>
        <v/>
      </c>
      <c r="AK104" s="132" t="str">
        <f>IF(COUNTIF(EM!$A:$A, $C104), AK$1, "")</f>
        <v/>
      </c>
      <c r="AL104" s="132" t="str">
        <f>IF(COUNTIF(I4TS!$A:$A, $C104), AL$1, "")</f>
        <v>Industry 4.0 in Transport Sector</v>
      </c>
    </row>
    <row r="105" spans="1:38" ht="13">
      <c r="A105" s="131">
        <v>104</v>
      </c>
      <c r="B105" s="131" t="s">
        <v>557</v>
      </c>
      <c r="C105" s="134" t="s">
        <v>656</v>
      </c>
      <c r="D105" s="135" t="s">
        <v>657</v>
      </c>
      <c r="E105" s="135" t="s">
        <v>658</v>
      </c>
      <c r="F105" s="131">
        <f t="shared" ca="1" si="0"/>
        <v>5</v>
      </c>
      <c r="G105" s="106" t="str">
        <f ca="1">IFERROR(__xludf.DUMMYFUNCTION("INDEX(FILTER($P105:$AL105, $P105:$AL105 &lt;&gt; """"), 1)"),"The Art, Craft, and Science of Management: Learning through Classics and Best Collections (B)")</f>
        <v>The Art, Craft, and Science of Management: Learning through Classics and Best Collections (B)</v>
      </c>
      <c r="H105" s="106" t="str">
        <f ca="1">IFERROR(__xludf.DUMMYFUNCTION("INDEX(FILTER($P105:$AL105, $P105:$AL105 &lt;&gt; """"), 2)"),"Leadership Excellence Through Values : Wisdom from the Mahabharata")</f>
        <v>Leadership Excellence Through Values : Wisdom from the Mahabharata</v>
      </c>
      <c r="I105" s="106" t="str">
        <f ca="1">IFERROR(__xludf.DUMMYFUNCTION("INDEX(FILTER($P105:$AL105, $P105:$AL105 &lt;&gt; """"), 3)"),"Strategic HRM")</f>
        <v>Strategic HRM</v>
      </c>
      <c r="J105" s="106" t="str">
        <f ca="1">IFERROR(__xludf.DUMMYFUNCTION("IFERROR(INDEX(FILTER($P105:$AL105, $P105:$AL105 &lt;&gt; """"), 4),)"),"")</f>
        <v/>
      </c>
      <c r="K105" s="106" t="str">
        <f ca="1">IFERROR(__xludf.DUMMYFUNCTION("IFERROR(INDEX(FILTER($P105:$AL105, $P105:$AL105 &lt;&gt; """"), 5),)"),"")</f>
        <v/>
      </c>
      <c r="L105" s="107"/>
      <c r="M105" s="107"/>
      <c r="N105" s="107"/>
      <c r="O105" s="107"/>
      <c r="P105" s="132" t="str">
        <f>IF(COUNTIF('Fintech-A'!$A:$A, $C105), P$1, "")</f>
        <v/>
      </c>
      <c r="Q105" s="132" t="str">
        <f>IF(COUNTIF('Fintech-B'!$A:$A, $C105), Q$1, "")</f>
        <v/>
      </c>
      <c r="R105" s="132" t="str">
        <f>IF(COUNTIF('BEDM-A'!$A:$A, $C105), R$1, "")</f>
        <v/>
      </c>
      <c r="S105" s="132" t="str">
        <f>IF(COUNTIF('BEDM-B'!$A:$A, $C105), S$1, "")</f>
        <v/>
      </c>
      <c r="T105" s="132" t="str">
        <f>IF(COUNTIF('Art-A'!$A:$A, $C105), T$1, "")</f>
        <v/>
      </c>
      <c r="U105" s="132" t="str">
        <f>IF(COUNTIF('Art-B'!$A:$A, $C105), U$1, "")</f>
        <v>The Art, Craft, and Science of Management: Learning through Classics and Best Collections (B)</v>
      </c>
      <c r="V105" s="132" t="str">
        <f>IF(COUNTIF('WH-A'!$A:$A, $C105), V$1, "")</f>
        <v/>
      </c>
      <c r="W105" s="132" t="str">
        <f>IF(COUNTIF('WH-B'!$A:$A, $C105), W$1, "")</f>
        <v/>
      </c>
      <c r="X105" s="132" t="str">
        <f>IF(COUNTIF(LETV!$A:$A, $C105), X$1, "")</f>
        <v>Leadership Excellence Through Values : Wisdom from the Mahabharata</v>
      </c>
      <c r="Y105" s="132" t="str">
        <f>IF(COUNTIF('Film&amp;Firm-A'!$A:$A, $C105), Y$1, "")</f>
        <v/>
      </c>
      <c r="Z105" s="132" t="str">
        <f>IF(COUNTIF('Film&amp;Firm-B'!$A:$A, $C105), Z$1, "")</f>
        <v/>
      </c>
      <c r="AA105" s="132" t="str">
        <f>IF(COUNTIF(SHRM!$A:$A, $C105), AA$1, "")</f>
        <v>Strategic HRM</v>
      </c>
      <c r="AB105" s="132" t="str">
        <f>IF(COUNTIF('SCM-A'!$A:$A, $C105), AB$1, "")</f>
        <v/>
      </c>
      <c r="AC105" s="132" t="str">
        <f>IF(COUNTIF('SCM-B'!$A:$A, $C105), AC$1, "")</f>
        <v/>
      </c>
      <c r="AD105" s="132" t="str">
        <f>IF(COUNTIF(AIS!$A:$A, $C105), AD$1, "")</f>
        <v/>
      </c>
      <c r="AE105" s="132" t="str">
        <f>IF(COUNTIF(EB!$A:$A, $C105), AE$1, "")</f>
        <v/>
      </c>
      <c r="AF105" s="132" t="str">
        <f>IF(COUNTIF('AIAM-A'!$A:$A, $C105), AF$1, "")</f>
        <v/>
      </c>
      <c r="AG105" s="132" t="str">
        <f>IF(COUNTIF('AIAM-B'!$A:$A, $C105), AG$1, "")</f>
        <v/>
      </c>
      <c r="AH105" s="132" t="str">
        <f>IF(COUNTIF('SA-A'!$A:$A, $C105), AH$1, "")</f>
        <v/>
      </c>
      <c r="AI105" s="132" t="str">
        <f>IF(COUNTIF('SA-B'!$A:$A, $C105), AI$1, "")</f>
        <v/>
      </c>
      <c r="AJ105" s="132" t="str">
        <f>IF(COUNTIF(CSM!$A:$A, $C105), AJ$1, "")</f>
        <v/>
      </c>
      <c r="AK105" s="132" t="str">
        <f>IF(COUNTIF(EM!$A:$A, $C105), AK$1, "")</f>
        <v/>
      </c>
      <c r="AL105" s="132" t="str">
        <f>IF(COUNTIF(I4TS!$A:$A, $C105), AL$1, "")</f>
        <v/>
      </c>
    </row>
    <row r="106" spans="1:38" ht="13">
      <c r="A106" s="131">
        <v>105</v>
      </c>
      <c r="B106" s="131" t="s">
        <v>557</v>
      </c>
      <c r="C106" s="134" t="s">
        <v>659</v>
      </c>
      <c r="D106" s="135" t="s">
        <v>660</v>
      </c>
      <c r="E106" s="135" t="s">
        <v>661</v>
      </c>
      <c r="F106" s="131">
        <f t="shared" ca="1" si="0"/>
        <v>5</v>
      </c>
      <c r="G106" s="106" t="str">
        <f ca="1">IFERROR(__xludf.DUMMYFUNCTION("INDEX(FILTER($P106:$AL106, $P106:$AL106 &lt;&gt; """"), 1)"),"Fintech (Digital Transformation in Finance) (B)")</f>
        <v>Fintech (Digital Transformation in Finance) (B)</v>
      </c>
      <c r="H106" s="106" t="str">
        <f ca="1">IFERROR(__xludf.DUMMYFUNCTION("INDEX(FILTER($P106:$AL106, $P106:$AL106 &lt;&gt; """"), 2)"),"Film &amp; the Firm: Visual Culture in Business Contexts (B)")</f>
        <v>Film &amp; the Firm: Visual Culture in Business Contexts (B)</v>
      </c>
      <c r="I106" s="106" t="str">
        <f ca="1">IFERROR(__xludf.DUMMYFUNCTION("INDEX(FILTER($P106:$AL106, $P106:$AL106 &lt;&gt; """"), 3)"),"Strategic Career Management (A)")</f>
        <v>Strategic Career Management (A)</v>
      </c>
      <c r="J106" s="106" t="str">
        <f ca="1">IFERROR(__xludf.DUMMYFUNCTION("IFERROR(INDEX(FILTER($P106:$AL106, $P106:$AL106 &lt;&gt; """"), 4),)"),"")</f>
        <v/>
      </c>
      <c r="K106" s="106" t="str">
        <f ca="1">IFERROR(__xludf.DUMMYFUNCTION("IFERROR(INDEX(FILTER($P106:$AL106, $P106:$AL106 &lt;&gt; """"), 5),)"),"")</f>
        <v/>
      </c>
      <c r="L106" s="107"/>
      <c r="M106" s="107"/>
      <c r="N106" s="107"/>
      <c r="O106" s="107"/>
      <c r="P106" s="132" t="str">
        <f>IF(COUNTIF('Fintech-A'!$A:$A, $C106), P$1, "")</f>
        <v/>
      </c>
      <c r="Q106" s="132" t="str">
        <f>IF(COUNTIF('Fintech-B'!$A:$A, $C106), Q$1, "")</f>
        <v>Fintech (Digital Transformation in Finance) (B)</v>
      </c>
      <c r="R106" s="132" t="str">
        <f>IF(COUNTIF('BEDM-A'!$A:$A, $C106), R$1, "")</f>
        <v/>
      </c>
      <c r="S106" s="132" t="str">
        <f>IF(COUNTIF('BEDM-B'!$A:$A, $C106), S$1, "")</f>
        <v/>
      </c>
      <c r="T106" s="132" t="str">
        <f>IF(COUNTIF('Art-A'!$A:$A, $C106), T$1, "")</f>
        <v/>
      </c>
      <c r="U106" s="132" t="str">
        <f>IF(COUNTIF('Art-B'!$A:$A, $C106), U$1, "")</f>
        <v/>
      </c>
      <c r="V106" s="132" t="str">
        <f>IF(COUNTIF('WH-A'!$A:$A, $C106), V$1, "")</f>
        <v/>
      </c>
      <c r="W106" s="132" t="str">
        <f>IF(COUNTIF('WH-B'!$A:$A, $C106), W$1, "")</f>
        <v/>
      </c>
      <c r="X106" s="132" t="str">
        <f>IF(COUNTIF(LETV!$A:$A, $C106), X$1, "")</f>
        <v/>
      </c>
      <c r="Y106" s="132" t="str">
        <f>IF(COUNTIF('Film&amp;Firm-A'!$A:$A, $C106), Y$1, "")</f>
        <v/>
      </c>
      <c r="Z106" s="132" t="str">
        <f>IF(COUNTIF('Film&amp;Firm-B'!$A:$A, $C106), Z$1, "")</f>
        <v>Film &amp; the Firm: Visual Culture in Business Contexts (B)</v>
      </c>
      <c r="AA106" s="132" t="str">
        <f>IF(COUNTIF(SHRM!$A:$A, $C106), AA$1, "")</f>
        <v/>
      </c>
      <c r="AB106" s="132" t="str">
        <f>IF(COUNTIF('SCM-A'!$A:$A, $C106), AB$1, "")</f>
        <v>Strategic Career Management (A)</v>
      </c>
      <c r="AC106" s="132" t="str">
        <f>IF(COUNTIF('SCM-B'!$A:$A, $C106), AC$1, "")</f>
        <v/>
      </c>
      <c r="AD106" s="132" t="str">
        <f>IF(COUNTIF(AIS!$A:$A, $C106), AD$1, "")</f>
        <v/>
      </c>
      <c r="AE106" s="132" t="str">
        <f>IF(COUNTIF(EB!$A:$A, $C106), AE$1, "")</f>
        <v/>
      </c>
      <c r="AF106" s="132" t="str">
        <f>IF(COUNTIF('AIAM-A'!$A:$A, $C106), AF$1, "")</f>
        <v/>
      </c>
      <c r="AG106" s="132" t="str">
        <f>IF(COUNTIF('AIAM-B'!$A:$A, $C106), AG$1, "")</f>
        <v/>
      </c>
      <c r="AH106" s="132" t="str">
        <f>IF(COUNTIF('SA-A'!$A:$A, $C106), AH$1, "")</f>
        <v/>
      </c>
      <c r="AI106" s="132" t="str">
        <f>IF(COUNTIF('SA-B'!$A:$A, $C106), AI$1, "")</f>
        <v/>
      </c>
      <c r="AJ106" s="132" t="str">
        <f>IF(COUNTIF(CSM!$A:$A, $C106), AJ$1, "")</f>
        <v/>
      </c>
      <c r="AK106" s="132" t="str">
        <f>IF(COUNTIF(EM!$A:$A, $C106), AK$1, "")</f>
        <v/>
      </c>
      <c r="AL106" s="132" t="str">
        <f>IF(COUNTIF(I4TS!$A:$A, $C106), AL$1, "")</f>
        <v/>
      </c>
    </row>
    <row r="107" spans="1:38" ht="13">
      <c r="A107" s="131">
        <v>106</v>
      </c>
      <c r="B107" s="131" t="s">
        <v>557</v>
      </c>
      <c r="C107" s="134" t="s">
        <v>662</v>
      </c>
      <c r="D107" s="135" t="s">
        <v>663</v>
      </c>
      <c r="E107" s="135" t="s">
        <v>664</v>
      </c>
      <c r="F107" s="131">
        <f t="shared" ca="1" si="0"/>
        <v>5</v>
      </c>
      <c r="G107" s="106" t="str">
        <f ca="1">IFERROR(__xludf.DUMMYFUNCTION("INDEX(FILTER($P107:$AL107, $P107:$AL107 &lt;&gt; """"), 1)"),"The Art, Craft, and Science of Management: Learning through Classics and Best Collections (A)")</f>
        <v>The Art, Craft, and Science of Management: Learning through Classics and Best Collections (A)</v>
      </c>
      <c r="H107" s="106" t="str">
        <f ca="1">IFERROR(__xludf.DUMMYFUNCTION("INDEX(FILTER($P107:$AL107, $P107:$AL107 &lt;&gt; """"), 2)"),"Workplace Happiness: Science &amp; Practice (A)")</f>
        <v>Workplace Happiness: Science &amp; Practice (A)</v>
      </c>
      <c r="I107" s="106" t="str">
        <f ca="1">IFERROR(__xludf.DUMMYFUNCTION("INDEX(FILTER($P107:$AL107, $P107:$AL107 &lt;&gt; """"), 3)"),"Leadership Excellence Through Values : Wisdom from the Mahabharata")</f>
        <v>Leadership Excellence Through Values : Wisdom from the Mahabharata</v>
      </c>
      <c r="J107" s="106" t="str">
        <f ca="1">IFERROR(__xludf.DUMMYFUNCTION("IFERROR(INDEX(FILTER($P107:$AL107, $P107:$AL107 &lt;&gt; """"), 4),)"),"Film &amp; the Firm: Visual Culture in Business Contexts (A)")</f>
        <v>Film &amp; the Firm: Visual Culture in Business Contexts (A)</v>
      </c>
      <c r="K107" s="106" t="str">
        <f ca="1">IFERROR(__xludf.DUMMYFUNCTION("IFERROR(INDEX(FILTER($P107:$AL107, $P107:$AL107 &lt;&gt; """"), 5),)"),"SPORTS ANALYTICS (A)")</f>
        <v>SPORTS ANALYTICS (A)</v>
      </c>
      <c r="L107" s="107"/>
      <c r="M107" s="107"/>
      <c r="N107" s="107"/>
      <c r="O107" s="107"/>
      <c r="P107" s="132" t="str">
        <f>IF(COUNTIF('Fintech-A'!$A:$A, $C107), P$1, "")</f>
        <v/>
      </c>
      <c r="Q107" s="132" t="str">
        <f>IF(COUNTIF('Fintech-B'!$A:$A, $C107), Q$1, "")</f>
        <v/>
      </c>
      <c r="R107" s="132" t="str">
        <f>IF(COUNTIF('BEDM-A'!$A:$A, $C107), R$1, "")</f>
        <v/>
      </c>
      <c r="S107" s="132" t="str">
        <f>IF(COUNTIF('BEDM-B'!$A:$A, $C107), S$1, "")</f>
        <v/>
      </c>
      <c r="T107" s="132" t="str">
        <f>IF(COUNTIF('Art-A'!$A:$A, $C107), T$1, "")</f>
        <v>The Art, Craft, and Science of Management: Learning through Classics and Best Collections (A)</v>
      </c>
      <c r="U107" s="132" t="str">
        <f>IF(COUNTIF('Art-B'!$A:$A, $C107), U$1, "")</f>
        <v/>
      </c>
      <c r="V107" s="132" t="str">
        <f>IF(COUNTIF('WH-A'!$A:$A, $C107), V$1, "")</f>
        <v>Workplace Happiness: Science &amp; Practice (A)</v>
      </c>
      <c r="W107" s="132" t="str">
        <f>IF(COUNTIF('WH-B'!$A:$A, $C107), W$1, "")</f>
        <v/>
      </c>
      <c r="X107" s="132" t="str">
        <f>IF(COUNTIF(LETV!$A:$A, $C107), X$1, "")</f>
        <v>Leadership Excellence Through Values : Wisdom from the Mahabharata</v>
      </c>
      <c r="Y107" s="132" t="str">
        <f>IF(COUNTIF('Film&amp;Firm-A'!$A:$A, $C107), Y$1, "")</f>
        <v>Film &amp; the Firm: Visual Culture in Business Contexts (A)</v>
      </c>
      <c r="Z107" s="132" t="str">
        <f>IF(COUNTIF('Film&amp;Firm-B'!$A:$A, $C107), Z$1, "")</f>
        <v/>
      </c>
      <c r="AA107" s="132" t="str">
        <f>IF(COUNTIF(SHRM!$A:$A, $C107), AA$1, "")</f>
        <v/>
      </c>
      <c r="AB107" s="132" t="str">
        <f>IF(COUNTIF('SCM-A'!$A:$A, $C107), AB$1, "")</f>
        <v/>
      </c>
      <c r="AC107" s="132" t="str">
        <f>IF(COUNTIF('SCM-B'!$A:$A, $C107), AC$1, "")</f>
        <v/>
      </c>
      <c r="AD107" s="132" t="str">
        <f>IF(COUNTIF(AIS!$A:$A, $C107), AD$1, "")</f>
        <v/>
      </c>
      <c r="AE107" s="132" t="str">
        <f>IF(COUNTIF(EB!$A:$A, $C107), AE$1, "")</f>
        <v/>
      </c>
      <c r="AF107" s="132" t="str">
        <f>IF(COUNTIF('AIAM-A'!$A:$A, $C107), AF$1, "")</f>
        <v/>
      </c>
      <c r="AG107" s="132" t="str">
        <f>IF(COUNTIF('AIAM-B'!$A:$A, $C107), AG$1, "")</f>
        <v/>
      </c>
      <c r="AH107" s="132" t="str">
        <f>IF(COUNTIF('SA-A'!$A:$A, $C107), AH$1, "")</f>
        <v>SPORTS ANALYTICS (A)</v>
      </c>
      <c r="AI107" s="132" t="str">
        <f>IF(COUNTIF('SA-B'!$A:$A, $C107), AI$1, "")</f>
        <v/>
      </c>
      <c r="AJ107" s="132" t="str">
        <f>IF(COUNTIF(CSM!$A:$A, $C107), AJ$1, "")</f>
        <v/>
      </c>
      <c r="AK107" s="132" t="str">
        <f>IF(COUNTIF(EM!$A:$A, $C107), AK$1, "")</f>
        <v/>
      </c>
      <c r="AL107" s="132" t="str">
        <f>IF(COUNTIF(I4TS!$A:$A, $C107), AL$1, "")</f>
        <v/>
      </c>
    </row>
    <row r="108" spans="1:38" ht="13">
      <c r="A108" s="131">
        <v>107</v>
      </c>
      <c r="B108" s="131" t="s">
        <v>557</v>
      </c>
      <c r="C108" s="134" t="s">
        <v>266</v>
      </c>
      <c r="D108" s="135" t="s">
        <v>665</v>
      </c>
      <c r="E108" s="135" t="s">
        <v>666</v>
      </c>
      <c r="F108" s="131">
        <f t="shared" ca="1" si="0"/>
        <v>5</v>
      </c>
      <c r="G108" s="106" t="str">
        <f ca="1">IFERROR(__xludf.DUMMYFUNCTION("INDEX(FILTER($P108:$AL108, $P108:$AL108 &lt;&gt; """"), 1)"),"Fintech (Digital Transformation in Finance) (B)")</f>
        <v>Fintech (Digital Transformation in Finance) (B)</v>
      </c>
      <c r="H108" s="106" t="str">
        <f ca="1">IFERROR(__xludf.DUMMYFUNCTION("INDEX(FILTER($P108:$AL108, $P108:$AL108 &lt;&gt; """"), 2)"),"AI Applications in Marketing (A)")</f>
        <v>AI Applications in Marketing (A)</v>
      </c>
      <c r="I108" s="106" t="str">
        <f ca="1">IFERROR(__xludf.DUMMYFUNCTION("INDEX(FILTER($P108:$AL108, $P108:$AL108 &lt;&gt; """"), 3)"),"SPORTS ANALYTICS (A)")</f>
        <v>SPORTS ANALYTICS (A)</v>
      </c>
      <c r="J108" s="106" t="str">
        <f ca="1">IFERROR(__xludf.DUMMYFUNCTION("IFERROR(INDEX(FILTER($P108:$AL108, $P108:$AL108 &lt;&gt; """"), 4),)"),"")</f>
        <v/>
      </c>
      <c r="K108" s="106" t="str">
        <f ca="1">IFERROR(__xludf.DUMMYFUNCTION("IFERROR(INDEX(FILTER($P108:$AL108, $P108:$AL108 &lt;&gt; """"), 5),)"),"")</f>
        <v/>
      </c>
      <c r="L108" s="107"/>
      <c r="M108" s="107"/>
      <c r="N108" s="107"/>
      <c r="O108" s="107"/>
      <c r="P108" s="132" t="str">
        <f>IF(COUNTIF('Fintech-A'!$A:$A, $C108), P$1, "")</f>
        <v/>
      </c>
      <c r="Q108" s="132" t="str">
        <f>IF(COUNTIF('Fintech-B'!$A:$A, $C108), Q$1, "")</f>
        <v>Fintech (Digital Transformation in Finance) (B)</v>
      </c>
      <c r="R108" s="132" t="str">
        <f>IF(COUNTIF('BEDM-A'!$A:$A, $C108), R$1, "")</f>
        <v/>
      </c>
      <c r="S108" s="132" t="str">
        <f>IF(COUNTIF('BEDM-B'!$A:$A, $C108), S$1, "")</f>
        <v/>
      </c>
      <c r="T108" s="132" t="str">
        <f>IF(COUNTIF('Art-A'!$A:$A, $C108), T$1, "")</f>
        <v/>
      </c>
      <c r="U108" s="132" t="str">
        <f>IF(COUNTIF('Art-B'!$A:$A, $C108), U$1, "")</f>
        <v/>
      </c>
      <c r="V108" s="132" t="str">
        <f>IF(COUNTIF('WH-A'!$A:$A, $C108), V$1, "")</f>
        <v/>
      </c>
      <c r="W108" s="132" t="str">
        <f>IF(COUNTIF('WH-B'!$A:$A, $C108), W$1, "")</f>
        <v/>
      </c>
      <c r="X108" s="132" t="str">
        <f>IF(COUNTIF(LETV!$A:$A, $C108), X$1, "")</f>
        <v/>
      </c>
      <c r="Y108" s="132" t="str">
        <f>IF(COUNTIF('Film&amp;Firm-A'!$A:$A, $C108), Y$1, "")</f>
        <v/>
      </c>
      <c r="Z108" s="132" t="str">
        <f>IF(COUNTIF('Film&amp;Firm-B'!$A:$A, $C108), Z$1, "")</f>
        <v/>
      </c>
      <c r="AA108" s="132" t="str">
        <f>IF(COUNTIF(SHRM!$A:$A, $C108), AA$1, "")</f>
        <v/>
      </c>
      <c r="AB108" s="132" t="str">
        <f>IF(COUNTIF('SCM-A'!$A:$A, $C108), AB$1, "")</f>
        <v/>
      </c>
      <c r="AC108" s="132" t="str">
        <f>IF(COUNTIF('SCM-B'!$A:$A, $C108), AC$1, "")</f>
        <v/>
      </c>
      <c r="AD108" s="132" t="str">
        <f>IF(COUNTIF(AIS!$A:$A, $C108), AD$1, "")</f>
        <v/>
      </c>
      <c r="AE108" s="132" t="str">
        <f>IF(COUNTIF(EB!$A:$A, $C108), AE$1, "")</f>
        <v/>
      </c>
      <c r="AF108" s="132" t="str">
        <f>IF(COUNTIF('AIAM-A'!$A:$A, $C108), AF$1, "")</f>
        <v>AI Applications in Marketing (A)</v>
      </c>
      <c r="AG108" s="132" t="str">
        <f>IF(COUNTIF('AIAM-B'!$A:$A, $C108), AG$1, "")</f>
        <v/>
      </c>
      <c r="AH108" s="132" t="str">
        <f>IF(COUNTIF('SA-A'!$A:$A, $C108), AH$1, "")</f>
        <v>SPORTS ANALYTICS (A)</v>
      </c>
      <c r="AI108" s="132" t="str">
        <f>IF(COUNTIF('SA-B'!$A:$A, $C108), AI$1, "")</f>
        <v/>
      </c>
      <c r="AJ108" s="132" t="str">
        <f>IF(COUNTIF(CSM!$A:$A, $C108), AJ$1, "")</f>
        <v/>
      </c>
      <c r="AK108" s="132" t="str">
        <f>IF(COUNTIF(EM!$A:$A, $C108), AK$1, "")</f>
        <v/>
      </c>
      <c r="AL108" s="132" t="str">
        <f>IF(COUNTIF(I4TS!$A:$A, $C108), AL$1, "")</f>
        <v/>
      </c>
    </row>
    <row r="109" spans="1:38" ht="13">
      <c r="A109" s="131">
        <v>108</v>
      </c>
      <c r="B109" s="131" t="s">
        <v>557</v>
      </c>
      <c r="C109" s="134" t="s">
        <v>667</v>
      </c>
      <c r="D109" s="135" t="s">
        <v>668</v>
      </c>
      <c r="E109" s="135" t="s">
        <v>669</v>
      </c>
      <c r="F109" s="131">
        <f t="shared" ca="1" si="0"/>
        <v>5</v>
      </c>
      <c r="G109" s="106" t="str">
        <f ca="1">IFERROR(__xludf.DUMMYFUNCTION("INDEX(FILTER($P109:$AL109, $P109:$AL109 &lt;&gt; """"), 1)"),"Workplace Happiness: Science &amp; Practice (A)")</f>
        <v>Workplace Happiness: Science &amp; Practice (A)</v>
      </c>
      <c r="H109" s="106" t="str">
        <f ca="1">IFERROR(__xludf.DUMMYFUNCTION("INDEX(FILTER($P109:$AL109, $P109:$AL109 &lt;&gt; """"), 2)"),"AI AND  STRATEGY")</f>
        <v>AI AND  STRATEGY</v>
      </c>
      <c r="I109" s="106" t="str">
        <f ca="1">IFERROR(__xludf.DUMMYFUNCTION("INDEX(FILTER($P109:$AL109, $P109:$AL109 &lt;&gt; """"), 3)"),"Customer Success Management")</f>
        <v>Customer Success Management</v>
      </c>
      <c r="J109" s="106" t="str">
        <f ca="1">IFERROR(__xludf.DUMMYFUNCTION("IFERROR(INDEX(FILTER($P109:$AL109, $P109:$AL109 &lt;&gt; """"), 4),)"),"")</f>
        <v/>
      </c>
      <c r="K109" s="106" t="str">
        <f ca="1">IFERROR(__xludf.DUMMYFUNCTION("IFERROR(INDEX(FILTER($P109:$AL109, $P109:$AL109 &lt;&gt; """"), 5),)"),"")</f>
        <v/>
      </c>
      <c r="L109" s="107"/>
      <c r="M109" s="107"/>
      <c r="N109" s="107"/>
      <c r="O109" s="107"/>
      <c r="P109" s="132" t="str">
        <f>IF(COUNTIF('Fintech-A'!$A:$A, $C109), P$1, "")</f>
        <v/>
      </c>
      <c r="Q109" s="132" t="str">
        <f>IF(COUNTIF('Fintech-B'!$A:$A, $C109), Q$1, "")</f>
        <v/>
      </c>
      <c r="R109" s="132" t="str">
        <f>IF(COUNTIF('BEDM-A'!$A:$A, $C109), R$1, "")</f>
        <v/>
      </c>
      <c r="S109" s="132" t="str">
        <f>IF(COUNTIF('BEDM-B'!$A:$A, $C109), S$1, "")</f>
        <v/>
      </c>
      <c r="T109" s="132" t="str">
        <f>IF(COUNTIF('Art-A'!$A:$A, $C109), T$1, "")</f>
        <v/>
      </c>
      <c r="U109" s="132" t="str">
        <f>IF(COUNTIF('Art-B'!$A:$A, $C109), U$1, "")</f>
        <v/>
      </c>
      <c r="V109" s="132" t="str">
        <f>IF(COUNTIF('WH-A'!$A:$A, $C109), V$1, "")</f>
        <v>Workplace Happiness: Science &amp; Practice (A)</v>
      </c>
      <c r="W109" s="132" t="str">
        <f>IF(COUNTIF('WH-B'!$A:$A, $C109), W$1, "")</f>
        <v/>
      </c>
      <c r="X109" s="132" t="str">
        <f>IF(COUNTIF(LETV!$A:$A, $C109), X$1, "")</f>
        <v/>
      </c>
      <c r="Y109" s="132" t="str">
        <f>IF(COUNTIF('Film&amp;Firm-A'!$A:$A, $C109), Y$1, "")</f>
        <v/>
      </c>
      <c r="Z109" s="132" t="str">
        <f>IF(COUNTIF('Film&amp;Firm-B'!$A:$A, $C109), Z$1, "")</f>
        <v/>
      </c>
      <c r="AA109" s="132" t="str">
        <f>IF(COUNTIF(SHRM!$A:$A, $C109), AA$1, "")</f>
        <v/>
      </c>
      <c r="AB109" s="132" t="str">
        <f>IF(COUNTIF('SCM-A'!$A:$A, $C109), AB$1, "")</f>
        <v/>
      </c>
      <c r="AC109" s="132" t="str">
        <f>IF(COUNTIF('SCM-B'!$A:$A, $C109), AC$1, "")</f>
        <v/>
      </c>
      <c r="AD109" s="132" t="str">
        <f>IF(COUNTIF(AIS!$A:$A, $C109), AD$1, "")</f>
        <v>AI AND  STRATEGY</v>
      </c>
      <c r="AE109" s="132" t="str">
        <f>IF(COUNTIF(EB!$A:$A, $C109), AE$1, "")</f>
        <v/>
      </c>
      <c r="AF109" s="132" t="str">
        <f>IF(COUNTIF('AIAM-A'!$A:$A, $C109), AF$1, "")</f>
        <v/>
      </c>
      <c r="AG109" s="132" t="str">
        <f>IF(COUNTIF('AIAM-B'!$A:$A, $C109), AG$1, "")</f>
        <v/>
      </c>
      <c r="AH109" s="132" t="str">
        <f>IF(COUNTIF('SA-A'!$A:$A, $C109), AH$1, "")</f>
        <v/>
      </c>
      <c r="AI109" s="132" t="str">
        <f>IF(COUNTIF('SA-B'!$A:$A, $C109), AI$1, "")</f>
        <v/>
      </c>
      <c r="AJ109" s="132" t="str">
        <f>IF(COUNTIF(CSM!$A:$A, $C109), AJ$1, "")</f>
        <v>Customer Success Management</v>
      </c>
      <c r="AK109" s="132" t="str">
        <f>IF(COUNTIF(EM!$A:$A, $C109), AK$1, "")</f>
        <v/>
      </c>
      <c r="AL109" s="132" t="str">
        <f>IF(COUNTIF(I4TS!$A:$A, $C109), AL$1, "")</f>
        <v/>
      </c>
    </row>
    <row r="110" spans="1:38" ht="13">
      <c r="A110" s="131">
        <v>109</v>
      </c>
      <c r="B110" s="131" t="s">
        <v>557</v>
      </c>
      <c r="C110" s="134" t="s">
        <v>670</v>
      </c>
      <c r="D110" s="135" t="s">
        <v>671</v>
      </c>
      <c r="E110" s="135" t="s">
        <v>672</v>
      </c>
      <c r="F110" s="131">
        <f t="shared" ca="1" si="0"/>
        <v>5</v>
      </c>
      <c r="G110" s="106" t="str">
        <f ca="1">IFERROR(__xludf.DUMMYFUNCTION("INDEX(FILTER($P110:$AL110, $P110:$AL110 &lt;&gt; """"), 1)"),"The Art, Craft, and Science of Management: Learning through Classics and Best Collections (A)")</f>
        <v>The Art, Craft, and Science of Management: Learning through Classics and Best Collections (A)</v>
      </c>
      <c r="H110" s="106" t="str">
        <f ca="1">IFERROR(__xludf.DUMMYFUNCTION("INDEX(FILTER($P110:$AL110, $P110:$AL110 &lt;&gt; """"), 2)"),"Workplace Happiness: Science &amp; Practice (A)")</f>
        <v>Workplace Happiness: Science &amp; Practice (A)</v>
      </c>
      <c r="I110" s="106" t="str">
        <f ca="1">IFERROR(__xludf.DUMMYFUNCTION("INDEX(FILTER($P110:$AL110, $P110:$AL110 &lt;&gt; """"), 3)"),"Leadership Excellence Through Values : Wisdom from the Mahabharata")</f>
        <v>Leadership Excellence Through Values : Wisdom from the Mahabharata</v>
      </c>
      <c r="J110" s="106" t="str">
        <f ca="1">IFERROR(__xludf.DUMMYFUNCTION("IFERROR(INDEX(FILTER($P110:$AL110, $P110:$AL110 &lt;&gt; """"), 4),)"),"Film &amp; the Firm: Visual Culture in Business Contexts (B)")</f>
        <v>Film &amp; the Firm: Visual Culture in Business Contexts (B)</v>
      </c>
      <c r="K110" s="106" t="str">
        <f ca="1">IFERROR(__xludf.DUMMYFUNCTION("IFERROR(INDEX(FILTER($P110:$AL110, $P110:$AL110 &lt;&gt; """"), 5),)"),"Strategic HRM")</f>
        <v>Strategic HRM</v>
      </c>
      <c r="L110" s="107"/>
      <c r="M110" s="107"/>
      <c r="N110" s="107"/>
      <c r="O110" s="107"/>
      <c r="P110" s="132" t="str">
        <f>IF(COUNTIF('Fintech-A'!$A:$A, $C110), P$1, "")</f>
        <v/>
      </c>
      <c r="Q110" s="132" t="str">
        <f>IF(COUNTIF('Fintech-B'!$A:$A, $C110), Q$1, "")</f>
        <v/>
      </c>
      <c r="R110" s="132" t="str">
        <f>IF(COUNTIF('BEDM-A'!$A:$A, $C110), R$1, "")</f>
        <v/>
      </c>
      <c r="S110" s="132" t="str">
        <f>IF(COUNTIF('BEDM-B'!$A:$A, $C110), S$1, "")</f>
        <v/>
      </c>
      <c r="T110" s="132" t="str">
        <f>IF(COUNTIF('Art-A'!$A:$A, $C110), T$1, "")</f>
        <v>The Art, Craft, and Science of Management: Learning through Classics and Best Collections (A)</v>
      </c>
      <c r="U110" s="132" t="str">
        <f>IF(COUNTIF('Art-B'!$A:$A, $C110), U$1, "")</f>
        <v/>
      </c>
      <c r="V110" s="132" t="str">
        <f>IF(COUNTIF('WH-A'!$A:$A, $C110), V$1, "")</f>
        <v>Workplace Happiness: Science &amp; Practice (A)</v>
      </c>
      <c r="W110" s="132" t="str">
        <f>IF(COUNTIF('WH-B'!$A:$A, $C110), W$1, "")</f>
        <v/>
      </c>
      <c r="X110" s="132" t="str">
        <f>IF(COUNTIF(LETV!$A:$A, $C110), X$1, "")</f>
        <v>Leadership Excellence Through Values : Wisdom from the Mahabharata</v>
      </c>
      <c r="Y110" s="132" t="str">
        <f>IF(COUNTIF('Film&amp;Firm-A'!$A:$A, $C110), Y$1, "")</f>
        <v/>
      </c>
      <c r="Z110" s="132" t="str">
        <f>IF(COUNTIF('Film&amp;Firm-B'!$A:$A, $C110), Z$1, "")</f>
        <v>Film &amp; the Firm: Visual Culture in Business Contexts (B)</v>
      </c>
      <c r="AA110" s="132" t="str">
        <f>IF(COUNTIF(SHRM!$A:$A, $C110), AA$1, "")</f>
        <v>Strategic HRM</v>
      </c>
      <c r="AB110" s="132" t="str">
        <f>IF(COUNTIF('SCM-A'!$A:$A, $C110), AB$1, "")</f>
        <v/>
      </c>
      <c r="AC110" s="132" t="str">
        <f>IF(COUNTIF('SCM-B'!$A:$A, $C110), AC$1, "")</f>
        <v/>
      </c>
      <c r="AD110" s="132" t="str">
        <f>IF(COUNTIF(AIS!$A:$A, $C110), AD$1, "")</f>
        <v/>
      </c>
      <c r="AE110" s="132" t="str">
        <f>IF(COUNTIF(EB!$A:$A, $C110), AE$1, "")</f>
        <v/>
      </c>
      <c r="AF110" s="132" t="str">
        <f>IF(COUNTIF('AIAM-A'!$A:$A, $C110), AF$1, "")</f>
        <v/>
      </c>
      <c r="AG110" s="132" t="str">
        <f>IF(COUNTIF('AIAM-B'!$A:$A, $C110), AG$1, "")</f>
        <v/>
      </c>
      <c r="AH110" s="132" t="str">
        <f>IF(COUNTIF('SA-A'!$A:$A, $C110), AH$1, "")</f>
        <v/>
      </c>
      <c r="AI110" s="132" t="str">
        <f>IF(COUNTIF('SA-B'!$A:$A, $C110), AI$1, "")</f>
        <v/>
      </c>
      <c r="AJ110" s="132" t="str">
        <f>IF(COUNTIF(CSM!$A:$A, $C110), AJ$1, "")</f>
        <v/>
      </c>
      <c r="AK110" s="132" t="str">
        <f>IF(COUNTIF(EM!$A:$A, $C110), AK$1, "")</f>
        <v/>
      </c>
      <c r="AL110" s="132" t="str">
        <f>IF(COUNTIF(I4TS!$A:$A, $C110), AL$1, "")</f>
        <v/>
      </c>
    </row>
    <row r="111" spans="1:38" ht="13">
      <c r="A111" s="131">
        <v>110</v>
      </c>
      <c r="B111" s="131" t="s">
        <v>557</v>
      </c>
      <c r="C111" s="134" t="s">
        <v>673</v>
      </c>
      <c r="D111" s="135" t="s">
        <v>674</v>
      </c>
      <c r="E111" s="135" t="s">
        <v>675</v>
      </c>
      <c r="F111" s="131">
        <f t="shared" ca="1" si="0"/>
        <v>5</v>
      </c>
      <c r="G111" s="106" t="str">
        <f ca="1">IFERROR(__xludf.DUMMYFUNCTION("INDEX(FILTER($P111:$AL111, $P111:$AL111 &lt;&gt; """"), 1)"),"Behavioural Economics and Decision-Making (B)")</f>
        <v>Behavioural Economics and Decision-Making (B)</v>
      </c>
      <c r="H111" s="106" t="str">
        <f ca="1">IFERROR(__xludf.DUMMYFUNCTION("INDEX(FILTER($P111:$AL111, $P111:$AL111 &lt;&gt; """"), 2)"),"The Art, Craft, and Science of Management: Learning through Classics and Best Collections (B)")</f>
        <v>The Art, Craft, and Science of Management: Learning through Classics and Best Collections (B)</v>
      </c>
      <c r="I111" s="106" t="str">
        <f ca="1">IFERROR(__xludf.DUMMYFUNCTION("INDEX(FILTER($P111:$AL111, $P111:$AL111 &lt;&gt; """"), 3)"),"Employer Branding")</f>
        <v>Employer Branding</v>
      </c>
      <c r="J111" s="106" t="str">
        <f ca="1">IFERROR(__xludf.DUMMYFUNCTION("IFERROR(INDEX(FILTER($P111:$AL111, $P111:$AL111 &lt;&gt; """"), 4),)"),"Customer Success Management")</f>
        <v>Customer Success Management</v>
      </c>
      <c r="K111" s="106" t="str">
        <f ca="1">IFERROR(__xludf.DUMMYFUNCTION("IFERROR(INDEX(FILTER($P111:$AL111, $P111:$AL111 &lt;&gt; """"), 5),)"),"Industry 4.0 in Transport Sector")</f>
        <v>Industry 4.0 in Transport Sector</v>
      </c>
      <c r="L111" s="107"/>
      <c r="M111" s="107"/>
      <c r="N111" s="107"/>
      <c r="O111" s="107"/>
      <c r="P111" s="132" t="str">
        <f>IF(COUNTIF('Fintech-A'!$A:$A, $C111), P$1, "")</f>
        <v/>
      </c>
      <c r="Q111" s="132" t="str">
        <f>IF(COUNTIF('Fintech-B'!$A:$A, $C111), Q$1, "")</f>
        <v/>
      </c>
      <c r="R111" s="132" t="str">
        <f>IF(COUNTIF('BEDM-A'!$A:$A, $C111), R$1, "")</f>
        <v/>
      </c>
      <c r="S111" s="132" t="str">
        <f>IF(COUNTIF('BEDM-B'!$A:$A, $C111), S$1, "")</f>
        <v>Behavioural Economics and Decision-Making (B)</v>
      </c>
      <c r="T111" s="132" t="str">
        <f>IF(COUNTIF('Art-A'!$A:$A, $C111), T$1, "")</f>
        <v/>
      </c>
      <c r="U111" s="132" t="str">
        <f>IF(COUNTIF('Art-B'!$A:$A, $C111), U$1, "")</f>
        <v>The Art, Craft, and Science of Management: Learning through Classics and Best Collections (B)</v>
      </c>
      <c r="V111" s="132" t="str">
        <f>IF(COUNTIF('WH-A'!$A:$A, $C111), V$1, "")</f>
        <v/>
      </c>
      <c r="W111" s="132" t="str">
        <f>IF(COUNTIF('WH-B'!$A:$A, $C111), W$1, "")</f>
        <v/>
      </c>
      <c r="X111" s="132" t="str">
        <f>IF(COUNTIF(LETV!$A:$A, $C111), X$1, "")</f>
        <v/>
      </c>
      <c r="Y111" s="132" t="str">
        <f>IF(COUNTIF('Film&amp;Firm-A'!$A:$A, $C111), Y$1, "")</f>
        <v/>
      </c>
      <c r="Z111" s="132" t="str">
        <f>IF(COUNTIF('Film&amp;Firm-B'!$A:$A, $C111), Z$1, "")</f>
        <v/>
      </c>
      <c r="AA111" s="132" t="str">
        <f>IF(COUNTIF(SHRM!$A:$A, $C111), AA$1, "")</f>
        <v/>
      </c>
      <c r="AB111" s="132" t="str">
        <f>IF(COUNTIF('SCM-A'!$A:$A, $C111), AB$1, "")</f>
        <v/>
      </c>
      <c r="AC111" s="132" t="str">
        <f>IF(COUNTIF('SCM-B'!$A:$A, $C111), AC$1, "")</f>
        <v/>
      </c>
      <c r="AD111" s="132" t="str">
        <f>IF(COUNTIF(AIS!$A:$A, $C111), AD$1, "")</f>
        <v/>
      </c>
      <c r="AE111" s="132" t="str">
        <f>IF(COUNTIF(EB!$A:$A, $C111), AE$1, "")</f>
        <v>Employer Branding</v>
      </c>
      <c r="AF111" s="132" t="str">
        <f>IF(COUNTIF('AIAM-A'!$A:$A, $C111), AF$1, "")</f>
        <v/>
      </c>
      <c r="AG111" s="132" t="str">
        <f>IF(COUNTIF('AIAM-B'!$A:$A, $C111), AG$1, "")</f>
        <v/>
      </c>
      <c r="AH111" s="132" t="str">
        <f>IF(COUNTIF('SA-A'!$A:$A, $C111), AH$1, "")</f>
        <v/>
      </c>
      <c r="AI111" s="132" t="str">
        <f>IF(COUNTIF('SA-B'!$A:$A, $C111), AI$1, "")</f>
        <v/>
      </c>
      <c r="AJ111" s="132" t="str">
        <f>IF(COUNTIF(CSM!$A:$A, $C111), AJ$1, "")</f>
        <v>Customer Success Management</v>
      </c>
      <c r="AK111" s="132" t="str">
        <f>IF(COUNTIF(EM!$A:$A, $C111), AK$1, "")</f>
        <v/>
      </c>
      <c r="AL111" s="132" t="str">
        <f>IF(COUNTIF(I4TS!$A:$A, $C111), AL$1, "")</f>
        <v>Industry 4.0 in Transport Sector</v>
      </c>
    </row>
    <row r="112" spans="1:38" ht="13">
      <c r="A112" s="131">
        <v>111</v>
      </c>
      <c r="B112" s="131" t="s">
        <v>557</v>
      </c>
      <c r="C112" s="134" t="s">
        <v>676</v>
      </c>
      <c r="D112" s="135" t="s">
        <v>677</v>
      </c>
      <c r="E112" s="135" t="s">
        <v>678</v>
      </c>
      <c r="F112" s="131">
        <f t="shared" ca="1" si="0"/>
        <v>5</v>
      </c>
      <c r="G112" s="106" t="str">
        <f ca="1">IFERROR(__xludf.DUMMYFUNCTION("INDEX(FILTER($P112:$AL112, $P112:$AL112 &lt;&gt; """"), 1)"),"Workplace Happiness: Science &amp; Practice (A)")</f>
        <v>Workplace Happiness: Science &amp; Practice (A)</v>
      </c>
      <c r="H112" s="106" t="str">
        <f ca="1">IFERROR(__xludf.DUMMYFUNCTION("INDEX(FILTER($P112:$AL112, $P112:$AL112 &lt;&gt; """"), 2)"),"Strategic Career Management (B)")</f>
        <v>Strategic Career Management (B)</v>
      </c>
      <c r="I112" s="106" t="str">
        <f ca="1">IFERROR(__xludf.DUMMYFUNCTION("INDEX(FILTER($P112:$AL112, $P112:$AL112 &lt;&gt; """"), 3)"),"SPORTS ANALYTICS (B)")</f>
        <v>SPORTS ANALYTICS (B)</v>
      </c>
      <c r="J112" s="106" t="str">
        <f ca="1">IFERROR(__xludf.DUMMYFUNCTION("IFERROR(INDEX(FILTER($P112:$AL112, $P112:$AL112 &lt;&gt; """"), 4),)"),"")</f>
        <v/>
      </c>
      <c r="K112" s="106" t="str">
        <f ca="1">IFERROR(__xludf.DUMMYFUNCTION("IFERROR(INDEX(FILTER($P112:$AL112, $P112:$AL112 &lt;&gt; """"), 5),)"),"")</f>
        <v/>
      </c>
      <c r="L112" s="107"/>
      <c r="M112" s="107"/>
      <c r="N112" s="107"/>
      <c r="O112" s="107"/>
      <c r="P112" s="132" t="str">
        <f>IF(COUNTIF('Fintech-A'!$A:$A, $C112), P$1, "")</f>
        <v/>
      </c>
      <c r="Q112" s="132" t="str">
        <f>IF(COUNTIF('Fintech-B'!$A:$A, $C112), Q$1, "")</f>
        <v/>
      </c>
      <c r="R112" s="132" t="str">
        <f>IF(COUNTIF('BEDM-A'!$A:$A, $C112), R$1, "")</f>
        <v/>
      </c>
      <c r="S112" s="132" t="str">
        <f>IF(COUNTIF('BEDM-B'!$A:$A, $C112), S$1, "")</f>
        <v/>
      </c>
      <c r="T112" s="132" t="str">
        <f>IF(COUNTIF('Art-A'!$A:$A, $C112), T$1, "")</f>
        <v/>
      </c>
      <c r="U112" s="132" t="str">
        <f>IF(COUNTIF('Art-B'!$A:$A, $C112), U$1, "")</f>
        <v/>
      </c>
      <c r="V112" s="132" t="str">
        <f>IF(COUNTIF('WH-A'!$A:$A, $C112), V$1, "")</f>
        <v>Workplace Happiness: Science &amp; Practice (A)</v>
      </c>
      <c r="W112" s="132" t="str">
        <f>IF(COUNTIF('WH-B'!$A:$A, $C112), W$1, "")</f>
        <v/>
      </c>
      <c r="X112" s="132" t="str">
        <f>IF(COUNTIF(LETV!$A:$A, $C112), X$1, "")</f>
        <v/>
      </c>
      <c r="Y112" s="132" t="str">
        <f>IF(COUNTIF('Film&amp;Firm-A'!$A:$A, $C112), Y$1, "")</f>
        <v/>
      </c>
      <c r="Z112" s="132" t="str">
        <f>IF(COUNTIF('Film&amp;Firm-B'!$A:$A, $C112), Z$1, "")</f>
        <v/>
      </c>
      <c r="AA112" s="132" t="str">
        <f>IF(COUNTIF(SHRM!$A:$A, $C112), AA$1, "")</f>
        <v/>
      </c>
      <c r="AB112" s="132" t="str">
        <f>IF(COUNTIF('SCM-A'!$A:$A, $C112), AB$1, "")</f>
        <v/>
      </c>
      <c r="AC112" s="132" t="str">
        <f>IF(COUNTIF('SCM-B'!$A:$A, $C112), AC$1, "")</f>
        <v>Strategic Career Management (B)</v>
      </c>
      <c r="AD112" s="132" t="str">
        <f>IF(COUNTIF(AIS!$A:$A, $C112), AD$1, "")</f>
        <v/>
      </c>
      <c r="AE112" s="132" t="str">
        <f>IF(COUNTIF(EB!$A:$A, $C112), AE$1, "")</f>
        <v/>
      </c>
      <c r="AF112" s="132" t="str">
        <f>IF(COUNTIF('AIAM-A'!$A:$A, $C112), AF$1, "")</f>
        <v/>
      </c>
      <c r="AG112" s="132" t="str">
        <f>IF(COUNTIF('AIAM-B'!$A:$A, $C112), AG$1, "")</f>
        <v/>
      </c>
      <c r="AH112" s="132" t="str">
        <f>IF(COUNTIF('SA-A'!$A:$A, $C112), AH$1, "")</f>
        <v/>
      </c>
      <c r="AI112" s="132" t="str">
        <f>IF(COUNTIF('SA-B'!$A:$A, $C112), AI$1, "")</f>
        <v>SPORTS ANALYTICS (B)</v>
      </c>
      <c r="AJ112" s="132" t="str">
        <f>IF(COUNTIF(CSM!$A:$A, $C112), AJ$1, "")</f>
        <v/>
      </c>
      <c r="AK112" s="132" t="str">
        <f>IF(COUNTIF(EM!$A:$A, $C112), AK$1, "")</f>
        <v/>
      </c>
      <c r="AL112" s="132" t="str">
        <f>IF(COUNTIF(I4TS!$A:$A, $C112), AL$1, "")</f>
        <v/>
      </c>
    </row>
    <row r="113" spans="1:38" ht="13">
      <c r="A113" s="131">
        <v>112</v>
      </c>
      <c r="B113" s="131" t="s">
        <v>557</v>
      </c>
      <c r="C113" s="134" t="s">
        <v>679</v>
      </c>
      <c r="D113" s="135" t="s">
        <v>680</v>
      </c>
      <c r="E113" s="135" t="s">
        <v>681</v>
      </c>
      <c r="F113" s="131">
        <f t="shared" ca="1" si="0"/>
        <v>5</v>
      </c>
      <c r="G113" s="106" t="str">
        <f ca="1">IFERROR(__xludf.DUMMYFUNCTION("INDEX(FILTER($P113:$AL113, $P113:$AL113 &lt;&gt; """"), 1)"),"Fintech (Digital Transformation in Finance) (B)")</f>
        <v>Fintech (Digital Transformation in Finance) (B)</v>
      </c>
      <c r="H113" s="106" t="str">
        <f ca="1">IFERROR(__xludf.DUMMYFUNCTION("INDEX(FILTER($P113:$AL113, $P113:$AL113 &lt;&gt; """"), 2)"),"Employer Branding")</f>
        <v>Employer Branding</v>
      </c>
      <c r="I113" s="106" t="str">
        <f ca="1">IFERROR(__xludf.DUMMYFUNCTION("INDEX(FILTER($P113:$AL113, $P113:$AL113 &lt;&gt; """"), 3)"),"Customer Success Management")</f>
        <v>Customer Success Management</v>
      </c>
      <c r="J113" s="106" t="str">
        <f ca="1">IFERROR(__xludf.DUMMYFUNCTION("IFERROR(INDEX(FILTER($P113:$AL113, $P113:$AL113 &lt;&gt; """"), 4),)"),"")</f>
        <v/>
      </c>
      <c r="K113" s="106" t="str">
        <f ca="1">IFERROR(__xludf.DUMMYFUNCTION("IFERROR(INDEX(FILTER($P113:$AL113, $P113:$AL113 &lt;&gt; """"), 5),)"),"")</f>
        <v/>
      </c>
      <c r="L113" s="107"/>
      <c r="M113" s="107"/>
      <c r="N113" s="107"/>
      <c r="O113" s="107"/>
      <c r="P113" s="132" t="str">
        <f>IF(COUNTIF('Fintech-A'!$A:$A, $C113), P$1, "")</f>
        <v/>
      </c>
      <c r="Q113" s="132" t="str">
        <f>IF(COUNTIF('Fintech-B'!$A:$A, $C113), Q$1, "")</f>
        <v>Fintech (Digital Transformation in Finance) (B)</v>
      </c>
      <c r="R113" s="132" t="str">
        <f>IF(COUNTIF('BEDM-A'!$A:$A, $C113), R$1, "")</f>
        <v/>
      </c>
      <c r="S113" s="132" t="str">
        <f>IF(COUNTIF('BEDM-B'!$A:$A, $C113), S$1, "")</f>
        <v/>
      </c>
      <c r="T113" s="132" t="str">
        <f>IF(COUNTIF('Art-A'!$A:$A, $C113), T$1, "")</f>
        <v/>
      </c>
      <c r="U113" s="132" t="str">
        <f>IF(COUNTIF('Art-B'!$A:$A, $C113), U$1, "")</f>
        <v/>
      </c>
      <c r="V113" s="132" t="str">
        <f>IF(COUNTIF('WH-A'!$A:$A, $C113), V$1, "")</f>
        <v/>
      </c>
      <c r="W113" s="132" t="str">
        <f>IF(COUNTIF('WH-B'!$A:$A, $C113), W$1, "")</f>
        <v/>
      </c>
      <c r="X113" s="132" t="str">
        <f>IF(COUNTIF(LETV!$A:$A, $C113), X$1, "")</f>
        <v/>
      </c>
      <c r="Y113" s="132" t="str">
        <f>IF(COUNTIF('Film&amp;Firm-A'!$A:$A, $C113), Y$1, "")</f>
        <v/>
      </c>
      <c r="Z113" s="132" t="str">
        <f>IF(COUNTIF('Film&amp;Firm-B'!$A:$A, $C113), Z$1, "")</f>
        <v/>
      </c>
      <c r="AA113" s="132" t="str">
        <f>IF(COUNTIF(SHRM!$A:$A, $C113), AA$1, "")</f>
        <v/>
      </c>
      <c r="AB113" s="132" t="str">
        <f>IF(COUNTIF('SCM-A'!$A:$A, $C113), AB$1, "")</f>
        <v/>
      </c>
      <c r="AC113" s="132" t="str">
        <f>IF(COUNTIF('SCM-B'!$A:$A, $C113), AC$1, "")</f>
        <v/>
      </c>
      <c r="AD113" s="132" t="str">
        <f>IF(COUNTIF(AIS!$A:$A, $C113), AD$1, "")</f>
        <v/>
      </c>
      <c r="AE113" s="132" t="str">
        <f>IF(COUNTIF(EB!$A:$A, $C113), AE$1, "")</f>
        <v>Employer Branding</v>
      </c>
      <c r="AF113" s="132" t="str">
        <f>IF(COUNTIF('AIAM-A'!$A:$A, $C113), AF$1, "")</f>
        <v/>
      </c>
      <c r="AG113" s="132" t="str">
        <f>IF(COUNTIF('AIAM-B'!$A:$A, $C113), AG$1, "")</f>
        <v/>
      </c>
      <c r="AH113" s="132" t="str">
        <f>IF(COUNTIF('SA-A'!$A:$A, $C113), AH$1, "")</f>
        <v/>
      </c>
      <c r="AI113" s="132" t="str">
        <f>IF(COUNTIF('SA-B'!$A:$A, $C113), AI$1, "")</f>
        <v/>
      </c>
      <c r="AJ113" s="132" t="str">
        <f>IF(COUNTIF(CSM!$A:$A, $C113), AJ$1, "")</f>
        <v>Customer Success Management</v>
      </c>
      <c r="AK113" s="132" t="str">
        <f>IF(COUNTIF(EM!$A:$A, $C113), AK$1, "")</f>
        <v/>
      </c>
      <c r="AL113" s="132" t="str">
        <f>IF(COUNTIF(I4TS!$A:$A, $C113), AL$1, "")</f>
        <v/>
      </c>
    </row>
    <row r="114" spans="1:38" ht="13">
      <c r="A114" s="131">
        <v>113</v>
      </c>
      <c r="B114" s="131" t="s">
        <v>557</v>
      </c>
      <c r="C114" s="134" t="s">
        <v>682</v>
      </c>
      <c r="D114" s="135" t="s">
        <v>683</v>
      </c>
      <c r="E114" s="135" t="s">
        <v>684</v>
      </c>
      <c r="F114" s="131">
        <f t="shared" ca="1" si="0"/>
        <v>5</v>
      </c>
      <c r="G114" s="106" t="str">
        <f ca="1">IFERROR(__xludf.DUMMYFUNCTION("INDEX(FILTER($P114:$AL114, $P114:$AL114 &lt;&gt; """"), 1)"),"Behavioural Economics and Decision-Making (B)")</f>
        <v>Behavioural Economics and Decision-Making (B)</v>
      </c>
      <c r="H114" s="106" t="str">
        <f ca="1">IFERROR(__xludf.DUMMYFUNCTION("INDEX(FILTER($P114:$AL114, $P114:$AL114 &lt;&gt; """"), 2)"),"SPORTS ANALYTICS (B)")</f>
        <v>SPORTS ANALYTICS (B)</v>
      </c>
      <c r="I114" s="106" t="str">
        <f ca="1">IFERROR(__xludf.DUMMYFUNCTION("INDEX(FILTER($P114:$AL114, $P114:$AL114 &lt;&gt; """"), 3)"),"Entrepreneurial Marketing")</f>
        <v>Entrepreneurial Marketing</v>
      </c>
      <c r="J114" s="106" t="str">
        <f ca="1">IFERROR(__xludf.DUMMYFUNCTION("IFERROR(INDEX(FILTER($P114:$AL114, $P114:$AL114 &lt;&gt; """"), 4),)"),"")</f>
        <v/>
      </c>
      <c r="K114" s="106" t="str">
        <f ca="1">IFERROR(__xludf.DUMMYFUNCTION("IFERROR(INDEX(FILTER($P114:$AL114, $P114:$AL114 &lt;&gt; """"), 5),)"),"")</f>
        <v/>
      </c>
      <c r="L114" s="107"/>
      <c r="M114" s="107"/>
      <c r="N114" s="107"/>
      <c r="O114" s="107"/>
      <c r="P114" s="132" t="str">
        <f>IF(COUNTIF('Fintech-A'!$A:$A, $C114), P$1, "")</f>
        <v/>
      </c>
      <c r="Q114" s="132" t="str">
        <f>IF(COUNTIF('Fintech-B'!$A:$A, $C114), Q$1, "")</f>
        <v/>
      </c>
      <c r="R114" s="132" t="str">
        <f>IF(COUNTIF('BEDM-A'!$A:$A, $C114), R$1, "")</f>
        <v/>
      </c>
      <c r="S114" s="132" t="str">
        <f>IF(COUNTIF('BEDM-B'!$A:$A, $C114), S$1, "")</f>
        <v>Behavioural Economics and Decision-Making (B)</v>
      </c>
      <c r="T114" s="132" t="str">
        <f>IF(COUNTIF('Art-A'!$A:$A, $C114), T$1, "")</f>
        <v/>
      </c>
      <c r="U114" s="132" t="str">
        <f>IF(COUNTIF('Art-B'!$A:$A, $C114), U$1, "")</f>
        <v/>
      </c>
      <c r="V114" s="132" t="str">
        <f>IF(COUNTIF('WH-A'!$A:$A, $C114), V$1, "")</f>
        <v/>
      </c>
      <c r="W114" s="132" t="str">
        <f>IF(COUNTIF('WH-B'!$A:$A, $C114), W$1, "")</f>
        <v/>
      </c>
      <c r="X114" s="132" t="str">
        <f>IF(COUNTIF(LETV!$A:$A, $C114), X$1, "")</f>
        <v/>
      </c>
      <c r="Y114" s="132" t="str">
        <f>IF(COUNTIF('Film&amp;Firm-A'!$A:$A, $C114), Y$1, "")</f>
        <v/>
      </c>
      <c r="Z114" s="132" t="str">
        <f>IF(COUNTIF('Film&amp;Firm-B'!$A:$A, $C114), Z$1, "")</f>
        <v/>
      </c>
      <c r="AA114" s="132" t="str">
        <f>IF(COUNTIF(SHRM!$A:$A, $C114), AA$1, "")</f>
        <v/>
      </c>
      <c r="AB114" s="132" t="str">
        <f>IF(COUNTIF('SCM-A'!$A:$A, $C114), AB$1, "")</f>
        <v/>
      </c>
      <c r="AC114" s="132" t="str">
        <f>IF(COUNTIF('SCM-B'!$A:$A, $C114), AC$1, "")</f>
        <v/>
      </c>
      <c r="AD114" s="132" t="str">
        <f>IF(COUNTIF(AIS!$A:$A, $C114), AD$1, "")</f>
        <v/>
      </c>
      <c r="AE114" s="132" t="str">
        <f>IF(COUNTIF(EB!$A:$A, $C114), AE$1, "")</f>
        <v/>
      </c>
      <c r="AF114" s="132" t="str">
        <f>IF(COUNTIF('AIAM-A'!$A:$A, $C114), AF$1, "")</f>
        <v/>
      </c>
      <c r="AG114" s="132" t="str">
        <f>IF(COUNTIF('AIAM-B'!$A:$A, $C114), AG$1, "")</f>
        <v/>
      </c>
      <c r="AH114" s="132" t="str">
        <f>IF(COUNTIF('SA-A'!$A:$A, $C114), AH$1, "")</f>
        <v/>
      </c>
      <c r="AI114" s="132" t="str">
        <f>IF(COUNTIF('SA-B'!$A:$A, $C114), AI$1, "")</f>
        <v>SPORTS ANALYTICS (B)</v>
      </c>
      <c r="AJ114" s="132" t="str">
        <f>IF(COUNTIF(CSM!$A:$A, $C114), AJ$1, "")</f>
        <v/>
      </c>
      <c r="AK114" s="132" t="str">
        <f>IF(COUNTIF(EM!$A:$A, $C114), AK$1, "")</f>
        <v>Entrepreneurial Marketing</v>
      </c>
      <c r="AL114" s="132" t="str">
        <f>IF(COUNTIF(I4TS!$A:$A, $C114), AL$1, "")</f>
        <v/>
      </c>
    </row>
    <row r="115" spans="1:38" ht="13">
      <c r="A115" s="131">
        <v>114</v>
      </c>
      <c r="B115" s="131" t="s">
        <v>557</v>
      </c>
      <c r="C115" s="134" t="s">
        <v>685</v>
      </c>
      <c r="D115" s="135" t="s">
        <v>686</v>
      </c>
      <c r="E115" s="135" t="s">
        <v>687</v>
      </c>
      <c r="F115" s="131">
        <f t="shared" ca="1" si="0"/>
        <v>5</v>
      </c>
      <c r="G115" s="106" t="str">
        <f ca="1">IFERROR(__xludf.DUMMYFUNCTION("INDEX(FILTER($P115:$AL115, $P115:$AL115 &lt;&gt; """"), 1)"),"Film &amp; the Firm: Visual Culture in Business Contexts (B)")</f>
        <v>Film &amp; the Firm: Visual Culture in Business Contexts (B)</v>
      </c>
      <c r="H115" s="106" t="str">
        <f ca="1">IFERROR(__xludf.DUMMYFUNCTION("INDEX(FILTER($P115:$AL115, $P115:$AL115 &lt;&gt; """"), 2)"),"SPORTS ANALYTICS (A)")</f>
        <v>SPORTS ANALYTICS (A)</v>
      </c>
      <c r="I115" s="106" t="str">
        <f ca="1">IFERROR(__xludf.DUMMYFUNCTION("INDEX(FILTER($P115:$AL115, $P115:$AL115 &lt;&gt; """"), 3)"),"Customer Success Management")</f>
        <v>Customer Success Management</v>
      </c>
      <c r="J115" s="106" t="str">
        <f ca="1">IFERROR(__xludf.DUMMYFUNCTION("IFERROR(INDEX(FILTER($P115:$AL115, $P115:$AL115 &lt;&gt; """"), 4),)"),"")</f>
        <v/>
      </c>
      <c r="K115" s="106" t="str">
        <f ca="1">IFERROR(__xludf.DUMMYFUNCTION("IFERROR(INDEX(FILTER($P115:$AL115, $P115:$AL115 &lt;&gt; """"), 5),)"),"")</f>
        <v/>
      </c>
      <c r="L115" s="107"/>
      <c r="M115" s="107"/>
      <c r="N115" s="107"/>
      <c r="O115" s="107"/>
      <c r="P115" s="132" t="str">
        <f>IF(COUNTIF('Fintech-A'!$A:$A, $C115), P$1, "")</f>
        <v/>
      </c>
      <c r="Q115" s="132" t="str">
        <f>IF(COUNTIF('Fintech-B'!$A:$A, $C115), Q$1, "")</f>
        <v/>
      </c>
      <c r="R115" s="132" t="str">
        <f>IF(COUNTIF('BEDM-A'!$A:$A, $C115), R$1, "")</f>
        <v/>
      </c>
      <c r="S115" s="132" t="str">
        <f>IF(COUNTIF('BEDM-B'!$A:$A, $C115), S$1, "")</f>
        <v/>
      </c>
      <c r="T115" s="132" t="str">
        <f>IF(COUNTIF('Art-A'!$A:$A, $C115), T$1, "")</f>
        <v/>
      </c>
      <c r="U115" s="132" t="str">
        <f>IF(COUNTIF('Art-B'!$A:$A, $C115), U$1, "")</f>
        <v/>
      </c>
      <c r="V115" s="132" t="str">
        <f>IF(COUNTIF('WH-A'!$A:$A, $C115), V$1, "")</f>
        <v/>
      </c>
      <c r="W115" s="132" t="str">
        <f>IF(COUNTIF('WH-B'!$A:$A, $C115), W$1, "")</f>
        <v/>
      </c>
      <c r="X115" s="132" t="str">
        <f>IF(COUNTIF(LETV!$A:$A, $C115), X$1, "")</f>
        <v/>
      </c>
      <c r="Y115" s="132" t="str">
        <f>IF(COUNTIF('Film&amp;Firm-A'!$A:$A, $C115), Y$1, "")</f>
        <v/>
      </c>
      <c r="Z115" s="132" t="str">
        <f>IF(COUNTIF('Film&amp;Firm-B'!$A:$A, $C115), Z$1, "")</f>
        <v>Film &amp; the Firm: Visual Culture in Business Contexts (B)</v>
      </c>
      <c r="AA115" s="132" t="str">
        <f>IF(COUNTIF(SHRM!$A:$A, $C115), AA$1, "")</f>
        <v/>
      </c>
      <c r="AB115" s="132" t="str">
        <f>IF(COUNTIF('SCM-A'!$A:$A, $C115), AB$1, "")</f>
        <v/>
      </c>
      <c r="AC115" s="132" t="str">
        <f>IF(COUNTIF('SCM-B'!$A:$A, $C115), AC$1, "")</f>
        <v/>
      </c>
      <c r="AD115" s="132" t="str">
        <f>IF(COUNTIF(AIS!$A:$A, $C115), AD$1, "")</f>
        <v/>
      </c>
      <c r="AE115" s="132" t="str">
        <f>IF(COUNTIF(EB!$A:$A, $C115), AE$1, "")</f>
        <v/>
      </c>
      <c r="AF115" s="132" t="str">
        <f>IF(COUNTIF('AIAM-A'!$A:$A, $C115), AF$1, "")</f>
        <v/>
      </c>
      <c r="AG115" s="132" t="str">
        <f>IF(COUNTIF('AIAM-B'!$A:$A, $C115), AG$1, "")</f>
        <v/>
      </c>
      <c r="AH115" s="132" t="str">
        <f>IF(COUNTIF('SA-A'!$A:$A, $C115), AH$1, "")</f>
        <v>SPORTS ANALYTICS (A)</v>
      </c>
      <c r="AI115" s="132" t="str">
        <f>IF(COUNTIF('SA-B'!$A:$A, $C115), AI$1, "")</f>
        <v/>
      </c>
      <c r="AJ115" s="132" t="str">
        <f>IF(COUNTIF(CSM!$A:$A, $C115), AJ$1, "")</f>
        <v>Customer Success Management</v>
      </c>
      <c r="AK115" s="132" t="str">
        <f>IF(COUNTIF(EM!$A:$A, $C115), AK$1, "")</f>
        <v/>
      </c>
      <c r="AL115" s="132" t="str">
        <f>IF(COUNTIF(I4TS!$A:$A, $C115), AL$1, "")</f>
        <v/>
      </c>
    </row>
    <row r="116" spans="1:38" ht="13">
      <c r="A116" s="131">
        <v>115</v>
      </c>
      <c r="B116" s="131" t="s">
        <v>557</v>
      </c>
      <c r="C116" s="134" t="s">
        <v>209</v>
      </c>
      <c r="D116" s="135" t="s">
        <v>688</v>
      </c>
      <c r="E116" s="135" t="s">
        <v>689</v>
      </c>
      <c r="F116" s="131">
        <f t="shared" ca="1" si="0"/>
        <v>5</v>
      </c>
      <c r="G116" s="106" t="str">
        <f ca="1">IFERROR(__xludf.DUMMYFUNCTION("INDEX(FILTER($P116:$AL116, $P116:$AL116 &lt;&gt; """"), 1)"),"Fintech (Digital Transformation in Finance) (B)")</f>
        <v>Fintech (Digital Transformation in Finance) (B)</v>
      </c>
      <c r="H116" s="106" t="str">
        <f ca="1">IFERROR(__xludf.DUMMYFUNCTION("INDEX(FILTER($P116:$AL116, $P116:$AL116 &lt;&gt; """"), 2)"),"AI AND  STRATEGY")</f>
        <v>AI AND  STRATEGY</v>
      </c>
      <c r="I116" s="106" t="str">
        <f ca="1">IFERROR(__xludf.DUMMYFUNCTION("INDEX(FILTER($P116:$AL116, $P116:$AL116 &lt;&gt; """"), 3)"),"Customer Success Management")</f>
        <v>Customer Success Management</v>
      </c>
      <c r="J116" s="106" t="str">
        <f ca="1">IFERROR(__xludf.DUMMYFUNCTION("IFERROR(INDEX(FILTER($P116:$AL116, $P116:$AL116 &lt;&gt; """"), 4),)"),"")</f>
        <v/>
      </c>
      <c r="K116" s="106" t="str">
        <f ca="1">IFERROR(__xludf.DUMMYFUNCTION("IFERROR(INDEX(FILTER($P116:$AL116, $P116:$AL116 &lt;&gt; """"), 5),)"),"")</f>
        <v/>
      </c>
      <c r="L116" s="107"/>
      <c r="M116" s="107"/>
      <c r="N116" s="107"/>
      <c r="O116" s="107"/>
      <c r="P116" s="132" t="str">
        <f>IF(COUNTIF('Fintech-A'!$A:$A, $C116), P$1, "")</f>
        <v/>
      </c>
      <c r="Q116" s="132" t="str">
        <f>IF(COUNTIF('Fintech-B'!$A:$A, $C116), Q$1, "")</f>
        <v>Fintech (Digital Transformation in Finance) (B)</v>
      </c>
      <c r="R116" s="132" t="str">
        <f>IF(COUNTIF('BEDM-A'!$A:$A, $C116), R$1, "")</f>
        <v/>
      </c>
      <c r="S116" s="132" t="str">
        <f>IF(COUNTIF('BEDM-B'!$A:$A, $C116), S$1, "")</f>
        <v/>
      </c>
      <c r="T116" s="132" t="str">
        <f>IF(COUNTIF('Art-A'!$A:$A, $C116), T$1, "")</f>
        <v/>
      </c>
      <c r="U116" s="132" t="str">
        <f>IF(COUNTIF('Art-B'!$A:$A, $C116), U$1, "")</f>
        <v/>
      </c>
      <c r="V116" s="132" t="str">
        <f>IF(COUNTIF('WH-A'!$A:$A, $C116), V$1, "")</f>
        <v/>
      </c>
      <c r="W116" s="132" t="str">
        <f>IF(COUNTIF('WH-B'!$A:$A, $C116), W$1, "")</f>
        <v/>
      </c>
      <c r="X116" s="132" t="str">
        <f>IF(COUNTIF(LETV!$A:$A, $C116), X$1, "")</f>
        <v/>
      </c>
      <c r="Y116" s="132" t="str">
        <f>IF(COUNTIF('Film&amp;Firm-A'!$A:$A, $C116), Y$1, "")</f>
        <v/>
      </c>
      <c r="Z116" s="132" t="str">
        <f>IF(COUNTIF('Film&amp;Firm-B'!$A:$A, $C116), Z$1, "")</f>
        <v/>
      </c>
      <c r="AA116" s="132" t="str">
        <f>IF(COUNTIF(SHRM!$A:$A, $C116), AA$1, "")</f>
        <v/>
      </c>
      <c r="AB116" s="132" t="str">
        <f>IF(COUNTIF('SCM-A'!$A:$A, $C116), AB$1, "")</f>
        <v/>
      </c>
      <c r="AC116" s="132" t="str">
        <f>IF(COUNTIF('SCM-B'!$A:$A, $C116), AC$1, "")</f>
        <v/>
      </c>
      <c r="AD116" s="132" t="str">
        <f>IF(COUNTIF(AIS!$A:$A, $C116), AD$1, "")</f>
        <v>AI AND  STRATEGY</v>
      </c>
      <c r="AE116" s="132" t="str">
        <f>IF(COUNTIF(EB!$A:$A, $C116), AE$1, "")</f>
        <v/>
      </c>
      <c r="AF116" s="132" t="str">
        <f>IF(COUNTIF('AIAM-A'!$A:$A, $C116), AF$1, "")</f>
        <v/>
      </c>
      <c r="AG116" s="132" t="str">
        <f>IF(COUNTIF('AIAM-B'!$A:$A, $C116), AG$1, "")</f>
        <v/>
      </c>
      <c r="AH116" s="132" t="str">
        <f>IF(COUNTIF('SA-A'!$A:$A, $C116), AH$1, "")</f>
        <v/>
      </c>
      <c r="AI116" s="132" t="str">
        <f>IF(COUNTIF('SA-B'!$A:$A, $C116), AI$1, "")</f>
        <v/>
      </c>
      <c r="AJ116" s="132" t="str">
        <f>IF(COUNTIF(CSM!$A:$A, $C116), AJ$1, "")</f>
        <v>Customer Success Management</v>
      </c>
      <c r="AK116" s="132" t="str">
        <f>IF(COUNTIF(EM!$A:$A, $C116), AK$1, "")</f>
        <v/>
      </c>
      <c r="AL116" s="132" t="str">
        <f>IF(COUNTIF(I4TS!$A:$A, $C116), AL$1, "")</f>
        <v/>
      </c>
    </row>
    <row r="117" spans="1:38" ht="13">
      <c r="A117" s="131">
        <v>116</v>
      </c>
      <c r="B117" s="131" t="s">
        <v>557</v>
      </c>
      <c r="C117" s="134" t="s">
        <v>690</v>
      </c>
      <c r="D117" s="135" t="s">
        <v>691</v>
      </c>
      <c r="E117" s="135" t="s">
        <v>692</v>
      </c>
      <c r="F117" s="131">
        <f t="shared" ca="1" si="0"/>
        <v>5</v>
      </c>
      <c r="G117" s="106" t="str">
        <f ca="1">IFERROR(__xludf.DUMMYFUNCTION("INDEX(FILTER($P117:$AL117, $P117:$AL117 &lt;&gt; """"), 1)"),"Behavioural Economics and Decision-Making (B)")</f>
        <v>Behavioural Economics and Decision-Making (B)</v>
      </c>
      <c r="H117" s="106" t="str">
        <f ca="1">IFERROR(__xludf.DUMMYFUNCTION("INDEX(FILTER($P117:$AL117, $P117:$AL117 &lt;&gt; """"), 2)"),"Workplace Happiness: Science &amp; Practice (B)")</f>
        <v>Workplace Happiness: Science &amp; Practice (B)</v>
      </c>
      <c r="I117" s="106" t="str">
        <f ca="1">IFERROR(__xludf.DUMMYFUNCTION("INDEX(FILTER($P117:$AL117, $P117:$AL117 &lt;&gt; """"), 3)"),"SPORTS ANALYTICS (A)")</f>
        <v>SPORTS ANALYTICS (A)</v>
      </c>
      <c r="J117" s="106" t="str">
        <f ca="1">IFERROR(__xludf.DUMMYFUNCTION("IFERROR(INDEX(FILTER($P117:$AL117, $P117:$AL117 &lt;&gt; """"), 4),)"),"")</f>
        <v/>
      </c>
      <c r="K117" s="106" t="str">
        <f ca="1">IFERROR(__xludf.DUMMYFUNCTION("IFERROR(INDEX(FILTER($P117:$AL117, $P117:$AL117 &lt;&gt; """"), 5),)"),"")</f>
        <v/>
      </c>
      <c r="L117" s="107"/>
      <c r="M117" s="107"/>
      <c r="N117" s="107"/>
      <c r="O117" s="107"/>
      <c r="P117" s="132" t="str">
        <f>IF(COUNTIF('Fintech-A'!$A:$A, $C117), P$1, "")</f>
        <v/>
      </c>
      <c r="Q117" s="132" t="str">
        <f>IF(COUNTIF('Fintech-B'!$A:$A, $C117), Q$1, "")</f>
        <v/>
      </c>
      <c r="R117" s="132" t="str">
        <f>IF(COUNTIF('BEDM-A'!$A:$A, $C117), R$1, "")</f>
        <v/>
      </c>
      <c r="S117" s="132" t="str">
        <f>IF(COUNTIF('BEDM-B'!$A:$A, $C117), S$1, "")</f>
        <v>Behavioural Economics and Decision-Making (B)</v>
      </c>
      <c r="T117" s="132" t="str">
        <f>IF(COUNTIF('Art-A'!$A:$A, $C117), T$1, "")</f>
        <v/>
      </c>
      <c r="U117" s="132" t="str">
        <f>IF(COUNTIF('Art-B'!$A:$A, $C117), U$1, "")</f>
        <v/>
      </c>
      <c r="V117" s="132" t="str">
        <f>IF(COUNTIF('WH-A'!$A:$A, $C117), V$1, "")</f>
        <v/>
      </c>
      <c r="W117" s="132" t="str">
        <f>IF(COUNTIF('WH-B'!$A:$A, $C117), W$1, "")</f>
        <v>Workplace Happiness: Science &amp; Practice (B)</v>
      </c>
      <c r="X117" s="132" t="str">
        <f>IF(COUNTIF(LETV!$A:$A, $C117), X$1, "")</f>
        <v/>
      </c>
      <c r="Y117" s="132" t="str">
        <f>IF(COUNTIF('Film&amp;Firm-A'!$A:$A, $C117), Y$1, "")</f>
        <v/>
      </c>
      <c r="Z117" s="132" t="str">
        <f>IF(COUNTIF('Film&amp;Firm-B'!$A:$A, $C117), Z$1, "")</f>
        <v/>
      </c>
      <c r="AA117" s="132" t="str">
        <f>IF(COUNTIF(SHRM!$A:$A, $C117), AA$1, "")</f>
        <v/>
      </c>
      <c r="AB117" s="132" t="str">
        <f>IF(COUNTIF('SCM-A'!$A:$A, $C117), AB$1, "")</f>
        <v/>
      </c>
      <c r="AC117" s="132" t="str">
        <f>IF(COUNTIF('SCM-B'!$A:$A, $C117), AC$1, "")</f>
        <v/>
      </c>
      <c r="AD117" s="132" t="str">
        <f>IF(COUNTIF(AIS!$A:$A, $C117), AD$1, "")</f>
        <v/>
      </c>
      <c r="AE117" s="132" t="str">
        <f>IF(COUNTIF(EB!$A:$A, $C117), AE$1, "")</f>
        <v/>
      </c>
      <c r="AF117" s="132" t="str">
        <f>IF(COUNTIF('AIAM-A'!$A:$A, $C117), AF$1, "")</f>
        <v/>
      </c>
      <c r="AG117" s="132" t="str">
        <f>IF(COUNTIF('AIAM-B'!$A:$A, $C117), AG$1, "")</f>
        <v/>
      </c>
      <c r="AH117" s="132" t="str">
        <f>IF(COUNTIF('SA-A'!$A:$A, $C117), AH$1, "")</f>
        <v>SPORTS ANALYTICS (A)</v>
      </c>
      <c r="AI117" s="132" t="str">
        <f>IF(COUNTIF('SA-B'!$A:$A, $C117), AI$1, "")</f>
        <v/>
      </c>
      <c r="AJ117" s="132" t="str">
        <f>IF(COUNTIF(CSM!$A:$A, $C117), AJ$1, "")</f>
        <v/>
      </c>
      <c r="AK117" s="132" t="str">
        <f>IF(COUNTIF(EM!$A:$A, $C117), AK$1, "")</f>
        <v/>
      </c>
      <c r="AL117" s="132" t="str">
        <f>IF(COUNTIF(I4TS!$A:$A, $C117), AL$1, "")</f>
        <v/>
      </c>
    </row>
    <row r="118" spans="1:38" ht="13">
      <c r="A118" s="131">
        <v>117</v>
      </c>
      <c r="B118" s="131" t="s">
        <v>557</v>
      </c>
      <c r="C118" s="134" t="s">
        <v>693</v>
      </c>
      <c r="D118" s="135" t="s">
        <v>694</v>
      </c>
      <c r="E118" s="135" t="s">
        <v>695</v>
      </c>
      <c r="F118" s="131">
        <f t="shared" ca="1" si="0"/>
        <v>5</v>
      </c>
      <c r="G118" s="106" t="str">
        <f ca="1">IFERROR(__xludf.DUMMYFUNCTION("INDEX(FILTER($P118:$AL118, $P118:$AL118 &lt;&gt; """"), 1)"),"Fintech (Digital Transformation in Finance) (A)")</f>
        <v>Fintech (Digital Transformation in Finance) (A)</v>
      </c>
      <c r="H118" s="106" t="str">
        <f ca="1">IFERROR(__xludf.DUMMYFUNCTION("INDEX(FILTER($P118:$AL118, $P118:$AL118 &lt;&gt; """"), 2)"),"Film &amp; the Firm: Visual Culture in Business Contexts (B)")</f>
        <v>Film &amp; the Firm: Visual Culture in Business Contexts (B)</v>
      </c>
      <c r="I118" s="106" t="str">
        <f ca="1">IFERROR(__xludf.DUMMYFUNCTION("INDEX(FILTER($P118:$AL118, $P118:$AL118 &lt;&gt; """"), 3)"),"SPORTS ANALYTICS (A)")</f>
        <v>SPORTS ANALYTICS (A)</v>
      </c>
      <c r="J118" s="106" t="str">
        <f ca="1">IFERROR(__xludf.DUMMYFUNCTION("IFERROR(INDEX(FILTER($P118:$AL118, $P118:$AL118 &lt;&gt; """"), 4),)"),"")</f>
        <v/>
      </c>
      <c r="K118" s="106" t="str">
        <f ca="1">IFERROR(__xludf.DUMMYFUNCTION("IFERROR(INDEX(FILTER($P118:$AL118, $P118:$AL118 &lt;&gt; """"), 5),)"),"")</f>
        <v/>
      </c>
      <c r="L118" s="107"/>
      <c r="M118" s="107"/>
      <c r="N118" s="107"/>
      <c r="O118" s="107"/>
      <c r="P118" s="132" t="str">
        <f>IF(COUNTIF('Fintech-A'!$A:$A, $C118), P$1, "")</f>
        <v>Fintech (Digital Transformation in Finance) (A)</v>
      </c>
      <c r="Q118" s="132" t="str">
        <f>IF(COUNTIF('Fintech-B'!$A:$A, $C118), Q$1, "")</f>
        <v/>
      </c>
      <c r="R118" s="132" t="str">
        <f>IF(COUNTIF('BEDM-A'!$A:$A, $C118), R$1, "")</f>
        <v/>
      </c>
      <c r="S118" s="132" t="str">
        <f>IF(COUNTIF('BEDM-B'!$A:$A, $C118), S$1, "")</f>
        <v/>
      </c>
      <c r="T118" s="132" t="str">
        <f>IF(COUNTIF('Art-A'!$A:$A, $C118), T$1, "")</f>
        <v/>
      </c>
      <c r="U118" s="132" t="str">
        <f>IF(COUNTIF('Art-B'!$A:$A, $C118), U$1, "")</f>
        <v/>
      </c>
      <c r="V118" s="132" t="str">
        <f>IF(COUNTIF('WH-A'!$A:$A, $C118), V$1, "")</f>
        <v/>
      </c>
      <c r="W118" s="132" t="str">
        <f>IF(COUNTIF('WH-B'!$A:$A, $C118), W$1, "")</f>
        <v/>
      </c>
      <c r="X118" s="132" t="str">
        <f>IF(COUNTIF(LETV!$A:$A, $C118), X$1, "")</f>
        <v/>
      </c>
      <c r="Y118" s="132" t="str">
        <f>IF(COUNTIF('Film&amp;Firm-A'!$A:$A, $C118), Y$1, "")</f>
        <v/>
      </c>
      <c r="Z118" s="132" t="str">
        <f>IF(COUNTIF('Film&amp;Firm-B'!$A:$A, $C118), Z$1, "")</f>
        <v>Film &amp; the Firm: Visual Culture in Business Contexts (B)</v>
      </c>
      <c r="AA118" s="132" t="str">
        <f>IF(COUNTIF(SHRM!$A:$A, $C118), AA$1, "")</f>
        <v/>
      </c>
      <c r="AB118" s="132" t="str">
        <f>IF(COUNTIF('SCM-A'!$A:$A, $C118), AB$1, "")</f>
        <v/>
      </c>
      <c r="AC118" s="132" t="str">
        <f>IF(COUNTIF('SCM-B'!$A:$A, $C118), AC$1, "")</f>
        <v/>
      </c>
      <c r="AD118" s="132" t="str">
        <f>IF(COUNTIF(AIS!$A:$A, $C118), AD$1, "")</f>
        <v/>
      </c>
      <c r="AE118" s="132" t="str">
        <f>IF(COUNTIF(EB!$A:$A, $C118), AE$1, "")</f>
        <v/>
      </c>
      <c r="AF118" s="132" t="str">
        <f>IF(COUNTIF('AIAM-A'!$A:$A, $C118), AF$1, "")</f>
        <v/>
      </c>
      <c r="AG118" s="132" t="str">
        <f>IF(COUNTIF('AIAM-B'!$A:$A, $C118), AG$1, "")</f>
        <v/>
      </c>
      <c r="AH118" s="132" t="str">
        <f>IF(COUNTIF('SA-A'!$A:$A, $C118), AH$1, "")</f>
        <v>SPORTS ANALYTICS (A)</v>
      </c>
      <c r="AI118" s="132" t="str">
        <f>IF(COUNTIF('SA-B'!$A:$A, $C118), AI$1, "")</f>
        <v/>
      </c>
      <c r="AJ118" s="132" t="str">
        <f>IF(COUNTIF(CSM!$A:$A, $C118), AJ$1, "")</f>
        <v/>
      </c>
      <c r="AK118" s="132" t="str">
        <f>IF(COUNTIF(EM!$A:$A, $C118), AK$1, "")</f>
        <v/>
      </c>
      <c r="AL118" s="132" t="str">
        <f>IF(COUNTIF(I4TS!$A:$A, $C118), AL$1, "")</f>
        <v/>
      </c>
    </row>
    <row r="119" spans="1:38" ht="13">
      <c r="A119" s="131">
        <v>118</v>
      </c>
      <c r="B119" s="131" t="s">
        <v>557</v>
      </c>
      <c r="C119" s="134" t="s">
        <v>696</v>
      </c>
      <c r="D119" s="135" t="s">
        <v>697</v>
      </c>
      <c r="E119" s="135" t="s">
        <v>698</v>
      </c>
      <c r="F119" s="131">
        <f t="shared" ca="1" si="0"/>
        <v>5</v>
      </c>
      <c r="G119" s="106" t="str">
        <f ca="1">IFERROR(__xludf.DUMMYFUNCTION("INDEX(FILTER($P119:$AL119, $P119:$AL119 &lt;&gt; """"), 1)"),"Film &amp; the Firm: Visual Culture in Business Contexts (B)")</f>
        <v>Film &amp; the Firm: Visual Culture in Business Contexts (B)</v>
      </c>
      <c r="H119" s="106" t="str">
        <f ca="1">IFERROR(__xludf.DUMMYFUNCTION("INDEX(FILTER($P119:$AL119, $P119:$AL119 &lt;&gt; """"), 2)"),"Strategic Career Management (A)")</f>
        <v>Strategic Career Management (A)</v>
      </c>
      <c r="I119" s="106" t="str">
        <f ca="1">IFERROR(__xludf.DUMMYFUNCTION("INDEX(FILTER($P119:$AL119, $P119:$AL119 &lt;&gt; """"), 3)"),"AI Applications in Marketing (B)")</f>
        <v>AI Applications in Marketing (B)</v>
      </c>
      <c r="J119" s="106" t="str">
        <f ca="1">IFERROR(__xludf.DUMMYFUNCTION("IFERROR(INDEX(FILTER($P119:$AL119, $P119:$AL119 &lt;&gt; """"), 4),)"),"")</f>
        <v/>
      </c>
      <c r="K119" s="106" t="str">
        <f ca="1">IFERROR(__xludf.DUMMYFUNCTION("IFERROR(INDEX(FILTER($P119:$AL119, $P119:$AL119 &lt;&gt; """"), 5),)"),"")</f>
        <v/>
      </c>
      <c r="L119" s="107"/>
      <c r="M119" s="107"/>
      <c r="N119" s="107"/>
      <c r="O119" s="107"/>
      <c r="P119" s="132" t="str">
        <f>IF(COUNTIF('Fintech-A'!$A:$A, $C119), P$1, "")</f>
        <v/>
      </c>
      <c r="Q119" s="132" t="str">
        <f>IF(COUNTIF('Fintech-B'!$A:$A, $C119), Q$1, "")</f>
        <v/>
      </c>
      <c r="R119" s="132" t="str">
        <f>IF(COUNTIF('BEDM-A'!$A:$A, $C119), R$1, "")</f>
        <v/>
      </c>
      <c r="S119" s="132" t="str">
        <f>IF(COUNTIF('BEDM-B'!$A:$A, $C119), S$1, "")</f>
        <v/>
      </c>
      <c r="T119" s="132" t="str">
        <f>IF(COUNTIF('Art-A'!$A:$A, $C119), T$1, "")</f>
        <v/>
      </c>
      <c r="U119" s="132" t="str">
        <f>IF(COUNTIF('Art-B'!$A:$A, $C119), U$1, "")</f>
        <v/>
      </c>
      <c r="V119" s="132" t="str">
        <f>IF(COUNTIF('WH-A'!$A:$A, $C119), V$1, "")</f>
        <v/>
      </c>
      <c r="W119" s="132" t="str">
        <f>IF(COUNTIF('WH-B'!$A:$A, $C119), W$1, "")</f>
        <v/>
      </c>
      <c r="X119" s="132" t="str">
        <f>IF(COUNTIF(LETV!$A:$A, $C119), X$1, "")</f>
        <v/>
      </c>
      <c r="Y119" s="132" t="str">
        <f>IF(COUNTIF('Film&amp;Firm-A'!$A:$A, $C119), Y$1, "")</f>
        <v/>
      </c>
      <c r="Z119" s="132" t="str">
        <f>IF(COUNTIF('Film&amp;Firm-B'!$A:$A, $C119), Z$1, "")</f>
        <v>Film &amp; the Firm: Visual Culture in Business Contexts (B)</v>
      </c>
      <c r="AA119" s="132" t="str">
        <f>IF(COUNTIF(SHRM!$A:$A, $C119), AA$1, "")</f>
        <v/>
      </c>
      <c r="AB119" s="132" t="str">
        <f>IF(COUNTIF('SCM-A'!$A:$A, $C119), AB$1, "")</f>
        <v>Strategic Career Management (A)</v>
      </c>
      <c r="AC119" s="132" t="str">
        <f>IF(COUNTIF('SCM-B'!$A:$A, $C119), AC$1, "")</f>
        <v/>
      </c>
      <c r="AD119" s="132" t="str">
        <f>IF(COUNTIF(AIS!$A:$A, $C119), AD$1, "")</f>
        <v/>
      </c>
      <c r="AE119" s="132" t="str">
        <f>IF(COUNTIF(EB!$A:$A, $C119), AE$1, "")</f>
        <v/>
      </c>
      <c r="AF119" s="132" t="str">
        <f>IF(COUNTIF('AIAM-A'!$A:$A, $C119), AF$1, "")</f>
        <v/>
      </c>
      <c r="AG119" s="132" t="str">
        <f>IF(COUNTIF('AIAM-B'!$A:$A, $C119), AG$1, "")</f>
        <v>AI Applications in Marketing (B)</v>
      </c>
      <c r="AH119" s="132" t="str">
        <f>IF(COUNTIF('SA-A'!$A:$A, $C119), AH$1, "")</f>
        <v/>
      </c>
      <c r="AI119" s="132" t="str">
        <f>IF(COUNTIF('SA-B'!$A:$A, $C119), AI$1, "")</f>
        <v/>
      </c>
      <c r="AJ119" s="132" t="str">
        <f>IF(COUNTIF(CSM!$A:$A, $C119), AJ$1, "")</f>
        <v/>
      </c>
      <c r="AK119" s="132" t="str">
        <f>IF(COUNTIF(EM!$A:$A, $C119), AK$1, "")</f>
        <v/>
      </c>
      <c r="AL119" s="132" t="str">
        <f>IF(COUNTIF(I4TS!$A:$A, $C119), AL$1, "")</f>
        <v/>
      </c>
    </row>
    <row r="120" spans="1:38" ht="13">
      <c r="A120" s="131">
        <v>119</v>
      </c>
      <c r="B120" s="131" t="s">
        <v>557</v>
      </c>
      <c r="C120" s="134" t="s">
        <v>699</v>
      </c>
      <c r="D120" s="135" t="s">
        <v>700</v>
      </c>
      <c r="E120" s="135" t="s">
        <v>701</v>
      </c>
      <c r="F120" s="131">
        <f t="shared" ca="1" si="0"/>
        <v>5</v>
      </c>
      <c r="G120" s="106" t="str">
        <f ca="1">IFERROR(__xludf.DUMMYFUNCTION("INDEX(FILTER($P120:$AL120, $P120:$AL120 &lt;&gt; """"), 1)"),"Fintech (Digital Transformation in Finance) (A)")</f>
        <v>Fintech (Digital Transformation in Finance) (A)</v>
      </c>
      <c r="H120" s="106" t="str">
        <f ca="1">IFERROR(__xludf.DUMMYFUNCTION("INDEX(FILTER($P120:$AL120, $P120:$AL120 &lt;&gt; """"), 2)"),"Behavioural Economics and Decision-Making (B)")</f>
        <v>Behavioural Economics and Decision-Making (B)</v>
      </c>
      <c r="I120" s="106" t="str">
        <f ca="1">IFERROR(__xludf.DUMMYFUNCTION("INDEX(FILTER($P120:$AL120, $P120:$AL120 &lt;&gt; """"), 3)"),"Strategic Career Management (B)")</f>
        <v>Strategic Career Management (B)</v>
      </c>
      <c r="J120" s="106" t="str">
        <f ca="1">IFERROR(__xludf.DUMMYFUNCTION("IFERROR(INDEX(FILTER($P120:$AL120, $P120:$AL120 &lt;&gt; """"), 4),)"),"AI Applications in Marketing (B)")</f>
        <v>AI Applications in Marketing (B)</v>
      </c>
      <c r="K120" s="106" t="str">
        <f ca="1">IFERROR(__xludf.DUMMYFUNCTION("IFERROR(INDEX(FILTER($P120:$AL120, $P120:$AL120 &lt;&gt; """"), 5),)"),"SPORTS ANALYTICS (B)")</f>
        <v>SPORTS ANALYTICS (B)</v>
      </c>
      <c r="L120" s="107"/>
      <c r="M120" s="107"/>
      <c r="N120" s="107"/>
      <c r="O120" s="107"/>
      <c r="P120" s="132" t="str">
        <f>IF(COUNTIF('Fintech-A'!$A:$A, $C120), P$1, "")</f>
        <v>Fintech (Digital Transformation in Finance) (A)</v>
      </c>
      <c r="Q120" s="132" t="str">
        <f>IF(COUNTIF('Fintech-B'!$A:$A, $C120), Q$1, "")</f>
        <v/>
      </c>
      <c r="R120" s="132" t="str">
        <f>IF(COUNTIF('BEDM-A'!$A:$A, $C120), R$1, "")</f>
        <v/>
      </c>
      <c r="S120" s="132" t="str">
        <f>IF(COUNTIF('BEDM-B'!$A:$A, $C120), S$1, "")</f>
        <v>Behavioural Economics and Decision-Making (B)</v>
      </c>
      <c r="T120" s="132" t="str">
        <f>IF(COUNTIF('Art-A'!$A:$A, $C120), T$1, "")</f>
        <v/>
      </c>
      <c r="U120" s="132" t="str">
        <f>IF(COUNTIF('Art-B'!$A:$A, $C120), U$1, "")</f>
        <v/>
      </c>
      <c r="V120" s="132" t="str">
        <f>IF(COUNTIF('WH-A'!$A:$A, $C120), V$1, "")</f>
        <v/>
      </c>
      <c r="W120" s="132" t="str">
        <f>IF(COUNTIF('WH-B'!$A:$A, $C120), W$1, "")</f>
        <v/>
      </c>
      <c r="X120" s="132" t="str">
        <f>IF(COUNTIF(LETV!$A:$A, $C120), X$1, "")</f>
        <v/>
      </c>
      <c r="Y120" s="132" t="str">
        <f>IF(COUNTIF('Film&amp;Firm-A'!$A:$A, $C120), Y$1, "")</f>
        <v/>
      </c>
      <c r="Z120" s="132" t="str">
        <f>IF(COUNTIF('Film&amp;Firm-B'!$A:$A, $C120), Z$1, "")</f>
        <v/>
      </c>
      <c r="AA120" s="132" t="str">
        <f>IF(COUNTIF(SHRM!$A:$A, $C120), AA$1, "")</f>
        <v/>
      </c>
      <c r="AB120" s="132" t="str">
        <f>IF(COUNTIF('SCM-A'!$A:$A, $C120), AB$1, "")</f>
        <v/>
      </c>
      <c r="AC120" s="132" t="str">
        <f>IF(COUNTIF('SCM-B'!$A:$A, $C120), AC$1, "")</f>
        <v>Strategic Career Management (B)</v>
      </c>
      <c r="AD120" s="132" t="str">
        <f>IF(COUNTIF(AIS!$A:$A, $C120), AD$1, "")</f>
        <v/>
      </c>
      <c r="AE120" s="132" t="str">
        <f>IF(COUNTIF(EB!$A:$A, $C120), AE$1, "")</f>
        <v/>
      </c>
      <c r="AF120" s="132" t="str">
        <f>IF(COUNTIF('AIAM-A'!$A:$A, $C120), AF$1, "")</f>
        <v/>
      </c>
      <c r="AG120" s="132" t="str">
        <f>IF(COUNTIF('AIAM-B'!$A:$A, $C120), AG$1, "")</f>
        <v>AI Applications in Marketing (B)</v>
      </c>
      <c r="AH120" s="132" t="str">
        <f>IF(COUNTIF('SA-A'!$A:$A, $C120), AH$1, "")</f>
        <v/>
      </c>
      <c r="AI120" s="132" t="str">
        <f>IF(COUNTIF('SA-B'!$A:$A, $C120), AI$1, "")</f>
        <v>SPORTS ANALYTICS (B)</v>
      </c>
      <c r="AJ120" s="132" t="str">
        <f>IF(COUNTIF(CSM!$A:$A, $C120), AJ$1, "")</f>
        <v/>
      </c>
      <c r="AK120" s="132" t="str">
        <f>IF(COUNTIF(EM!$A:$A, $C120), AK$1, "")</f>
        <v/>
      </c>
      <c r="AL120" s="132" t="str">
        <f>IF(COUNTIF(I4TS!$A:$A, $C120), AL$1, "")</f>
        <v/>
      </c>
    </row>
    <row r="121" spans="1:38" ht="13">
      <c r="A121" s="131">
        <v>120</v>
      </c>
      <c r="B121" s="131" t="s">
        <v>557</v>
      </c>
      <c r="C121" s="134" t="s">
        <v>702</v>
      </c>
      <c r="D121" s="135" t="s">
        <v>703</v>
      </c>
      <c r="E121" s="135" t="s">
        <v>704</v>
      </c>
      <c r="F121" s="131">
        <f t="shared" ca="1" si="0"/>
        <v>5</v>
      </c>
      <c r="G121" s="106" t="str">
        <f ca="1">IFERROR(__xludf.DUMMYFUNCTION("INDEX(FILTER($P121:$AL121, $P121:$AL121 &lt;&gt; """"), 1)"),"Fintech (Digital Transformation in Finance) (B)")</f>
        <v>Fintech (Digital Transformation in Finance) (B)</v>
      </c>
      <c r="H121" s="106" t="str">
        <f ca="1">IFERROR(__xludf.DUMMYFUNCTION("INDEX(FILTER($P121:$AL121, $P121:$AL121 &lt;&gt; """"), 2)"),"Behavioural Economics and Decision-Making (B)")</f>
        <v>Behavioural Economics and Decision-Making (B)</v>
      </c>
      <c r="I121" s="106" t="str">
        <f ca="1">IFERROR(__xludf.DUMMYFUNCTION("INDEX(FILTER($P121:$AL121, $P121:$AL121 &lt;&gt; """"), 3)"),"SPORTS ANALYTICS (B)")</f>
        <v>SPORTS ANALYTICS (B)</v>
      </c>
      <c r="J121" s="106" t="str">
        <f ca="1">IFERROR(__xludf.DUMMYFUNCTION("IFERROR(INDEX(FILTER($P121:$AL121, $P121:$AL121 &lt;&gt; """"), 4),)"),"")</f>
        <v/>
      </c>
      <c r="K121" s="106" t="str">
        <f ca="1">IFERROR(__xludf.DUMMYFUNCTION("IFERROR(INDEX(FILTER($P121:$AL121, $P121:$AL121 &lt;&gt; """"), 5),)"),"")</f>
        <v/>
      </c>
      <c r="L121" s="107"/>
      <c r="M121" s="107"/>
      <c r="N121" s="107"/>
      <c r="O121" s="107"/>
      <c r="P121" s="132" t="str">
        <f>IF(COUNTIF('Fintech-A'!$A:$A, $C121), P$1, "")</f>
        <v/>
      </c>
      <c r="Q121" s="132" t="str">
        <f>IF(COUNTIF('Fintech-B'!$A:$A, $C121), Q$1, "")</f>
        <v>Fintech (Digital Transformation in Finance) (B)</v>
      </c>
      <c r="R121" s="132" t="str">
        <f>IF(COUNTIF('BEDM-A'!$A:$A, $C121), R$1, "")</f>
        <v/>
      </c>
      <c r="S121" s="132" t="str">
        <f>IF(COUNTIF('BEDM-B'!$A:$A, $C121), S$1, "")</f>
        <v>Behavioural Economics and Decision-Making (B)</v>
      </c>
      <c r="T121" s="132" t="str">
        <f>IF(COUNTIF('Art-A'!$A:$A, $C121), T$1, "")</f>
        <v/>
      </c>
      <c r="U121" s="132" t="str">
        <f>IF(COUNTIF('Art-B'!$A:$A, $C121), U$1, "")</f>
        <v/>
      </c>
      <c r="V121" s="132" t="str">
        <f>IF(COUNTIF('WH-A'!$A:$A, $C121), V$1, "")</f>
        <v/>
      </c>
      <c r="W121" s="132" t="str">
        <f>IF(COUNTIF('WH-B'!$A:$A, $C121), W$1, "")</f>
        <v/>
      </c>
      <c r="X121" s="132" t="str">
        <f>IF(COUNTIF(LETV!$A:$A, $C121), X$1, "")</f>
        <v/>
      </c>
      <c r="Y121" s="132" t="str">
        <f>IF(COUNTIF('Film&amp;Firm-A'!$A:$A, $C121), Y$1, "")</f>
        <v/>
      </c>
      <c r="Z121" s="132" t="str">
        <f>IF(COUNTIF('Film&amp;Firm-B'!$A:$A, $C121), Z$1, "")</f>
        <v/>
      </c>
      <c r="AA121" s="132" t="str">
        <f>IF(COUNTIF(SHRM!$A:$A, $C121), AA$1, "")</f>
        <v/>
      </c>
      <c r="AB121" s="132" t="str">
        <f>IF(COUNTIF('SCM-A'!$A:$A, $C121), AB$1, "")</f>
        <v/>
      </c>
      <c r="AC121" s="132" t="str">
        <f>IF(COUNTIF('SCM-B'!$A:$A, $C121), AC$1, "")</f>
        <v/>
      </c>
      <c r="AD121" s="132" t="str">
        <f>IF(COUNTIF(AIS!$A:$A, $C121), AD$1, "")</f>
        <v/>
      </c>
      <c r="AE121" s="132" t="str">
        <f>IF(COUNTIF(EB!$A:$A, $C121), AE$1, "")</f>
        <v/>
      </c>
      <c r="AF121" s="132" t="str">
        <f>IF(COUNTIF('AIAM-A'!$A:$A, $C121), AF$1, "")</f>
        <v/>
      </c>
      <c r="AG121" s="132" t="str">
        <f>IF(COUNTIF('AIAM-B'!$A:$A, $C121), AG$1, "")</f>
        <v/>
      </c>
      <c r="AH121" s="132" t="str">
        <f>IF(COUNTIF('SA-A'!$A:$A, $C121), AH$1, "")</f>
        <v/>
      </c>
      <c r="AI121" s="132" t="str">
        <f>IF(COUNTIF('SA-B'!$A:$A, $C121), AI$1, "")</f>
        <v>SPORTS ANALYTICS (B)</v>
      </c>
      <c r="AJ121" s="132" t="str">
        <f>IF(COUNTIF(CSM!$A:$A, $C121), AJ$1, "")</f>
        <v/>
      </c>
      <c r="AK121" s="132" t="str">
        <f>IF(COUNTIF(EM!$A:$A, $C121), AK$1, "")</f>
        <v/>
      </c>
      <c r="AL121" s="132" t="str">
        <f>IF(COUNTIF(I4TS!$A:$A, $C121), AL$1, "")</f>
        <v/>
      </c>
    </row>
    <row r="122" spans="1:38" ht="13">
      <c r="A122" s="131">
        <v>121</v>
      </c>
      <c r="B122" s="131" t="s">
        <v>557</v>
      </c>
      <c r="C122" s="134" t="s">
        <v>705</v>
      </c>
      <c r="D122" s="135" t="s">
        <v>706</v>
      </c>
      <c r="E122" s="135" t="s">
        <v>707</v>
      </c>
      <c r="F122" s="131">
        <f t="shared" ca="1" si="0"/>
        <v>5</v>
      </c>
      <c r="G122" s="106" t="str">
        <f ca="1">IFERROR(__xludf.DUMMYFUNCTION("INDEX(FILTER($P122:$AL122, $P122:$AL122 &lt;&gt; """"), 1)"),"The Art, Craft, and Science of Management: Learning through Classics and Best Collections (B)")</f>
        <v>The Art, Craft, and Science of Management: Learning through Classics and Best Collections (B)</v>
      </c>
      <c r="H122" s="106" t="str">
        <f ca="1">IFERROR(__xludf.DUMMYFUNCTION("INDEX(FILTER($P122:$AL122, $P122:$AL122 &lt;&gt; """"), 2)"),"Leadership Excellence Through Values : Wisdom from the Mahabharata")</f>
        <v>Leadership Excellence Through Values : Wisdom from the Mahabharata</v>
      </c>
      <c r="I122" s="106" t="str">
        <f ca="1">IFERROR(__xludf.DUMMYFUNCTION("INDEX(FILTER($P122:$AL122, $P122:$AL122 &lt;&gt; """"), 3)"),"AI AND  STRATEGY")</f>
        <v>AI AND  STRATEGY</v>
      </c>
      <c r="J122" s="106" t="str">
        <f ca="1">IFERROR(__xludf.DUMMYFUNCTION("IFERROR(INDEX(FILTER($P122:$AL122, $P122:$AL122 &lt;&gt; """"), 4),)"),"")</f>
        <v/>
      </c>
      <c r="K122" s="106" t="str">
        <f ca="1">IFERROR(__xludf.DUMMYFUNCTION("IFERROR(INDEX(FILTER($P122:$AL122, $P122:$AL122 &lt;&gt; """"), 5),)"),"")</f>
        <v/>
      </c>
      <c r="L122" s="107"/>
      <c r="M122" s="107"/>
      <c r="N122" s="107"/>
      <c r="O122" s="107"/>
      <c r="P122" s="132" t="str">
        <f>IF(COUNTIF('Fintech-A'!$A:$A, $C122), P$1, "")</f>
        <v/>
      </c>
      <c r="Q122" s="132" t="str">
        <f>IF(COUNTIF('Fintech-B'!$A:$A, $C122), Q$1, "")</f>
        <v/>
      </c>
      <c r="R122" s="132" t="str">
        <f>IF(COUNTIF('BEDM-A'!$A:$A, $C122), R$1, "")</f>
        <v/>
      </c>
      <c r="S122" s="132" t="str">
        <f>IF(COUNTIF('BEDM-B'!$A:$A, $C122), S$1, "")</f>
        <v/>
      </c>
      <c r="T122" s="132" t="str">
        <f>IF(COUNTIF('Art-A'!$A:$A, $C122), T$1, "")</f>
        <v/>
      </c>
      <c r="U122" s="132" t="str">
        <f>IF(COUNTIF('Art-B'!$A:$A, $C122), U$1, "")</f>
        <v>The Art, Craft, and Science of Management: Learning through Classics and Best Collections (B)</v>
      </c>
      <c r="V122" s="132" t="str">
        <f>IF(COUNTIF('WH-A'!$A:$A, $C122), V$1, "")</f>
        <v/>
      </c>
      <c r="W122" s="132" t="str">
        <f>IF(COUNTIF('WH-B'!$A:$A, $C122), W$1, "")</f>
        <v/>
      </c>
      <c r="X122" s="132" t="str">
        <f>IF(COUNTIF(LETV!$A:$A, $C122), X$1, "")</f>
        <v>Leadership Excellence Through Values : Wisdom from the Mahabharata</v>
      </c>
      <c r="Y122" s="132" t="str">
        <f>IF(COUNTIF('Film&amp;Firm-A'!$A:$A, $C122), Y$1, "")</f>
        <v/>
      </c>
      <c r="Z122" s="132" t="str">
        <f>IF(COUNTIF('Film&amp;Firm-B'!$A:$A, $C122), Z$1, "")</f>
        <v/>
      </c>
      <c r="AA122" s="132" t="str">
        <f>IF(COUNTIF(SHRM!$A:$A, $C122), AA$1, "")</f>
        <v/>
      </c>
      <c r="AB122" s="132" t="str">
        <f>IF(COUNTIF('SCM-A'!$A:$A, $C122), AB$1, "")</f>
        <v/>
      </c>
      <c r="AC122" s="132" t="str">
        <f>IF(COUNTIF('SCM-B'!$A:$A, $C122), AC$1, "")</f>
        <v/>
      </c>
      <c r="AD122" s="132" t="str">
        <f>IF(COUNTIF(AIS!$A:$A, $C122), AD$1, "")</f>
        <v>AI AND  STRATEGY</v>
      </c>
      <c r="AE122" s="132" t="str">
        <f>IF(COUNTIF(EB!$A:$A, $C122), AE$1, "")</f>
        <v/>
      </c>
      <c r="AF122" s="132" t="str">
        <f>IF(COUNTIF('AIAM-A'!$A:$A, $C122), AF$1, "")</f>
        <v/>
      </c>
      <c r="AG122" s="132" t="str">
        <f>IF(COUNTIF('AIAM-B'!$A:$A, $C122), AG$1, "")</f>
        <v/>
      </c>
      <c r="AH122" s="132" t="str">
        <f>IF(COUNTIF('SA-A'!$A:$A, $C122), AH$1, "")</f>
        <v/>
      </c>
      <c r="AI122" s="132" t="str">
        <f>IF(COUNTIF('SA-B'!$A:$A, $C122), AI$1, "")</f>
        <v/>
      </c>
      <c r="AJ122" s="132" t="str">
        <f>IF(COUNTIF(CSM!$A:$A, $C122), AJ$1, "")</f>
        <v/>
      </c>
      <c r="AK122" s="132" t="str">
        <f>IF(COUNTIF(EM!$A:$A, $C122), AK$1, "")</f>
        <v/>
      </c>
      <c r="AL122" s="132" t="str">
        <f>IF(COUNTIF(I4TS!$A:$A, $C122), AL$1, "")</f>
        <v/>
      </c>
    </row>
    <row r="123" spans="1:38" ht="13">
      <c r="A123" s="131">
        <v>122</v>
      </c>
      <c r="B123" s="131" t="s">
        <v>557</v>
      </c>
      <c r="C123" s="134" t="s">
        <v>708</v>
      </c>
      <c r="D123" s="135" t="s">
        <v>709</v>
      </c>
      <c r="E123" s="135" t="s">
        <v>710</v>
      </c>
      <c r="F123" s="131">
        <f t="shared" ca="1" si="0"/>
        <v>5</v>
      </c>
      <c r="G123" s="106" t="str">
        <f ca="1">IFERROR(__xludf.DUMMYFUNCTION("INDEX(FILTER($P123:$AL123, $P123:$AL123 &lt;&gt; """"), 1)"),"Behavioural Economics and Decision-Making (A)")</f>
        <v>Behavioural Economics and Decision-Making (A)</v>
      </c>
      <c r="H123" s="106" t="str">
        <f ca="1">IFERROR(__xludf.DUMMYFUNCTION("INDEX(FILTER($P123:$AL123, $P123:$AL123 &lt;&gt; """"), 2)"),"Workplace Happiness: Science &amp; Practice (A)")</f>
        <v>Workplace Happiness: Science &amp; Practice (A)</v>
      </c>
      <c r="I123" s="106" t="str">
        <f ca="1">IFERROR(__xludf.DUMMYFUNCTION("INDEX(FILTER($P123:$AL123, $P123:$AL123 &lt;&gt; """"), 3)"),"SPORTS ANALYTICS (B)")</f>
        <v>SPORTS ANALYTICS (B)</v>
      </c>
      <c r="J123" s="106" t="str">
        <f ca="1">IFERROR(__xludf.DUMMYFUNCTION("IFERROR(INDEX(FILTER($P123:$AL123, $P123:$AL123 &lt;&gt; """"), 4),)"),"")</f>
        <v/>
      </c>
      <c r="K123" s="106" t="str">
        <f ca="1">IFERROR(__xludf.DUMMYFUNCTION("IFERROR(INDEX(FILTER($P123:$AL123, $P123:$AL123 &lt;&gt; """"), 5),)"),"")</f>
        <v/>
      </c>
      <c r="L123" s="107"/>
      <c r="M123" s="107"/>
      <c r="N123" s="107"/>
      <c r="O123" s="107"/>
      <c r="P123" s="132" t="str">
        <f>IF(COUNTIF('Fintech-A'!$A:$A, $C123), P$1, "")</f>
        <v/>
      </c>
      <c r="Q123" s="132" t="str">
        <f>IF(COUNTIF('Fintech-B'!$A:$A, $C123), Q$1, "")</f>
        <v/>
      </c>
      <c r="R123" s="132" t="str">
        <f>IF(COUNTIF('BEDM-A'!$A:$A, $C123), R$1, "")</f>
        <v>Behavioural Economics and Decision-Making (A)</v>
      </c>
      <c r="S123" s="132" t="str">
        <f>IF(COUNTIF('BEDM-B'!$A:$A, $C123), S$1, "")</f>
        <v/>
      </c>
      <c r="T123" s="132" t="str">
        <f>IF(COUNTIF('Art-A'!$A:$A, $C123), T$1, "")</f>
        <v/>
      </c>
      <c r="U123" s="132" t="str">
        <f>IF(COUNTIF('Art-B'!$A:$A, $C123), U$1, "")</f>
        <v/>
      </c>
      <c r="V123" s="132" t="str">
        <f>IF(COUNTIF('WH-A'!$A:$A, $C123), V$1, "")</f>
        <v>Workplace Happiness: Science &amp; Practice (A)</v>
      </c>
      <c r="W123" s="132" t="str">
        <f>IF(COUNTIF('WH-B'!$A:$A, $C123), W$1, "")</f>
        <v/>
      </c>
      <c r="X123" s="132" t="str">
        <f>IF(COUNTIF(LETV!$A:$A, $C123), X$1, "")</f>
        <v/>
      </c>
      <c r="Y123" s="132" t="str">
        <f>IF(COUNTIF('Film&amp;Firm-A'!$A:$A, $C123), Y$1, "")</f>
        <v/>
      </c>
      <c r="Z123" s="132" t="str">
        <f>IF(COUNTIF('Film&amp;Firm-B'!$A:$A, $C123), Z$1, "")</f>
        <v/>
      </c>
      <c r="AA123" s="132" t="str">
        <f>IF(COUNTIF(SHRM!$A:$A, $C123), AA$1, "")</f>
        <v/>
      </c>
      <c r="AB123" s="132" t="str">
        <f>IF(COUNTIF('SCM-A'!$A:$A, $C123), AB$1, "")</f>
        <v/>
      </c>
      <c r="AC123" s="132" t="str">
        <f>IF(COUNTIF('SCM-B'!$A:$A, $C123), AC$1, "")</f>
        <v/>
      </c>
      <c r="AD123" s="132" t="str">
        <f>IF(COUNTIF(AIS!$A:$A, $C123), AD$1, "")</f>
        <v/>
      </c>
      <c r="AE123" s="132" t="str">
        <f>IF(COUNTIF(EB!$A:$A, $C123), AE$1, "")</f>
        <v/>
      </c>
      <c r="AF123" s="132" t="str">
        <f>IF(COUNTIF('AIAM-A'!$A:$A, $C123), AF$1, "")</f>
        <v/>
      </c>
      <c r="AG123" s="132" t="str">
        <f>IF(COUNTIF('AIAM-B'!$A:$A, $C123), AG$1, "")</f>
        <v/>
      </c>
      <c r="AH123" s="132" t="str">
        <f>IF(COUNTIF('SA-A'!$A:$A, $C123), AH$1, "")</f>
        <v/>
      </c>
      <c r="AI123" s="132" t="str">
        <f>IF(COUNTIF('SA-B'!$A:$A, $C123), AI$1, "")</f>
        <v>SPORTS ANALYTICS (B)</v>
      </c>
      <c r="AJ123" s="132" t="str">
        <f>IF(COUNTIF(CSM!$A:$A, $C123), AJ$1, "")</f>
        <v/>
      </c>
      <c r="AK123" s="132" t="str">
        <f>IF(COUNTIF(EM!$A:$A, $C123), AK$1, "")</f>
        <v/>
      </c>
      <c r="AL123" s="132" t="str">
        <f>IF(COUNTIF(I4TS!$A:$A, $C123), AL$1, "")</f>
        <v/>
      </c>
    </row>
    <row r="124" spans="1:38" ht="13">
      <c r="A124" s="131">
        <v>123</v>
      </c>
      <c r="B124" s="131" t="s">
        <v>557</v>
      </c>
      <c r="C124" s="134" t="s">
        <v>711</v>
      </c>
      <c r="D124" s="135" t="s">
        <v>712</v>
      </c>
      <c r="E124" s="135" t="s">
        <v>713</v>
      </c>
      <c r="F124" s="131">
        <f t="shared" ca="1" si="0"/>
        <v>5</v>
      </c>
      <c r="G124" s="106" t="str">
        <f ca="1">IFERROR(__xludf.DUMMYFUNCTION("INDEX(FILTER($P124:$AL124, $P124:$AL124 &lt;&gt; """"), 1)"),"Fintech (Digital Transformation in Finance) (B)")</f>
        <v>Fintech (Digital Transformation in Finance) (B)</v>
      </c>
      <c r="H124" s="106" t="str">
        <f ca="1">IFERROR(__xludf.DUMMYFUNCTION("INDEX(FILTER($P124:$AL124, $P124:$AL124 &lt;&gt; """"), 2)"),"Film &amp; the Firm: Visual Culture in Business Contexts (B)")</f>
        <v>Film &amp; the Firm: Visual Culture in Business Contexts (B)</v>
      </c>
      <c r="I124" s="106" t="str">
        <f ca="1">IFERROR(__xludf.DUMMYFUNCTION("INDEX(FILTER($P124:$AL124, $P124:$AL124 &lt;&gt; """"), 3)"),"Strategic Career Management (A)")</f>
        <v>Strategic Career Management (A)</v>
      </c>
      <c r="J124" s="106" t="str">
        <f ca="1">IFERROR(__xludf.DUMMYFUNCTION("IFERROR(INDEX(FILTER($P124:$AL124, $P124:$AL124 &lt;&gt; """"), 4),)"),"AI Applications in Marketing (B)")</f>
        <v>AI Applications in Marketing (B)</v>
      </c>
      <c r="K124" s="106" t="str">
        <f ca="1">IFERROR(__xludf.DUMMYFUNCTION("IFERROR(INDEX(FILTER($P124:$AL124, $P124:$AL124 &lt;&gt; """"), 5),)"),"Customer Success Management")</f>
        <v>Customer Success Management</v>
      </c>
      <c r="L124" s="107"/>
      <c r="M124" s="107"/>
      <c r="N124" s="107"/>
      <c r="O124" s="107"/>
      <c r="P124" s="132" t="str">
        <f>IF(COUNTIF('Fintech-A'!$A:$A, $C124), P$1, "")</f>
        <v/>
      </c>
      <c r="Q124" s="132" t="str">
        <f>IF(COUNTIF('Fintech-B'!$A:$A, $C124), Q$1, "")</f>
        <v>Fintech (Digital Transformation in Finance) (B)</v>
      </c>
      <c r="R124" s="132" t="str">
        <f>IF(COUNTIF('BEDM-A'!$A:$A, $C124), R$1, "")</f>
        <v/>
      </c>
      <c r="S124" s="132" t="str">
        <f>IF(COUNTIF('BEDM-B'!$A:$A, $C124), S$1, "")</f>
        <v/>
      </c>
      <c r="T124" s="132" t="str">
        <f>IF(COUNTIF('Art-A'!$A:$A, $C124), T$1, "")</f>
        <v/>
      </c>
      <c r="U124" s="132" t="str">
        <f>IF(COUNTIF('Art-B'!$A:$A, $C124), U$1, "")</f>
        <v/>
      </c>
      <c r="V124" s="132" t="str">
        <f>IF(COUNTIF('WH-A'!$A:$A, $C124), V$1, "")</f>
        <v/>
      </c>
      <c r="W124" s="132" t="str">
        <f>IF(COUNTIF('WH-B'!$A:$A, $C124), W$1, "")</f>
        <v/>
      </c>
      <c r="X124" s="132" t="str">
        <f>IF(COUNTIF(LETV!$A:$A, $C124), X$1, "")</f>
        <v/>
      </c>
      <c r="Y124" s="132" t="str">
        <f>IF(COUNTIF('Film&amp;Firm-A'!$A:$A, $C124), Y$1, "")</f>
        <v/>
      </c>
      <c r="Z124" s="132" t="str">
        <f>IF(COUNTIF('Film&amp;Firm-B'!$A:$A, $C124), Z$1, "")</f>
        <v>Film &amp; the Firm: Visual Culture in Business Contexts (B)</v>
      </c>
      <c r="AA124" s="132" t="str">
        <f>IF(COUNTIF(SHRM!$A:$A, $C124), AA$1, "")</f>
        <v/>
      </c>
      <c r="AB124" s="132" t="str">
        <f>IF(COUNTIF('SCM-A'!$A:$A, $C124), AB$1, "")</f>
        <v>Strategic Career Management (A)</v>
      </c>
      <c r="AC124" s="132" t="str">
        <f>IF(COUNTIF('SCM-B'!$A:$A, $C124), AC$1, "")</f>
        <v/>
      </c>
      <c r="AD124" s="132" t="str">
        <f>IF(COUNTIF(AIS!$A:$A, $C124), AD$1, "")</f>
        <v/>
      </c>
      <c r="AE124" s="132" t="str">
        <f>IF(COUNTIF(EB!$A:$A, $C124), AE$1, "")</f>
        <v/>
      </c>
      <c r="AF124" s="132" t="str">
        <f>IF(COUNTIF('AIAM-A'!$A:$A, $C124), AF$1, "")</f>
        <v/>
      </c>
      <c r="AG124" s="132" t="str">
        <f>IF(COUNTIF('AIAM-B'!$A:$A, $C124), AG$1, "")</f>
        <v>AI Applications in Marketing (B)</v>
      </c>
      <c r="AH124" s="132" t="str">
        <f>IF(COUNTIF('SA-A'!$A:$A, $C124), AH$1, "")</f>
        <v/>
      </c>
      <c r="AI124" s="132" t="str">
        <f>IF(COUNTIF('SA-B'!$A:$A, $C124), AI$1, "")</f>
        <v/>
      </c>
      <c r="AJ124" s="132" t="str">
        <f>IF(COUNTIF(CSM!$A:$A, $C124), AJ$1, "")</f>
        <v>Customer Success Management</v>
      </c>
      <c r="AK124" s="132" t="str">
        <f>IF(COUNTIF(EM!$A:$A, $C124), AK$1, "")</f>
        <v/>
      </c>
      <c r="AL124" s="132" t="str">
        <f>IF(COUNTIF(I4TS!$A:$A, $C124), AL$1, "")</f>
        <v/>
      </c>
    </row>
    <row r="125" spans="1:38" ht="13">
      <c r="A125" s="131">
        <v>124</v>
      </c>
      <c r="B125" s="134" t="s">
        <v>557</v>
      </c>
      <c r="C125" s="134" t="s">
        <v>714</v>
      </c>
      <c r="D125" s="135" t="s">
        <v>715</v>
      </c>
      <c r="E125" s="135" t="s">
        <v>716</v>
      </c>
      <c r="F125" s="131">
        <f t="shared" ca="1" si="0"/>
        <v>5</v>
      </c>
      <c r="G125" s="106" t="str">
        <f ca="1">IFERROR(__xludf.DUMMYFUNCTION("INDEX(FILTER($P125:$AL125, $P125:$AL125 &lt;&gt; """"), 1)"),"The Art, Craft, and Science of Management: Learning through Classics and Best Collections (B)")</f>
        <v>The Art, Craft, and Science of Management: Learning through Classics and Best Collections (B)</v>
      </c>
      <c r="H125" s="106" t="str">
        <f ca="1">IFERROR(__xludf.DUMMYFUNCTION("INDEX(FILTER($P125:$AL125, $P125:$AL125 &lt;&gt; """"), 2)"),"Workplace Happiness: Science &amp; Practice (B)")</f>
        <v>Workplace Happiness: Science &amp; Practice (B)</v>
      </c>
      <c r="I125" s="106" t="str">
        <f ca="1">IFERROR(__xludf.DUMMYFUNCTION("INDEX(FILTER($P125:$AL125, $P125:$AL125 &lt;&gt; """"), 3)"),"Film &amp; the Firm: Visual Culture in Business Contexts (A)")</f>
        <v>Film &amp; the Firm: Visual Culture in Business Contexts (A)</v>
      </c>
      <c r="J125" s="106" t="str">
        <f ca="1">IFERROR(__xludf.DUMMYFUNCTION("IFERROR(INDEX(FILTER($P125:$AL125, $P125:$AL125 &lt;&gt; """"), 4),)"),"")</f>
        <v/>
      </c>
      <c r="K125" s="106" t="str">
        <f ca="1">IFERROR(__xludf.DUMMYFUNCTION("IFERROR(INDEX(FILTER($P125:$AL125, $P125:$AL125 &lt;&gt; """"), 5),)"),"")</f>
        <v/>
      </c>
      <c r="L125" s="107"/>
      <c r="M125" s="107"/>
      <c r="N125" s="107"/>
      <c r="O125" s="107"/>
      <c r="P125" s="132" t="str">
        <f>IF(COUNTIF('Fintech-A'!$A:$A, $C125), P$1, "")</f>
        <v/>
      </c>
      <c r="Q125" s="132" t="str">
        <f>IF(COUNTIF('Fintech-B'!$A:$A, $C125), Q$1, "")</f>
        <v/>
      </c>
      <c r="R125" s="132" t="str">
        <f>IF(COUNTIF('BEDM-A'!$A:$A, $C125), R$1, "")</f>
        <v/>
      </c>
      <c r="S125" s="132" t="str">
        <f>IF(COUNTIF('BEDM-B'!$A:$A, $C125), S$1, "")</f>
        <v/>
      </c>
      <c r="T125" s="132" t="str">
        <f>IF(COUNTIF('Art-A'!$A:$A, $C125), T$1, "")</f>
        <v/>
      </c>
      <c r="U125" s="132" t="str">
        <f>IF(COUNTIF('Art-B'!$A:$A, $C125), U$1, "")</f>
        <v>The Art, Craft, and Science of Management: Learning through Classics and Best Collections (B)</v>
      </c>
      <c r="V125" s="132" t="str">
        <f>IF(COUNTIF('WH-A'!$A:$A, $C125), V$1, "")</f>
        <v/>
      </c>
      <c r="W125" s="132" t="str">
        <f>IF(COUNTIF('WH-B'!$A:$A, $C125), W$1, "")</f>
        <v>Workplace Happiness: Science &amp; Practice (B)</v>
      </c>
      <c r="X125" s="132" t="str">
        <f>IF(COUNTIF(LETV!$A:$A, $C125), X$1, "")</f>
        <v/>
      </c>
      <c r="Y125" s="132" t="str">
        <f>IF(COUNTIF('Film&amp;Firm-A'!$A:$A, $C125), Y$1, "")</f>
        <v>Film &amp; the Firm: Visual Culture in Business Contexts (A)</v>
      </c>
      <c r="Z125" s="132" t="str">
        <f>IF(COUNTIF('Film&amp;Firm-B'!$A:$A, $C125), Z$1, "")</f>
        <v/>
      </c>
      <c r="AA125" s="132" t="str">
        <f>IF(COUNTIF(SHRM!$A:$A, $C125), AA$1, "")</f>
        <v/>
      </c>
      <c r="AB125" s="132" t="str">
        <f>IF(COUNTIF('SCM-A'!$A:$A, $C125), AB$1, "")</f>
        <v/>
      </c>
      <c r="AC125" s="132" t="str">
        <f>IF(COUNTIF('SCM-B'!$A:$A, $C125), AC$1, "")</f>
        <v/>
      </c>
      <c r="AD125" s="132" t="str">
        <f>IF(COUNTIF(AIS!$A:$A, $C125), AD$1, "")</f>
        <v/>
      </c>
      <c r="AE125" s="132" t="str">
        <f>IF(COUNTIF(EB!$A:$A, $C125), AE$1, "")</f>
        <v/>
      </c>
      <c r="AF125" s="132" t="str">
        <f>IF(COUNTIF('AIAM-A'!$A:$A, $C125), AF$1, "")</f>
        <v/>
      </c>
      <c r="AG125" s="132" t="str">
        <f>IF(COUNTIF('AIAM-B'!$A:$A, $C125), AG$1, "")</f>
        <v/>
      </c>
      <c r="AH125" s="132" t="str">
        <f>IF(COUNTIF('SA-A'!$A:$A, $C125), AH$1, "")</f>
        <v/>
      </c>
      <c r="AI125" s="132" t="str">
        <f>IF(COUNTIF('SA-B'!$A:$A, $C125), AI$1, "")</f>
        <v/>
      </c>
      <c r="AJ125" s="132" t="str">
        <f>IF(COUNTIF(CSM!$A:$A, $C125), AJ$1, "")</f>
        <v/>
      </c>
      <c r="AK125" s="132" t="str">
        <f>IF(COUNTIF(EM!$A:$A, $C125), AK$1, "")</f>
        <v/>
      </c>
      <c r="AL125" s="132" t="str">
        <f>IF(COUNTIF(I4TS!$A:$A, $C125), AL$1, "")</f>
        <v/>
      </c>
    </row>
    <row r="126" spans="1:38" ht="13">
      <c r="A126" s="131">
        <v>125</v>
      </c>
      <c r="B126" s="134" t="s">
        <v>557</v>
      </c>
      <c r="C126" s="134" t="s">
        <v>717</v>
      </c>
      <c r="D126" s="135" t="s">
        <v>718</v>
      </c>
      <c r="E126" s="135" t="s">
        <v>719</v>
      </c>
      <c r="F126" s="131">
        <f t="shared" ca="1" si="0"/>
        <v>5</v>
      </c>
      <c r="G126" s="106" t="str">
        <f ca="1">IFERROR(__xludf.DUMMYFUNCTION("INDEX(FILTER($P126:$AL126, $P126:$AL126 &lt;&gt; """"), 1)"),"The Art, Craft, and Science of Management: Learning through Classics and Best Collections (A)")</f>
        <v>The Art, Craft, and Science of Management: Learning through Classics and Best Collections (A)</v>
      </c>
      <c r="H126" s="106" t="str">
        <f ca="1">IFERROR(__xludf.DUMMYFUNCTION("INDEX(FILTER($P126:$AL126, $P126:$AL126 &lt;&gt; """"), 2)"),"Workplace Happiness: Science &amp; Practice (B)")</f>
        <v>Workplace Happiness: Science &amp; Practice (B)</v>
      </c>
      <c r="I126" s="106" t="str">
        <f ca="1">IFERROR(__xludf.DUMMYFUNCTION("INDEX(FILTER($P126:$AL126, $P126:$AL126 &lt;&gt; """"), 3)"),"SPORTS ANALYTICS (A)")</f>
        <v>SPORTS ANALYTICS (A)</v>
      </c>
      <c r="J126" s="106" t="str">
        <f ca="1">IFERROR(__xludf.DUMMYFUNCTION("IFERROR(INDEX(FILTER($P126:$AL126, $P126:$AL126 &lt;&gt; """"), 4),)"),"")</f>
        <v/>
      </c>
      <c r="K126" s="106" t="str">
        <f ca="1">IFERROR(__xludf.DUMMYFUNCTION("IFERROR(INDEX(FILTER($P126:$AL126, $P126:$AL126 &lt;&gt; """"), 5),)"),"")</f>
        <v/>
      </c>
      <c r="L126" s="107"/>
      <c r="M126" s="107"/>
      <c r="N126" s="107"/>
      <c r="O126" s="107"/>
      <c r="P126" s="132" t="str">
        <f>IF(COUNTIF('Fintech-A'!$A:$A, $C126), P$1, "")</f>
        <v/>
      </c>
      <c r="Q126" s="132" t="str">
        <f>IF(COUNTIF('Fintech-B'!$A:$A, $C126), Q$1, "")</f>
        <v/>
      </c>
      <c r="R126" s="132" t="str">
        <f>IF(COUNTIF('BEDM-A'!$A:$A, $C126), R$1, "")</f>
        <v/>
      </c>
      <c r="S126" s="132" t="str">
        <f>IF(COUNTIF('BEDM-B'!$A:$A, $C126), S$1, "")</f>
        <v/>
      </c>
      <c r="T126" s="132" t="str">
        <f>IF(COUNTIF('Art-A'!$A:$A, $C126), T$1, "")</f>
        <v>The Art, Craft, and Science of Management: Learning through Classics and Best Collections (A)</v>
      </c>
      <c r="U126" s="132" t="str">
        <f>IF(COUNTIF('Art-B'!$A:$A, $C126), U$1, "")</f>
        <v/>
      </c>
      <c r="V126" s="132" t="str">
        <f>IF(COUNTIF('WH-A'!$A:$A, $C126), V$1, "")</f>
        <v/>
      </c>
      <c r="W126" s="132" t="str">
        <f>IF(COUNTIF('WH-B'!$A:$A, $C126), W$1, "")</f>
        <v>Workplace Happiness: Science &amp; Practice (B)</v>
      </c>
      <c r="X126" s="132" t="str">
        <f>IF(COUNTIF(LETV!$A:$A, $C126), X$1, "")</f>
        <v/>
      </c>
      <c r="Y126" s="132" t="str">
        <f>IF(COUNTIF('Film&amp;Firm-A'!$A:$A, $C126), Y$1, "")</f>
        <v/>
      </c>
      <c r="Z126" s="132" t="str">
        <f>IF(COUNTIF('Film&amp;Firm-B'!$A:$A, $C126), Z$1, "")</f>
        <v/>
      </c>
      <c r="AA126" s="132" t="str">
        <f>IF(COUNTIF(SHRM!$A:$A, $C126), AA$1, "")</f>
        <v/>
      </c>
      <c r="AB126" s="132" t="str">
        <f>IF(COUNTIF('SCM-A'!$A:$A, $C126), AB$1, "")</f>
        <v/>
      </c>
      <c r="AC126" s="132" t="str">
        <f>IF(COUNTIF('SCM-B'!$A:$A, $C126), AC$1, "")</f>
        <v/>
      </c>
      <c r="AD126" s="132" t="str">
        <f>IF(COUNTIF(AIS!$A:$A, $C126), AD$1, "")</f>
        <v/>
      </c>
      <c r="AE126" s="132" t="str">
        <f>IF(COUNTIF(EB!$A:$A, $C126), AE$1, "")</f>
        <v/>
      </c>
      <c r="AF126" s="132" t="str">
        <f>IF(COUNTIF('AIAM-A'!$A:$A, $C126), AF$1, "")</f>
        <v/>
      </c>
      <c r="AG126" s="132" t="str">
        <f>IF(COUNTIF('AIAM-B'!$A:$A, $C126), AG$1, "")</f>
        <v/>
      </c>
      <c r="AH126" s="132" t="str">
        <f>IF(COUNTIF('SA-A'!$A:$A, $C126), AH$1, "")</f>
        <v>SPORTS ANALYTICS (A)</v>
      </c>
      <c r="AI126" s="132" t="str">
        <f>IF(COUNTIF('SA-B'!$A:$A, $C126), AI$1, "")</f>
        <v/>
      </c>
      <c r="AJ126" s="132" t="str">
        <f>IF(COUNTIF(CSM!$A:$A, $C126), AJ$1, "")</f>
        <v/>
      </c>
      <c r="AK126" s="132" t="str">
        <f>IF(COUNTIF(EM!$A:$A, $C126), AK$1, "")</f>
        <v/>
      </c>
      <c r="AL126" s="132" t="str">
        <f>IF(COUNTIF(I4TS!$A:$A, $C126), AL$1, "")</f>
        <v/>
      </c>
    </row>
    <row r="127" spans="1:38" ht="13">
      <c r="A127" s="131">
        <v>126</v>
      </c>
      <c r="B127" s="134" t="s">
        <v>557</v>
      </c>
      <c r="C127" s="134" t="s">
        <v>720</v>
      </c>
      <c r="D127" s="135" t="s">
        <v>721</v>
      </c>
      <c r="E127" s="135" t="s">
        <v>722</v>
      </c>
      <c r="F127" s="131">
        <f t="shared" ca="1" si="0"/>
        <v>5</v>
      </c>
      <c r="G127" s="106" t="str">
        <f ca="1">IFERROR(__xludf.DUMMYFUNCTION("INDEX(FILTER($P127:$AL127, $P127:$AL127 &lt;&gt; """"), 1)"),"The Art, Craft, and Science of Management: Learning through Classics and Best Collections (B)")</f>
        <v>The Art, Craft, and Science of Management: Learning through Classics and Best Collections (B)</v>
      </c>
      <c r="H127" s="106" t="str">
        <f ca="1">IFERROR(__xludf.DUMMYFUNCTION("INDEX(FILTER($P127:$AL127, $P127:$AL127 &lt;&gt; """"), 2)"),"Strategic Career Management (B)")</f>
        <v>Strategic Career Management (B)</v>
      </c>
      <c r="I127" s="106" t="str">
        <f ca="1">IFERROR(__xludf.DUMMYFUNCTION("INDEX(FILTER($P127:$AL127, $P127:$AL127 &lt;&gt; """"), 3)"),"AI Applications in Marketing (A)")</f>
        <v>AI Applications in Marketing (A)</v>
      </c>
      <c r="J127" s="106" t="str">
        <f ca="1">IFERROR(__xludf.DUMMYFUNCTION("IFERROR(INDEX(FILTER($P127:$AL127, $P127:$AL127 &lt;&gt; """"), 4),)"),"")</f>
        <v/>
      </c>
      <c r="K127" s="106" t="str">
        <f ca="1">IFERROR(__xludf.DUMMYFUNCTION("IFERROR(INDEX(FILTER($P127:$AL127, $P127:$AL127 &lt;&gt; """"), 5),)"),"")</f>
        <v/>
      </c>
      <c r="L127" s="107"/>
      <c r="M127" s="107"/>
      <c r="N127" s="107"/>
      <c r="O127" s="107"/>
      <c r="P127" s="132" t="str">
        <f>IF(COUNTIF('Fintech-A'!$A:$A, $C127), P$1, "")</f>
        <v/>
      </c>
      <c r="Q127" s="132" t="str">
        <f>IF(COUNTIF('Fintech-B'!$A:$A, $C127), Q$1, "")</f>
        <v/>
      </c>
      <c r="R127" s="132" t="str">
        <f>IF(COUNTIF('BEDM-A'!$A:$A, $C127), R$1, "")</f>
        <v/>
      </c>
      <c r="S127" s="132" t="str">
        <f>IF(COUNTIF('BEDM-B'!$A:$A, $C127), S$1, "")</f>
        <v/>
      </c>
      <c r="T127" s="132" t="str">
        <f>IF(COUNTIF('Art-A'!$A:$A, $C127), T$1, "")</f>
        <v/>
      </c>
      <c r="U127" s="132" t="str">
        <f>IF(COUNTIF('Art-B'!$A:$A, $C127), U$1, "")</f>
        <v>The Art, Craft, and Science of Management: Learning through Classics and Best Collections (B)</v>
      </c>
      <c r="V127" s="132" t="str">
        <f>IF(COUNTIF('WH-A'!$A:$A, $C127), V$1, "")</f>
        <v/>
      </c>
      <c r="W127" s="132" t="str">
        <f>IF(COUNTIF('WH-B'!$A:$A, $C127), W$1, "")</f>
        <v/>
      </c>
      <c r="X127" s="132" t="str">
        <f>IF(COUNTIF(LETV!$A:$A, $C127), X$1, "")</f>
        <v/>
      </c>
      <c r="Y127" s="132" t="str">
        <f>IF(COUNTIF('Film&amp;Firm-A'!$A:$A, $C127), Y$1, "")</f>
        <v/>
      </c>
      <c r="Z127" s="132" t="str">
        <f>IF(COUNTIF('Film&amp;Firm-B'!$A:$A, $C127), Z$1, "")</f>
        <v/>
      </c>
      <c r="AA127" s="132" t="str">
        <f>IF(COUNTIF(SHRM!$A:$A, $C127), AA$1, "")</f>
        <v/>
      </c>
      <c r="AB127" s="132" t="str">
        <f>IF(COUNTIF('SCM-A'!$A:$A, $C127), AB$1, "")</f>
        <v/>
      </c>
      <c r="AC127" s="132" t="str">
        <f>IF(COUNTIF('SCM-B'!$A:$A, $C127), AC$1, "")</f>
        <v>Strategic Career Management (B)</v>
      </c>
      <c r="AD127" s="132" t="str">
        <f>IF(COUNTIF(AIS!$A:$A, $C127), AD$1, "")</f>
        <v/>
      </c>
      <c r="AE127" s="132" t="str">
        <f>IF(COUNTIF(EB!$A:$A, $C127), AE$1, "")</f>
        <v/>
      </c>
      <c r="AF127" s="132" t="str">
        <f>IF(COUNTIF('AIAM-A'!$A:$A, $C127), AF$1, "")</f>
        <v>AI Applications in Marketing (A)</v>
      </c>
      <c r="AG127" s="132" t="str">
        <f>IF(COUNTIF('AIAM-B'!$A:$A, $C127), AG$1, "")</f>
        <v/>
      </c>
      <c r="AH127" s="132" t="str">
        <f>IF(COUNTIF('SA-A'!$A:$A, $C127), AH$1, "")</f>
        <v/>
      </c>
      <c r="AI127" s="132" t="str">
        <f>IF(COUNTIF('SA-B'!$A:$A, $C127), AI$1, "")</f>
        <v/>
      </c>
      <c r="AJ127" s="132" t="str">
        <f>IF(COUNTIF(CSM!$A:$A, $C127), AJ$1, "")</f>
        <v/>
      </c>
      <c r="AK127" s="132" t="str">
        <f>IF(COUNTIF(EM!$A:$A, $C127), AK$1, "")</f>
        <v/>
      </c>
      <c r="AL127" s="132" t="str">
        <f>IF(COUNTIF(I4TS!$A:$A, $C127), AL$1, "")</f>
        <v/>
      </c>
    </row>
    <row r="128" spans="1:38" ht="13">
      <c r="A128" s="131">
        <v>127</v>
      </c>
      <c r="B128" s="134" t="s">
        <v>557</v>
      </c>
      <c r="C128" s="134" t="s">
        <v>723</v>
      </c>
      <c r="D128" s="135" t="s">
        <v>724</v>
      </c>
      <c r="E128" s="135" t="s">
        <v>725</v>
      </c>
      <c r="F128" s="131">
        <f t="shared" ca="1" si="0"/>
        <v>5</v>
      </c>
      <c r="G128" s="106" t="str">
        <f ca="1">IFERROR(__xludf.DUMMYFUNCTION("INDEX(FILTER($P128:$AL128, $P128:$AL128 &lt;&gt; """"), 1)"),"Strategic Career Management (B)")</f>
        <v>Strategic Career Management (B)</v>
      </c>
      <c r="H128" s="106" t="str">
        <f ca="1">IFERROR(__xludf.DUMMYFUNCTION("INDEX(FILTER($P128:$AL128, $P128:$AL128 &lt;&gt; """"), 2)"),"AI Applications in Marketing (A)")</f>
        <v>AI Applications in Marketing (A)</v>
      </c>
      <c r="I128" s="106" t="str">
        <f ca="1">IFERROR(__xludf.DUMMYFUNCTION("INDEX(FILTER($P128:$AL128, $P128:$AL128 &lt;&gt; """"), 3)"),"SPORTS ANALYTICS (A)")</f>
        <v>SPORTS ANALYTICS (A)</v>
      </c>
      <c r="J128" s="106" t="str">
        <f ca="1">IFERROR(__xludf.DUMMYFUNCTION("IFERROR(INDEX(FILTER($P128:$AL128, $P128:$AL128 &lt;&gt; """"), 4),)"),"")</f>
        <v/>
      </c>
      <c r="K128" s="106" t="str">
        <f ca="1">IFERROR(__xludf.DUMMYFUNCTION("IFERROR(INDEX(FILTER($P128:$AL128, $P128:$AL128 &lt;&gt; """"), 5),)"),"")</f>
        <v/>
      </c>
      <c r="L128" s="107"/>
      <c r="M128" s="107"/>
      <c r="N128" s="107"/>
      <c r="O128" s="107"/>
      <c r="P128" s="132" t="str">
        <f>IF(COUNTIF('Fintech-A'!$A:$A, $C128), P$1, "")</f>
        <v/>
      </c>
      <c r="Q128" s="132" t="str">
        <f>IF(COUNTIF('Fintech-B'!$A:$A, $C128), Q$1, "")</f>
        <v/>
      </c>
      <c r="R128" s="132" t="str">
        <f>IF(COUNTIF('BEDM-A'!$A:$A, $C128), R$1, "")</f>
        <v/>
      </c>
      <c r="S128" s="132" t="str">
        <f>IF(COUNTIF('BEDM-B'!$A:$A, $C128), S$1, "")</f>
        <v/>
      </c>
      <c r="T128" s="132" t="str">
        <f>IF(COUNTIF('Art-A'!$A:$A, $C128), T$1, "")</f>
        <v/>
      </c>
      <c r="U128" s="132" t="str">
        <f>IF(COUNTIF('Art-B'!$A:$A, $C128), U$1, "")</f>
        <v/>
      </c>
      <c r="V128" s="132" t="str">
        <f>IF(COUNTIF('WH-A'!$A:$A, $C128), V$1, "")</f>
        <v/>
      </c>
      <c r="W128" s="132" t="str">
        <f>IF(COUNTIF('WH-B'!$A:$A, $C128), W$1, "")</f>
        <v/>
      </c>
      <c r="X128" s="132" t="str">
        <f>IF(COUNTIF(LETV!$A:$A, $C128), X$1, "")</f>
        <v/>
      </c>
      <c r="Y128" s="132" t="str">
        <f>IF(COUNTIF('Film&amp;Firm-A'!$A:$A, $C128), Y$1, "")</f>
        <v/>
      </c>
      <c r="Z128" s="132" t="str">
        <f>IF(COUNTIF('Film&amp;Firm-B'!$A:$A, $C128), Z$1, "")</f>
        <v/>
      </c>
      <c r="AA128" s="132" t="str">
        <f>IF(COUNTIF(SHRM!$A:$A, $C128), AA$1, "")</f>
        <v/>
      </c>
      <c r="AB128" s="132" t="str">
        <f>IF(COUNTIF('SCM-A'!$A:$A, $C128), AB$1, "")</f>
        <v/>
      </c>
      <c r="AC128" s="132" t="str">
        <f>IF(COUNTIF('SCM-B'!$A:$A, $C128), AC$1, "")</f>
        <v>Strategic Career Management (B)</v>
      </c>
      <c r="AD128" s="132" t="str">
        <f>IF(COUNTIF(AIS!$A:$A, $C128), AD$1, "")</f>
        <v/>
      </c>
      <c r="AE128" s="132" t="str">
        <f>IF(COUNTIF(EB!$A:$A, $C128), AE$1, "")</f>
        <v/>
      </c>
      <c r="AF128" s="132" t="str">
        <f>IF(COUNTIF('AIAM-A'!$A:$A, $C128), AF$1, "")</f>
        <v>AI Applications in Marketing (A)</v>
      </c>
      <c r="AG128" s="132" t="str">
        <f>IF(COUNTIF('AIAM-B'!$A:$A, $C128), AG$1, "")</f>
        <v/>
      </c>
      <c r="AH128" s="132" t="str">
        <f>IF(COUNTIF('SA-A'!$A:$A, $C128), AH$1, "")</f>
        <v>SPORTS ANALYTICS (A)</v>
      </c>
      <c r="AI128" s="132" t="str">
        <f>IF(COUNTIF('SA-B'!$A:$A, $C128), AI$1, "")</f>
        <v/>
      </c>
      <c r="AJ128" s="132" t="str">
        <f>IF(COUNTIF(CSM!$A:$A, $C128), AJ$1, "")</f>
        <v/>
      </c>
      <c r="AK128" s="132" t="str">
        <f>IF(COUNTIF(EM!$A:$A, $C128), AK$1, "")</f>
        <v/>
      </c>
      <c r="AL128" s="132" t="str">
        <f>IF(COUNTIF(I4TS!$A:$A, $C128), AL$1, "")</f>
        <v/>
      </c>
    </row>
    <row r="129" spans="1:38" ht="13">
      <c r="A129" s="131">
        <v>128</v>
      </c>
      <c r="B129" s="134" t="s">
        <v>557</v>
      </c>
      <c r="C129" s="134" t="s">
        <v>298</v>
      </c>
      <c r="D129" s="135" t="s">
        <v>726</v>
      </c>
      <c r="E129" s="135" t="s">
        <v>727</v>
      </c>
      <c r="F129" s="131">
        <f t="shared" ca="1" si="0"/>
        <v>5</v>
      </c>
      <c r="G129" s="106" t="str">
        <f ca="1">IFERROR(__xludf.DUMMYFUNCTION("INDEX(FILTER($P129:$AL129, $P129:$AL129 &lt;&gt; """"), 1)"),"Workplace Happiness: Science &amp; Practice (B)")</f>
        <v>Workplace Happiness: Science &amp; Practice (B)</v>
      </c>
      <c r="H129" s="106" t="str">
        <f ca="1">IFERROR(__xludf.DUMMYFUNCTION("INDEX(FILTER($P129:$AL129, $P129:$AL129 &lt;&gt; """"), 2)"),"Strategic Career Management (B)")</f>
        <v>Strategic Career Management (B)</v>
      </c>
      <c r="I129" s="106" t="str">
        <f ca="1">IFERROR(__xludf.DUMMYFUNCTION("INDEX(FILTER($P129:$AL129, $P129:$AL129 &lt;&gt; """"), 3)"),"AI Applications in Marketing (A)")</f>
        <v>AI Applications in Marketing (A)</v>
      </c>
      <c r="J129" s="106" t="str">
        <f ca="1">IFERROR(__xludf.DUMMYFUNCTION("IFERROR(INDEX(FILTER($P129:$AL129, $P129:$AL129 &lt;&gt; """"), 4),)"),"")</f>
        <v/>
      </c>
      <c r="K129" s="106" t="str">
        <f ca="1">IFERROR(__xludf.DUMMYFUNCTION("IFERROR(INDEX(FILTER($P129:$AL129, $P129:$AL129 &lt;&gt; """"), 5),)"),"")</f>
        <v/>
      </c>
      <c r="L129" s="107"/>
      <c r="M129" s="107"/>
      <c r="N129" s="107"/>
      <c r="O129" s="107"/>
      <c r="P129" s="132" t="str">
        <f>IF(COUNTIF('Fintech-A'!$A:$A, $C129), P$1, "")</f>
        <v/>
      </c>
      <c r="Q129" s="132" t="str">
        <f>IF(COUNTIF('Fintech-B'!$A:$A, $C129), Q$1, "")</f>
        <v/>
      </c>
      <c r="R129" s="132" t="str">
        <f>IF(COUNTIF('BEDM-A'!$A:$A, $C129), R$1, "")</f>
        <v/>
      </c>
      <c r="S129" s="132" t="str">
        <f>IF(COUNTIF('BEDM-B'!$A:$A, $C129), S$1, "")</f>
        <v/>
      </c>
      <c r="T129" s="132" t="str">
        <f>IF(COUNTIF('Art-A'!$A:$A, $C129), T$1, "")</f>
        <v/>
      </c>
      <c r="U129" s="132" t="str">
        <f>IF(COUNTIF('Art-B'!$A:$A, $C129), U$1, "")</f>
        <v/>
      </c>
      <c r="V129" s="132" t="str">
        <f>IF(COUNTIF('WH-A'!$A:$A, $C129), V$1, "")</f>
        <v/>
      </c>
      <c r="W129" s="132" t="str">
        <f>IF(COUNTIF('WH-B'!$A:$A, $C129), W$1, "")</f>
        <v>Workplace Happiness: Science &amp; Practice (B)</v>
      </c>
      <c r="X129" s="132" t="str">
        <f>IF(COUNTIF(LETV!$A:$A, $C129), X$1, "")</f>
        <v/>
      </c>
      <c r="Y129" s="132" t="str">
        <f>IF(COUNTIF('Film&amp;Firm-A'!$A:$A, $C129), Y$1, "")</f>
        <v/>
      </c>
      <c r="Z129" s="132" t="str">
        <f>IF(COUNTIF('Film&amp;Firm-B'!$A:$A, $C129), Z$1, "")</f>
        <v/>
      </c>
      <c r="AA129" s="132" t="str">
        <f>IF(COUNTIF(SHRM!$A:$A, $C129), AA$1, "")</f>
        <v/>
      </c>
      <c r="AB129" s="132" t="str">
        <f>IF(COUNTIF('SCM-A'!$A:$A, $C129), AB$1, "")</f>
        <v/>
      </c>
      <c r="AC129" s="132" t="str">
        <f>IF(COUNTIF('SCM-B'!$A:$A, $C129), AC$1, "")</f>
        <v>Strategic Career Management (B)</v>
      </c>
      <c r="AD129" s="132" t="str">
        <f>IF(COUNTIF(AIS!$A:$A, $C129), AD$1, "")</f>
        <v/>
      </c>
      <c r="AE129" s="132" t="str">
        <f>IF(COUNTIF(EB!$A:$A, $C129), AE$1, "")</f>
        <v/>
      </c>
      <c r="AF129" s="132" t="str">
        <f>IF(COUNTIF('AIAM-A'!$A:$A, $C129), AF$1, "")</f>
        <v>AI Applications in Marketing (A)</v>
      </c>
      <c r="AG129" s="132" t="str">
        <f>IF(COUNTIF('AIAM-B'!$A:$A, $C129), AG$1, "")</f>
        <v/>
      </c>
      <c r="AH129" s="132" t="str">
        <f>IF(COUNTIF('SA-A'!$A:$A, $C129), AH$1, "")</f>
        <v/>
      </c>
      <c r="AI129" s="132" t="str">
        <f>IF(COUNTIF('SA-B'!$A:$A, $C129), AI$1, "")</f>
        <v/>
      </c>
      <c r="AJ129" s="132" t="str">
        <f>IF(COUNTIF(CSM!$A:$A, $C129), AJ$1, "")</f>
        <v/>
      </c>
      <c r="AK129" s="132" t="str">
        <f>IF(COUNTIF(EM!$A:$A, $C129), AK$1, "")</f>
        <v/>
      </c>
      <c r="AL129" s="132" t="str">
        <f>IF(COUNTIF(I4TS!$A:$A, $C129), AL$1, "")</f>
        <v/>
      </c>
    </row>
    <row r="130" spans="1:38" ht="13">
      <c r="A130" s="131">
        <v>129</v>
      </c>
      <c r="B130" s="134" t="s">
        <v>557</v>
      </c>
      <c r="C130" s="134" t="s">
        <v>728</v>
      </c>
      <c r="D130" s="135" t="s">
        <v>729</v>
      </c>
      <c r="E130" s="135" t="s">
        <v>730</v>
      </c>
      <c r="F130" s="131">
        <f t="shared" ca="1" si="0"/>
        <v>5</v>
      </c>
      <c r="G130" s="106" t="str">
        <f ca="1">IFERROR(__xludf.DUMMYFUNCTION("INDEX(FILTER($P130:$AL130, $P130:$AL130 &lt;&gt; """"), 1)"),"The Art, Craft, and Science of Management: Learning through Classics and Best Collections (B)")</f>
        <v>The Art, Craft, and Science of Management: Learning through Classics and Best Collections (B)</v>
      </c>
      <c r="H130" s="106" t="str">
        <f ca="1">IFERROR(__xludf.DUMMYFUNCTION("INDEX(FILTER($P130:$AL130, $P130:$AL130 &lt;&gt; """"), 2)"),"Workplace Happiness: Science &amp; Practice (B)")</f>
        <v>Workplace Happiness: Science &amp; Practice (B)</v>
      </c>
      <c r="I130" s="106" t="str">
        <f ca="1">IFERROR(__xludf.DUMMYFUNCTION("INDEX(FILTER($P130:$AL130, $P130:$AL130 &lt;&gt; """"), 3)"),"Film &amp; the Firm: Visual Culture in Business Contexts (A)")</f>
        <v>Film &amp; the Firm: Visual Culture in Business Contexts (A)</v>
      </c>
      <c r="J130" s="106" t="str">
        <f ca="1">IFERROR(__xludf.DUMMYFUNCTION("IFERROR(INDEX(FILTER($P130:$AL130, $P130:$AL130 &lt;&gt; """"), 4),)"),"")</f>
        <v/>
      </c>
      <c r="K130" s="106" t="str">
        <f ca="1">IFERROR(__xludf.DUMMYFUNCTION("IFERROR(INDEX(FILTER($P130:$AL130, $P130:$AL130 &lt;&gt; """"), 5),)"),"")</f>
        <v/>
      </c>
      <c r="L130" s="107"/>
      <c r="M130" s="107"/>
      <c r="N130" s="107"/>
      <c r="O130" s="107"/>
      <c r="P130" s="132" t="str">
        <f>IF(COUNTIF('Fintech-A'!$A:$A, $C130), P$1, "")</f>
        <v/>
      </c>
      <c r="Q130" s="132" t="str">
        <f>IF(COUNTIF('Fintech-B'!$A:$A, $C130), Q$1, "")</f>
        <v/>
      </c>
      <c r="R130" s="132" t="str">
        <f>IF(COUNTIF('BEDM-A'!$A:$A, $C130), R$1, "")</f>
        <v/>
      </c>
      <c r="S130" s="132" t="str">
        <f>IF(COUNTIF('BEDM-B'!$A:$A, $C130), S$1, "")</f>
        <v/>
      </c>
      <c r="T130" s="132" t="str">
        <f>IF(COUNTIF('Art-A'!$A:$A, $C130), T$1, "")</f>
        <v/>
      </c>
      <c r="U130" s="132" t="str">
        <f>IF(COUNTIF('Art-B'!$A:$A, $C130), U$1, "")</f>
        <v>The Art, Craft, and Science of Management: Learning through Classics and Best Collections (B)</v>
      </c>
      <c r="V130" s="132" t="str">
        <f>IF(COUNTIF('WH-A'!$A:$A, $C130), V$1, "")</f>
        <v/>
      </c>
      <c r="W130" s="132" t="str">
        <f>IF(COUNTIF('WH-B'!$A:$A, $C130), W$1, "")</f>
        <v>Workplace Happiness: Science &amp; Practice (B)</v>
      </c>
      <c r="X130" s="132" t="str">
        <f>IF(COUNTIF(LETV!$A:$A, $C130), X$1, "")</f>
        <v/>
      </c>
      <c r="Y130" s="132" t="str">
        <f>IF(COUNTIF('Film&amp;Firm-A'!$A:$A, $C130), Y$1, "")</f>
        <v>Film &amp; the Firm: Visual Culture in Business Contexts (A)</v>
      </c>
      <c r="Z130" s="132" t="str">
        <f>IF(COUNTIF('Film&amp;Firm-B'!$A:$A, $C130), Z$1, "")</f>
        <v/>
      </c>
      <c r="AA130" s="132" t="str">
        <f>IF(COUNTIF(SHRM!$A:$A, $C130), AA$1, "")</f>
        <v/>
      </c>
      <c r="AB130" s="132" t="str">
        <f>IF(COUNTIF('SCM-A'!$A:$A, $C130), AB$1, "")</f>
        <v/>
      </c>
      <c r="AC130" s="132" t="str">
        <f>IF(COUNTIF('SCM-B'!$A:$A, $C130), AC$1, "")</f>
        <v/>
      </c>
      <c r="AD130" s="132" t="str">
        <f>IF(COUNTIF(AIS!$A:$A, $C130), AD$1, "")</f>
        <v/>
      </c>
      <c r="AE130" s="132" t="str">
        <f>IF(COUNTIF(EB!$A:$A, $C130), AE$1, "")</f>
        <v/>
      </c>
      <c r="AF130" s="132" t="str">
        <f>IF(COUNTIF('AIAM-A'!$A:$A, $C130), AF$1, "")</f>
        <v/>
      </c>
      <c r="AG130" s="132" t="str">
        <f>IF(COUNTIF('AIAM-B'!$A:$A, $C130), AG$1, "")</f>
        <v/>
      </c>
      <c r="AH130" s="132" t="str">
        <f>IF(COUNTIF('SA-A'!$A:$A, $C130), AH$1, "")</f>
        <v/>
      </c>
      <c r="AI130" s="132" t="str">
        <f>IF(COUNTIF('SA-B'!$A:$A, $C130), AI$1, "")</f>
        <v/>
      </c>
      <c r="AJ130" s="132" t="str">
        <f>IF(COUNTIF(CSM!$A:$A, $C130), AJ$1, "")</f>
        <v/>
      </c>
      <c r="AK130" s="132" t="str">
        <f>IF(COUNTIF(EM!$A:$A, $C130), AK$1, "")</f>
        <v/>
      </c>
      <c r="AL130" s="132" t="str">
        <f>IF(COUNTIF(I4TS!$A:$A, $C130), AL$1, "")</f>
        <v/>
      </c>
    </row>
    <row r="131" spans="1:38" ht="13">
      <c r="A131" s="131">
        <v>130</v>
      </c>
      <c r="B131" s="134" t="s">
        <v>557</v>
      </c>
      <c r="C131" s="134" t="s">
        <v>731</v>
      </c>
      <c r="D131" s="135" t="s">
        <v>732</v>
      </c>
      <c r="E131" s="135" t="s">
        <v>733</v>
      </c>
      <c r="F131" s="131">
        <f t="shared" ca="1" si="0"/>
        <v>5</v>
      </c>
      <c r="G131" s="106" t="str">
        <f ca="1">IFERROR(__xludf.DUMMYFUNCTION("INDEX(FILTER($P131:$AL131, $P131:$AL131 &lt;&gt; """"), 1)"),"The Art, Craft, and Science of Management: Learning through Classics and Best Collections (B)")</f>
        <v>The Art, Craft, and Science of Management: Learning through Classics and Best Collections (B)</v>
      </c>
      <c r="H131" s="106" t="str">
        <f ca="1">IFERROR(__xludf.DUMMYFUNCTION("INDEX(FILTER($P131:$AL131, $P131:$AL131 &lt;&gt; """"), 2)"),"Workplace Happiness: Science &amp; Practice (B)")</f>
        <v>Workplace Happiness: Science &amp; Practice (B)</v>
      </c>
      <c r="I131" s="106" t="str">
        <f ca="1">IFERROR(__xludf.DUMMYFUNCTION("INDEX(FILTER($P131:$AL131, $P131:$AL131 &lt;&gt; """"), 3)"),"Film &amp; the Firm: Visual Culture in Business Contexts (A)")</f>
        <v>Film &amp; the Firm: Visual Culture in Business Contexts (A)</v>
      </c>
      <c r="J131" s="106" t="str">
        <f ca="1">IFERROR(__xludf.DUMMYFUNCTION("IFERROR(INDEX(FILTER($P131:$AL131, $P131:$AL131 &lt;&gt; """"), 4),)"),"")</f>
        <v/>
      </c>
      <c r="K131" s="106" t="str">
        <f ca="1">IFERROR(__xludf.DUMMYFUNCTION("IFERROR(INDEX(FILTER($P131:$AL131, $P131:$AL131 &lt;&gt; """"), 5),)"),"")</f>
        <v/>
      </c>
      <c r="L131" s="107"/>
      <c r="M131" s="107"/>
      <c r="N131" s="107"/>
      <c r="O131" s="107"/>
      <c r="P131" s="132" t="str">
        <f>IF(COUNTIF('Fintech-A'!$A:$A, $C131), P$1, "")</f>
        <v/>
      </c>
      <c r="Q131" s="132" t="str">
        <f>IF(COUNTIF('Fintech-B'!$A:$A, $C131), Q$1, "")</f>
        <v/>
      </c>
      <c r="R131" s="132" t="str">
        <f>IF(COUNTIF('BEDM-A'!$A:$A, $C131), R$1, "")</f>
        <v/>
      </c>
      <c r="S131" s="132" t="str">
        <f>IF(COUNTIF('BEDM-B'!$A:$A, $C131), S$1, "")</f>
        <v/>
      </c>
      <c r="T131" s="132" t="str">
        <f>IF(COUNTIF('Art-A'!$A:$A, $C131), T$1, "")</f>
        <v/>
      </c>
      <c r="U131" s="132" t="str">
        <f>IF(COUNTIF('Art-B'!$A:$A, $C131), U$1, "")</f>
        <v>The Art, Craft, and Science of Management: Learning through Classics and Best Collections (B)</v>
      </c>
      <c r="V131" s="132" t="str">
        <f>IF(COUNTIF('WH-A'!$A:$A, $C131), V$1, "")</f>
        <v/>
      </c>
      <c r="W131" s="132" t="str">
        <f>IF(COUNTIF('WH-B'!$A:$A, $C131), W$1, "")</f>
        <v>Workplace Happiness: Science &amp; Practice (B)</v>
      </c>
      <c r="X131" s="132" t="str">
        <f>IF(COUNTIF(LETV!$A:$A, $C131), X$1, "")</f>
        <v/>
      </c>
      <c r="Y131" s="132" t="str">
        <f>IF(COUNTIF('Film&amp;Firm-A'!$A:$A, $C131), Y$1, "")</f>
        <v>Film &amp; the Firm: Visual Culture in Business Contexts (A)</v>
      </c>
      <c r="Z131" s="132" t="str">
        <f>IF(COUNTIF('Film&amp;Firm-B'!$A:$A, $C131), Z$1, "")</f>
        <v/>
      </c>
      <c r="AA131" s="132" t="str">
        <f>IF(COUNTIF(SHRM!$A:$A, $C131), AA$1, "")</f>
        <v/>
      </c>
      <c r="AB131" s="132" t="str">
        <f>IF(COUNTIF('SCM-A'!$A:$A, $C131), AB$1, "")</f>
        <v/>
      </c>
      <c r="AC131" s="132" t="str">
        <f>IF(COUNTIF('SCM-B'!$A:$A, $C131), AC$1, "")</f>
        <v/>
      </c>
      <c r="AD131" s="132" t="str">
        <f>IF(COUNTIF(AIS!$A:$A, $C131), AD$1, "")</f>
        <v/>
      </c>
      <c r="AE131" s="132" t="str">
        <f>IF(COUNTIF(EB!$A:$A, $C131), AE$1, "")</f>
        <v/>
      </c>
      <c r="AF131" s="132" t="str">
        <f>IF(COUNTIF('AIAM-A'!$A:$A, $C131), AF$1, "")</f>
        <v/>
      </c>
      <c r="AG131" s="132" t="str">
        <f>IF(COUNTIF('AIAM-B'!$A:$A, $C131), AG$1, "")</f>
        <v/>
      </c>
      <c r="AH131" s="132" t="str">
        <f>IF(COUNTIF('SA-A'!$A:$A, $C131), AH$1, "")</f>
        <v/>
      </c>
      <c r="AI131" s="132" t="str">
        <f>IF(COUNTIF('SA-B'!$A:$A, $C131), AI$1, "")</f>
        <v/>
      </c>
      <c r="AJ131" s="132" t="str">
        <f>IF(COUNTIF(CSM!$A:$A, $C131), AJ$1, "")</f>
        <v/>
      </c>
      <c r="AK131" s="132" t="str">
        <f>IF(COUNTIF(EM!$A:$A, $C131), AK$1, "")</f>
        <v/>
      </c>
      <c r="AL131" s="132" t="str">
        <f>IF(COUNTIF(I4TS!$A:$A, $C131), AL$1, "")</f>
        <v/>
      </c>
    </row>
    <row r="132" spans="1:38" ht="13">
      <c r="A132" s="131">
        <v>131</v>
      </c>
      <c r="B132" s="131" t="s">
        <v>734</v>
      </c>
      <c r="C132" s="131" t="s">
        <v>735</v>
      </c>
      <c r="D132" s="106" t="s">
        <v>736</v>
      </c>
      <c r="E132" s="106" t="s">
        <v>737</v>
      </c>
      <c r="F132" s="131">
        <f t="shared" ca="1" si="0"/>
        <v>5</v>
      </c>
      <c r="G132" s="106" t="str">
        <f ca="1">IFERROR(__xludf.DUMMYFUNCTION("INDEX(FILTER($P132:$AL132, $P132:$AL132 &lt;&gt; """"), 1)"),"Strategic HRM")</f>
        <v>Strategic HRM</v>
      </c>
      <c r="H132" s="106" t="str">
        <f ca="1">IFERROR(__xludf.DUMMYFUNCTION("INDEX(FILTER($P132:$AL132, $P132:$AL132 &lt;&gt; """"), 2)"),"Strategic Career Management (B)")</f>
        <v>Strategic Career Management (B)</v>
      </c>
      <c r="I132" s="106" t="str">
        <f ca="1">IFERROR(__xludf.DUMMYFUNCTION("INDEX(FILTER($P132:$AL132, $P132:$AL132 &lt;&gt; """"), 3)"),"Customer Success Management")</f>
        <v>Customer Success Management</v>
      </c>
      <c r="J132" s="106" t="str">
        <f ca="1">IFERROR(__xludf.DUMMYFUNCTION("IFERROR(INDEX(FILTER($P132:$AL132, $P132:$AL132 &lt;&gt; """"), 4),)"),"")</f>
        <v/>
      </c>
      <c r="K132" s="106" t="str">
        <f ca="1">IFERROR(__xludf.DUMMYFUNCTION("IFERROR(INDEX(FILTER($P132:$AL132, $P132:$AL132 &lt;&gt; """"), 5),)"),"")</f>
        <v/>
      </c>
      <c r="L132" s="107"/>
      <c r="M132" s="107"/>
      <c r="N132" s="107"/>
      <c r="O132" s="107"/>
      <c r="P132" s="132" t="str">
        <f>IF(COUNTIF('Fintech-A'!$A:$A, $C132), P$1, "")</f>
        <v/>
      </c>
      <c r="Q132" s="132" t="str">
        <f>IF(COUNTIF('Fintech-B'!$A:$A, $C132), Q$1, "")</f>
        <v/>
      </c>
      <c r="R132" s="132" t="str">
        <f>IF(COUNTIF('BEDM-A'!$A:$A, $C132), R$1, "")</f>
        <v/>
      </c>
      <c r="S132" s="132" t="str">
        <f>IF(COUNTIF('BEDM-B'!$A:$A, $C132), S$1, "")</f>
        <v/>
      </c>
      <c r="T132" s="132" t="str">
        <f>IF(COUNTIF('Art-A'!$A:$A, $C132), T$1, "")</f>
        <v/>
      </c>
      <c r="U132" s="132" t="str">
        <f>IF(COUNTIF('Art-B'!$A:$A, $C132), U$1, "")</f>
        <v/>
      </c>
      <c r="V132" s="132" t="str">
        <f>IF(COUNTIF('WH-A'!$A:$A, $C132), V$1, "")</f>
        <v/>
      </c>
      <c r="W132" s="132" t="str">
        <f>IF(COUNTIF('WH-B'!$A:$A, $C132), W$1, "")</f>
        <v/>
      </c>
      <c r="X132" s="132" t="str">
        <f>IF(COUNTIF(LETV!$A:$A, $C132), X$1, "")</f>
        <v/>
      </c>
      <c r="Y132" s="132" t="str">
        <f>IF(COUNTIF('Film&amp;Firm-A'!$A:$A, $C132), Y$1, "")</f>
        <v/>
      </c>
      <c r="Z132" s="132" t="str">
        <f>IF(COUNTIF('Film&amp;Firm-B'!$A:$A, $C132), Z$1, "")</f>
        <v/>
      </c>
      <c r="AA132" s="132" t="str">
        <f>IF(COUNTIF(SHRM!$A:$A, $C132), AA$1, "")</f>
        <v>Strategic HRM</v>
      </c>
      <c r="AB132" s="132" t="str">
        <f>IF(COUNTIF('SCM-A'!$A:$A, $C132), AB$1, "")</f>
        <v/>
      </c>
      <c r="AC132" s="132" t="str">
        <f>IF(COUNTIF('SCM-B'!$A:$A, $C132), AC$1, "")</f>
        <v>Strategic Career Management (B)</v>
      </c>
      <c r="AD132" s="132" t="str">
        <f>IF(COUNTIF(AIS!$A:$A, $C132), AD$1, "")</f>
        <v/>
      </c>
      <c r="AE132" s="132" t="str">
        <f>IF(COUNTIF(EB!$A:$A, $C132), AE$1, "")</f>
        <v/>
      </c>
      <c r="AF132" s="132" t="str">
        <f>IF(COUNTIF('AIAM-A'!$A:$A, $C132), AF$1, "")</f>
        <v/>
      </c>
      <c r="AG132" s="132" t="str">
        <f>IF(COUNTIF('AIAM-B'!$A:$A, $C132), AG$1, "")</f>
        <v/>
      </c>
      <c r="AH132" s="132" t="str">
        <f>IF(COUNTIF('SA-A'!$A:$A, $C132), AH$1, "")</f>
        <v/>
      </c>
      <c r="AI132" s="132" t="str">
        <f>IF(COUNTIF('SA-B'!$A:$A, $C132), AI$1, "")</f>
        <v/>
      </c>
      <c r="AJ132" s="132" t="str">
        <f>IF(COUNTIF(CSM!$A:$A, $C132), AJ$1, "")</f>
        <v>Customer Success Management</v>
      </c>
      <c r="AK132" s="132" t="str">
        <f>IF(COUNTIF(EM!$A:$A, $C132), AK$1, "")</f>
        <v/>
      </c>
      <c r="AL132" s="132" t="str">
        <f>IF(COUNTIF(I4TS!$A:$A, $C132), AL$1, "")</f>
        <v/>
      </c>
    </row>
    <row r="133" spans="1:38" ht="13">
      <c r="A133" s="131">
        <v>132</v>
      </c>
      <c r="B133" s="131" t="s">
        <v>734</v>
      </c>
      <c r="C133" s="131" t="s">
        <v>738</v>
      </c>
      <c r="D133" s="106" t="s">
        <v>739</v>
      </c>
      <c r="E133" s="106" t="s">
        <v>740</v>
      </c>
      <c r="F133" s="131">
        <f t="shared" ca="1" si="0"/>
        <v>5</v>
      </c>
      <c r="G133" s="106" t="str">
        <f ca="1">IFERROR(__xludf.DUMMYFUNCTION("INDEX(FILTER($P133:$AL133, $P133:$AL133 &lt;&gt; """"), 1)"),"Behavioural Economics and Decision-Making (B)")</f>
        <v>Behavioural Economics and Decision-Making (B)</v>
      </c>
      <c r="H133" s="106" t="str">
        <f ca="1">IFERROR(__xludf.DUMMYFUNCTION("INDEX(FILTER($P133:$AL133, $P133:$AL133 &lt;&gt; """"), 2)"),"Entrepreneurial Marketing")</f>
        <v>Entrepreneurial Marketing</v>
      </c>
      <c r="I133" s="106" t="str">
        <f ca="1">IFERROR(__xludf.DUMMYFUNCTION("INDEX(FILTER($P133:$AL133, $P133:$AL133 &lt;&gt; """"), 3)"),"Industry 4.0 in Transport Sector")</f>
        <v>Industry 4.0 in Transport Sector</v>
      </c>
      <c r="J133" s="106" t="str">
        <f ca="1">IFERROR(__xludf.DUMMYFUNCTION("IFERROR(INDEX(FILTER($P133:$AL133, $P133:$AL133 &lt;&gt; """"), 4),)"),"")</f>
        <v/>
      </c>
      <c r="K133" s="106" t="str">
        <f ca="1">IFERROR(__xludf.DUMMYFUNCTION("IFERROR(INDEX(FILTER($P133:$AL133, $P133:$AL133 &lt;&gt; """"), 5),)"),"")</f>
        <v/>
      </c>
      <c r="L133" s="107"/>
      <c r="M133" s="107"/>
      <c r="N133" s="107"/>
      <c r="O133" s="107"/>
      <c r="P133" s="132" t="str">
        <f>IF(COUNTIF('Fintech-A'!$A:$A, $C133), P$1, "")</f>
        <v/>
      </c>
      <c r="Q133" s="132" t="str">
        <f>IF(COUNTIF('Fintech-B'!$A:$A, $C133), Q$1, "")</f>
        <v/>
      </c>
      <c r="R133" s="132" t="str">
        <f>IF(COUNTIF('BEDM-A'!$A:$A, $C133), R$1, "")</f>
        <v/>
      </c>
      <c r="S133" s="132" t="str">
        <f>IF(COUNTIF('BEDM-B'!$A:$A, $C133), S$1, "")</f>
        <v>Behavioural Economics and Decision-Making (B)</v>
      </c>
      <c r="T133" s="132" t="str">
        <f>IF(COUNTIF('Art-A'!$A:$A, $C133), T$1, "")</f>
        <v/>
      </c>
      <c r="U133" s="132" t="str">
        <f>IF(COUNTIF('Art-B'!$A:$A, $C133), U$1, "")</f>
        <v/>
      </c>
      <c r="V133" s="132" t="str">
        <f>IF(COUNTIF('WH-A'!$A:$A, $C133), V$1, "")</f>
        <v/>
      </c>
      <c r="W133" s="132" t="str">
        <f>IF(COUNTIF('WH-B'!$A:$A, $C133), W$1, "")</f>
        <v/>
      </c>
      <c r="X133" s="132" t="str">
        <f>IF(COUNTIF(LETV!$A:$A, $C133), X$1, "")</f>
        <v/>
      </c>
      <c r="Y133" s="132" t="str">
        <f>IF(COUNTIF('Film&amp;Firm-A'!$A:$A, $C133), Y$1, "")</f>
        <v/>
      </c>
      <c r="Z133" s="132" t="str">
        <f>IF(COUNTIF('Film&amp;Firm-B'!$A:$A, $C133), Z$1, "")</f>
        <v/>
      </c>
      <c r="AA133" s="132" t="str">
        <f>IF(COUNTIF(SHRM!$A:$A, $C133), AA$1, "")</f>
        <v/>
      </c>
      <c r="AB133" s="132" t="str">
        <f>IF(COUNTIF('SCM-A'!$A:$A, $C133), AB$1, "")</f>
        <v/>
      </c>
      <c r="AC133" s="132" t="str">
        <f>IF(COUNTIF('SCM-B'!$A:$A, $C133), AC$1, "")</f>
        <v/>
      </c>
      <c r="AD133" s="132" t="str">
        <f>IF(COUNTIF(AIS!$A:$A, $C133), AD$1, "")</f>
        <v/>
      </c>
      <c r="AE133" s="132" t="str">
        <f>IF(COUNTIF(EB!$A:$A, $C133), AE$1, "")</f>
        <v/>
      </c>
      <c r="AF133" s="132" t="str">
        <f>IF(COUNTIF('AIAM-A'!$A:$A, $C133), AF$1, "")</f>
        <v/>
      </c>
      <c r="AG133" s="132" t="str">
        <f>IF(COUNTIF('AIAM-B'!$A:$A, $C133), AG$1, "")</f>
        <v/>
      </c>
      <c r="AH133" s="132" t="str">
        <f>IF(COUNTIF('SA-A'!$A:$A, $C133), AH$1, "")</f>
        <v/>
      </c>
      <c r="AI133" s="132" t="str">
        <f>IF(COUNTIF('SA-B'!$A:$A, $C133), AI$1, "")</f>
        <v/>
      </c>
      <c r="AJ133" s="132" t="str">
        <f>IF(COUNTIF(CSM!$A:$A, $C133), AJ$1, "")</f>
        <v/>
      </c>
      <c r="AK133" s="132" t="str">
        <f>IF(COUNTIF(EM!$A:$A, $C133), AK$1, "")</f>
        <v>Entrepreneurial Marketing</v>
      </c>
      <c r="AL133" s="132" t="str">
        <f>IF(COUNTIF(I4TS!$A:$A, $C133), AL$1, "")</f>
        <v>Industry 4.0 in Transport Sector</v>
      </c>
    </row>
    <row r="134" spans="1:38" ht="13">
      <c r="A134" s="131">
        <v>133</v>
      </c>
      <c r="B134" s="131" t="s">
        <v>734</v>
      </c>
      <c r="C134" s="131" t="s">
        <v>741</v>
      </c>
      <c r="D134" s="106" t="s">
        <v>742</v>
      </c>
      <c r="E134" s="106" t="s">
        <v>743</v>
      </c>
      <c r="F134" s="131">
        <f t="shared" ca="1" si="0"/>
        <v>5</v>
      </c>
      <c r="G134" s="106" t="str">
        <f ca="1">IFERROR(__xludf.DUMMYFUNCTION("INDEX(FILTER($P134:$AL134, $P134:$AL134 &lt;&gt; """"), 1)"),"Workplace Happiness: Science &amp; Practice (A)")</f>
        <v>Workplace Happiness: Science &amp; Practice (A)</v>
      </c>
      <c r="H134" s="106" t="str">
        <f ca="1">IFERROR(__xludf.DUMMYFUNCTION("INDEX(FILTER($P134:$AL134, $P134:$AL134 &lt;&gt; """"), 2)"),"Strategic Career Management (B)")</f>
        <v>Strategic Career Management (B)</v>
      </c>
      <c r="I134" s="106" t="str">
        <f ca="1">IFERROR(__xludf.DUMMYFUNCTION("INDEX(FILTER($P134:$AL134, $P134:$AL134 &lt;&gt; """"), 3)"),"AI Applications in Marketing (A)")</f>
        <v>AI Applications in Marketing (A)</v>
      </c>
      <c r="J134" s="106" t="str">
        <f ca="1">IFERROR(__xludf.DUMMYFUNCTION("IFERROR(INDEX(FILTER($P134:$AL134, $P134:$AL134 &lt;&gt; """"), 4),)"),"")</f>
        <v/>
      </c>
      <c r="K134" s="106" t="str">
        <f ca="1">IFERROR(__xludf.DUMMYFUNCTION("IFERROR(INDEX(FILTER($P134:$AL134, $P134:$AL134 &lt;&gt; """"), 5),)"),"")</f>
        <v/>
      </c>
      <c r="L134" s="107"/>
      <c r="M134" s="107"/>
      <c r="N134" s="107"/>
      <c r="O134" s="107"/>
      <c r="P134" s="132" t="str">
        <f>IF(COUNTIF('Fintech-A'!$A:$A, $C134), P$1, "")</f>
        <v/>
      </c>
      <c r="Q134" s="132" t="str">
        <f>IF(COUNTIF('Fintech-B'!$A:$A, $C134), Q$1, "")</f>
        <v/>
      </c>
      <c r="R134" s="132" t="str">
        <f>IF(COUNTIF('BEDM-A'!$A:$A, $C134), R$1, "")</f>
        <v/>
      </c>
      <c r="S134" s="132" t="str">
        <f>IF(COUNTIF('BEDM-B'!$A:$A, $C134), S$1, "")</f>
        <v/>
      </c>
      <c r="T134" s="132" t="str">
        <f>IF(COUNTIF('Art-A'!$A:$A, $C134), T$1, "")</f>
        <v/>
      </c>
      <c r="U134" s="132" t="str">
        <f>IF(COUNTIF('Art-B'!$A:$A, $C134), U$1, "")</f>
        <v/>
      </c>
      <c r="V134" s="132" t="str">
        <f>IF(COUNTIF('WH-A'!$A:$A, $C134), V$1, "")</f>
        <v>Workplace Happiness: Science &amp; Practice (A)</v>
      </c>
      <c r="W134" s="132" t="str">
        <f>IF(COUNTIF('WH-B'!$A:$A, $C134), W$1, "")</f>
        <v/>
      </c>
      <c r="X134" s="132" t="str">
        <f>IF(COUNTIF(LETV!$A:$A, $C134), X$1, "")</f>
        <v/>
      </c>
      <c r="Y134" s="132" t="str">
        <f>IF(COUNTIF('Film&amp;Firm-A'!$A:$A, $C134), Y$1, "")</f>
        <v/>
      </c>
      <c r="Z134" s="132" t="str">
        <f>IF(COUNTIF('Film&amp;Firm-B'!$A:$A, $C134), Z$1, "")</f>
        <v/>
      </c>
      <c r="AA134" s="132" t="str">
        <f>IF(COUNTIF(SHRM!$A:$A, $C134), AA$1, "")</f>
        <v/>
      </c>
      <c r="AB134" s="132" t="str">
        <f>IF(COUNTIF('SCM-A'!$A:$A, $C134), AB$1, "")</f>
        <v/>
      </c>
      <c r="AC134" s="132" t="str">
        <f>IF(COUNTIF('SCM-B'!$A:$A, $C134), AC$1, "")</f>
        <v>Strategic Career Management (B)</v>
      </c>
      <c r="AD134" s="132" t="str">
        <f>IF(COUNTIF(AIS!$A:$A, $C134), AD$1, "")</f>
        <v/>
      </c>
      <c r="AE134" s="132" t="str">
        <f>IF(COUNTIF(EB!$A:$A, $C134), AE$1, "")</f>
        <v/>
      </c>
      <c r="AF134" s="132" t="str">
        <f>IF(COUNTIF('AIAM-A'!$A:$A, $C134), AF$1, "")</f>
        <v>AI Applications in Marketing (A)</v>
      </c>
      <c r="AG134" s="132" t="str">
        <f>IF(COUNTIF('AIAM-B'!$A:$A, $C134), AG$1, "")</f>
        <v/>
      </c>
      <c r="AH134" s="132" t="str">
        <f>IF(COUNTIF('SA-A'!$A:$A, $C134), AH$1, "")</f>
        <v/>
      </c>
      <c r="AI134" s="132" t="str">
        <f>IF(COUNTIF('SA-B'!$A:$A, $C134), AI$1, "")</f>
        <v/>
      </c>
      <c r="AJ134" s="132" t="str">
        <f>IF(COUNTIF(CSM!$A:$A, $C134), AJ$1, "")</f>
        <v/>
      </c>
      <c r="AK134" s="132" t="str">
        <f>IF(COUNTIF(EM!$A:$A, $C134), AK$1, "")</f>
        <v/>
      </c>
      <c r="AL134" s="132" t="str">
        <f>IF(COUNTIF(I4TS!$A:$A, $C134), AL$1, "")</f>
        <v/>
      </c>
    </row>
    <row r="135" spans="1:38" ht="13">
      <c r="A135" s="131">
        <v>134</v>
      </c>
      <c r="B135" s="131" t="s">
        <v>734</v>
      </c>
      <c r="C135" s="131" t="s">
        <v>744</v>
      </c>
      <c r="D135" s="106" t="s">
        <v>745</v>
      </c>
      <c r="E135" s="106" t="s">
        <v>746</v>
      </c>
      <c r="F135" s="131">
        <f t="shared" ca="1" si="0"/>
        <v>5</v>
      </c>
      <c r="G135" s="106" t="str">
        <f ca="1">IFERROR(__xludf.DUMMYFUNCTION("INDEX(FILTER($P135:$AL135, $P135:$AL135 &lt;&gt; """"), 1)"),"Fintech (Digital Transformation in Finance) (B)")</f>
        <v>Fintech (Digital Transformation in Finance) (B)</v>
      </c>
      <c r="H135" s="106" t="str">
        <f ca="1">IFERROR(__xludf.DUMMYFUNCTION("INDEX(FILTER($P135:$AL135, $P135:$AL135 &lt;&gt; """"), 2)"),"AI Applications in Marketing (A)")</f>
        <v>AI Applications in Marketing (A)</v>
      </c>
      <c r="I135" s="106" t="str">
        <f ca="1">IFERROR(__xludf.DUMMYFUNCTION("INDEX(FILTER($P135:$AL135, $P135:$AL135 &lt;&gt; """"), 3)"),"Customer Success Management")</f>
        <v>Customer Success Management</v>
      </c>
      <c r="J135" s="106" t="str">
        <f ca="1">IFERROR(__xludf.DUMMYFUNCTION("IFERROR(INDEX(FILTER($P135:$AL135, $P135:$AL135 &lt;&gt; """"), 4),)"),"")</f>
        <v/>
      </c>
      <c r="K135" s="106" t="str">
        <f ca="1">IFERROR(__xludf.DUMMYFUNCTION("IFERROR(INDEX(FILTER($P135:$AL135, $P135:$AL135 &lt;&gt; """"), 5),)"),"")</f>
        <v/>
      </c>
      <c r="L135" s="107"/>
      <c r="M135" s="107"/>
      <c r="N135" s="107"/>
      <c r="O135" s="107"/>
      <c r="P135" s="132" t="str">
        <f>IF(COUNTIF('Fintech-A'!$A:$A, $C135), P$1, "")</f>
        <v/>
      </c>
      <c r="Q135" s="132" t="str">
        <f>IF(COUNTIF('Fintech-B'!$A:$A, $C135), Q$1, "")</f>
        <v>Fintech (Digital Transformation in Finance) (B)</v>
      </c>
      <c r="R135" s="132" t="str">
        <f>IF(COUNTIF('BEDM-A'!$A:$A, $C135), R$1, "")</f>
        <v/>
      </c>
      <c r="S135" s="132" t="str">
        <f>IF(COUNTIF('BEDM-B'!$A:$A, $C135), S$1, "")</f>
        <v/>
      </c>
      <c r="T135" s="132" t="str">
        <f>IF(COUNTIF('Art-A'!$A:$A, $C135), T$1, "")</f>
        <v/>
      </c>
      <c r="U135" s="132" t="str">
        <f>IF(COUNTIF('Art-B'!$A:$A, $C135), U$1, "")</f>
        <v/>
      </c>
      <c r="V135" s="132" t="str">
        <f>IF(COUNTIF('WH-A'!$A:$A, $C135), V$1, "")</f>
        <v/>
      </c>
      <c r="W135" s="132" t="str">
        <f>IF(COUNTIF('WH-B'!$A:$A, $C135), W$1, "")</f>
        <v/>
      </c>
      <c r="X135" s="132" t="str">
        <f>IF(COUNTIF(LETV!$A:$A, $C135), X$1, "")</f>
        <v/>
      </c>
      <c r="Y135" s="132" t="str">
        <f>IF(COUNTIF('Film&amp;Firm-A'!$A:$A, $C135), Y$1, "")</f>
        <v/>
      </c>
      <c r="Z135" s="132" t="str">
        <f>IF(COUNTIF('Film&amp;Firm-B'!$A:$A, $C135), Z$1, "")</f>
        <v/>
      </c>
      <c r="AA135" s="132" t="str">
        <f>IF(COUNTIF(SHRM!$A:$A, $C135), AA$1, "")</f>
        <v/>
      </c>
      <c r="AB135" s="132" t="str">
        <f>IF(COUNTIF('SCM-A'!$A:$A, $C135), AB$1, "")</f>
        <v/>
      </c>
      <c r="AC135" s="132" t="str">
        <f>IF(COUNTIF('SCM-B'!$A:$A, $C135), AC$1, "")</f>
        <v/>
      </c>
      <c r="AD135" s="132" t="str">
        <f>IF(COUNTIF(AIS!$A:$A, $C135), AD$1, "")</f>
        <v/>
      </c>
      <c r="AE135" s="132" t="str">
        <f>IF(COUNTIF(EB!$A:$A, $C135), AE$1, "")</f>
        <v/>
      </c>
      <c r="AF135" s="132" t="str">
        <f>IF(COUNTIF('AIAM-A'!$A:$A, $C135), AF$1, "")</f>
        <v>AI Applications in Marketing (A)</v>
      </c>
      <c r="AG135" s="132" t="str">
        <f>IF(COUNTIF('AIAM-B'!$A:$A, $C135), AG$1, "")</f>
        <v/>
      </c>
      <c r="AH135" s="132" t="str">
        <f>IF(COUNTIF('SA-A'!$A:$A, $C135), AH$1, "")</f>
        <v/>
      </c>
      <c r="AI135" s="132" t="str">
        <f>IF(COUNTIF('SA-B'!$A:$A, $C135), AI$1, "")</f>
        <v/>
      </c>
      <c r="AJ135" s="132" t="str">
        <f>IF(COUNTIF(CSM!$A:$A, $C135), AJ$1, "")</f>
        <v>Customer Success Management</v>
      </c>
      <c r="AK135" s="132" t="str">
        <f>IF(COUNTIF(EM!$A:$A, $C135), AK$1, "")</f>
        <v/>
      </c>
      <c r="AL135" s="132" t="str">
        <f>IF(COUNTIF(I4TS!$A:$A, $C135), AL$1, "")</f>
        <v/>
      </c>
    </row>
    <row r="136" spans="1:38" ht="13">
      <c r="A136" s="131">
        <v>135</v>
      </c>
      <c r="B136" s="131" t="s">
        <v>734</v>
      </c>
      <c r="C136" s="131" t="s">
        <v>747</v>
      </c>
      <c r="D136" s="106" t="s">
        <v>748</v>
      </c>
      <c r="E136" s="106" t="s">
        <v>749</v>
      </c>
      <c r="F136" s="131">
        <f t="shared" ca="1" si="0"/>
        <v>5</v>
      </c>
      <c r="G136" s="106" t="str">
        <f ca="1">IFERROR(__xludf.DUMMYFUNCTION("INDEX(FILTER($P136:$AL136, $P136:$AL136 &lt;&gt; """"), 1)"),"The Art, Craft, and Science of Management: Learning through Classics and Best Collections (B)")</f>
        <v>The Art, Craft, and Science of Management: Learning through Classics and Best Collections (B)</v>
      </c>
      <c r="H136" s="106" t="str">
        <f ca="1">IFERROR(__xludf.DUMMYFUNCTION("INDEX(FILTER($P136:$AL136, $P136:$AL136 &lt;&gt; """"), 2)"),"Workplace Happiness: Science &amp; Practice (A)")</f>
        <v>Workplace Happiness: Science &amp; Practice (A)</v>
      </c>
      <c r="I136" s="106" t="str">
        <f ca="1">IFERROR(__xludf.DUMMYFUNCTION("INDEX(FILTER($P136:$AL136, $P136:$AL136 &lt;&gt; """"), 3)"),"Film &amp; the Firm: Visual Culture in Business Contexts (A)")</f>
        <v>Film &amp; the Firm: Visual Culture in Business Contexts (A)</v>
      </c>
      <c r="J136" s="106" t="str">
        <f ca="1">IFERROR(__xludf.DUMMYFUNCTION("IFERROR(INDEX(FILTER($P136:$AL136, $P136:$AL136 &lt;&gt; """"), 4),)"),"Employer Branding")</f>
        <v>Employer Branding</v>
      </c>
      <c r="K136" s="106" t="str">
        <f ca="1">IFERROR(__xludf.DUMMYFUNCTION("IFERROR(INDEX(FILTER($P136:$AL136, $P136:$AL136 &lt;&gt; """"), 5),)"),"SPORTS ANALYTICS (A)")</f>
        <v>SPORTS ANALYTICS (A)</v>
      </c>
      <c r="L136" s="107"/>
      <c r="M136" s="107"/>
      <c r="N136" s="107"/>
      <c r="O136" s="107"/>
      <c r="P136" s="132" t="str">
        <f>IF(COUNTIF('Fintech-A'!$A:$A, $C136), P$1, "")</f>
        <v/>
      </c>
      <c r="Q136" s="132" t="str">
        <f>IF(COUNTIF('Fintech-B'!$A:$A, $C136), Q$1, "")</f>
        <v/>
      </c>
      <c r="R136" s="132" t="str">
        <f>IF(COUNTIF('BEDM-A'!$A:$A, $C136), R$1, "")</f>
        <v/>
      </c>
      <c r="S136" s="132" t="str">
        <f>IF(COUNTIF('BEDM-B'!$A:$A, $C136), S$1, "")</f>
        <v/>
      </c>
      <c r="T136" s="132" t="str">
        <f>IF(COUNTIF('Art-A'!$A:$A, $C136), T$1, "")</f>
        <v/>
      </c>
      <c r="U136" s="132" t="str">
        <f>IF(COUNTIF('Art-B'!$A:$A, $C136), U$1, "")</f>
        <v>The Art, Craft, and Science of Management: Learning through Classics and Best Collections (B)</v>
      </c>
      <c r="V136" s="132" t="str">
        <f>IF(COUNTIF('WH-A'!$A:$A, $C136), V$1, "")</f>
        <v>Workplace Happiness: Science &amp; Practice (A)</v>
      </c>
      <c r="W136" s="132" t="str">
        <f>IF(COUNTIF('WH-B'!$A:$A, $C136), W$1, "")</f>
        <v/>
      </c>
      <c r="X136" s="132" t="str">
        <f>IF(COUNTIF(LETV!$A:$A, $C136), X$1, "")</f>
        <v/>
      </c>
      <c r="Y136" s="132" t="str">
        <f>IF(COUNTIF('Film&amp;Firm-A'!$A:$A, $C136), Y$1, "")</f>
        <v>Film &amp; the Firm: Visual Culture in Business Contexts (A)</v>
      </c>
      <c r="Z136" s="132" t="str">
        <f>IF(COUNTIF('Film&amp;Firm-B'!$A:$A, $C136), Z$1, "")</f>
        <v/>
      </c>
      <c r="AA136" s="132" t="str">
        <f>IF(COUNTIF(SHRM!$A:$A, $C136), AA$1, "")</f>
        <v/>
      </c>
      <c r="AB136" s="132" t="str">
        <f>IF(COUNTIF('SCM-A'!$A:$A, $C136), AB$1, "")</f>
        <v/>
      </c>
      <c r="AC136" s="132" t="str">
        <f>IF(COUNTIF('SCM-B'!$A:$A, $C136), AC$1, "")</f>
        <v/>
      </c>
      <c r="AD136" s="132" t="str">
        <f>IF(COUNTIF(AIS!$A:$A, $C136), AD$1, "")</f>
        <v/>
      </c>
      <c r="AE136" s="132" t="str">
        <f>IF(COUNTIF(EB!$A:$A, $C136), AE$1, "")</f>
        <v>Employer Branding</v>
      </c>
      <c r="AF136" s="132" t="str">
        <f>IF(COUNTIF('AIAM-A'!$A:$A, $C136), AF$1, "")</f>
        <v/>
      </c>
      <c r="AG136" s="132" t="str">
        <f>IF(COUNTIF('AIAM-B'!$A:$A, $C136), AG$1, "")</f>
        <v/>
      </c>
      <c r="AH136" s="132" t="str">
        <f>IF(COUNTIF('SA-A'!$A:$A, $C136), AH$1, "")</f>
        <v>SPORTS ANALYTICS (A)</v>
      </c>
      <c r="AI136" s="132" t="str">
        <f>IF(COUNTIF('SA-B'!$A:$A, $C136), AI$1, "")</f>
        <v/>
      </c>
      <c r="AJ136" s="132" t="str">
        <f>IF(COUNTIF(CSM!$A:$A, $C136), AJ$1, "")</f>
        <v/>
      </c>
      <c r="AK136" s="132" t="str">
        <f>IF(COUNTIF(EM!$A:$A, $C136), AK$1, "")</f>
        <v/>
      </c>
      <c r="AL136" s="132" t="str">
        <f>IF(COUNTIF(I4TS!$A:$A, $C136), AL$1, "")</f>
        <v/>
      </c>
    </row>
    <row r="137" spans="1:38" ht="13">
      <c r="A137" s="131">
        <v>136</v>
      </c>
      <c r="B137" s="131" t="s">
        <v>734</v>
      </c>
      <c r="C137" s="131" t="s">
        <v>267</v>
      </c>
      <c r="D137" s="106" t="s">
        <v>750</v>
      </c>
      <c r="E137" s="106" t="s">
        <v>751</v>
      </c>
      <c r="F137" s="131">
        <f t="shared" ca="1" si="0"/>
        <v>5</v>
      </c>
      <c r="G137" s="106" t="str">
        <f ca="1">IFERROR(__xludf.DUMMYFUNCTION("INDEX(FILTER($P137:$AL137, $P137:$AL137 &lt;&gt; """"), 1)"),"Fintech (Digital Transformation in Finance) (B)")</f>
        <v>Fintech (Digital Transformation in Finance) (B)</v>
      </c>
      <c r="H137" s="106" t="str">
        <f ca="1">IFERROR(__xludf.DUMMYFUNCTION("INDEX(FILTER($P137:$AL137, $P137:$AL137 &lt;&gt; """"), 2)"),"Film &amp; the Firm: Visual Culture in Business Contexts (A)")</f>
        <v>Film &amp; the Firm: Visual Culture in Business Contexts (A)</v>
      </c>
      <c r="I137" s="106" t="str">
        <f ca="1">IFERROR(__xludf.DUMMYFUNCTION("INDEX(FILTER($P137:$AL137, $P137:$AL137 &lt;&gt; """"), 3)"),"Strategic HRM")</f>
        <v>Strategic HRM</v>
      </c>
      <c r="J137" s="106" t="str">
        <f ca="1">IFERROR(__xludf.DUMMYFUNCTION("IFERROR(INDEX(FILTER($P137:$AL137, $P137:$AL137 &lt;&gt; """"), 4),)"),"")</f>
        <v/>
      </c>
      <c r="K137" s="106" t="str">
        <f ca="1">IFERROR(__xludf.DUMMYFUNCTION("IFERROR(INDEX(FILTER($P137:$AL137, $P137:$AL137 &lt;&gt; """"), 5),)"),"")</f>
        <v/>
      </c>
      <c r="L137" s="107"/>
      <c r="M137" s="107"/>
      <c r="N137" s="107"/>
      <c r="O137" s="107"/>
      <c r="P137" s="132" t="str">
        <f>IF(COUNTIF('Fintech-A'!$A:$A, $C137), P$1, "")</f>
        <v/>
      </c>
      <c r="Q137" s="132" t="str">
        <f>IF(COUNTIF('Fintech-B'!$A:$A, $C137), Q$1, "")</f>
        <v>Fintech (Digital Transformation in Finance) (B)</v>
      </c>
      <c r="R137" s="132" t="str">
        <f>IF(COUNTIF('BEDM-A'!$A:$A, $C137), R$1, "")</f>
        <v/>
      </c>
      <c r="S137" s="132" t="str">
        <f>IF(COUNTIF('BEDM-B'!$A:$A, $C137), S$1, "")</f>
        <v/>
      </c>
      <c r="T137" s="132" t="str">
        <f>IF(COUNTIF('Art-A'!$A:$A, $C137), T$1, "")</f>
        <v/>
      </c>
      <c r="U137" s="132" t="str">
        <f>IF(COUNTIF('Art-B'!$A:$A, $C137), U$1, "")</f>
        <v/>
      </c>
      <c r="V137" s="132" t="str">
        <f>IF(COUNTIF('WH-A'!$A:$A, $C137), V$1, "")</f>
        <v/>
      </c>
      <c r="W137" s="132" t="str">
        <f>IF(COUNTIF('WH-B'!$A:$A, $C137), W$1, "")</f>
        <v/>
      </c>
      <c r="X137" s="132" t="str">
        <f>IF(COUNTIF(LETV!$A:$A, $C137), X$1, "")</f>
        <v/>
      </c>
      <c r="Y137" s="132" t="str">
        <f>IF(COUNTIF('Film&amp;Firm-A'!$A:$A, $C137), Y$1, "")</f>
        <v>Film &amp; the Firm: Visual Culture in Business Contexts (A)</v>
      </c>
      <c r="Z137" s="132" t="str">
        <f>IF(COUNTIF('Film&amp;Firm-B'!$A:$A, $C137), Z$1, "")</f>
        <v/>
      </c>
      <c r="AA137" s="132" t="str">
        <f>IF(COUNTIF(SHRM!$A:$A, $C137), AA$1, "")</f>
        <v>Strategic HRM</v>
      </c>
      <c r="AB137" s="132" t="str">
        <f>IF(COUNTIF('SCM-A'!$A:$A, $C137), AB$1, "")</f>
        <v/>
      </c>
      <c r="AC137" s="132" t="str">
        <f>IF(COUNTIF('SCM-B'!$A:$A, $C137), AC$1, "")</f>
        <v/>
      </c>
      <c r="AD137" s="132" t="str">
        <f>IF(COUNTIF(AIS!$A:$A, $C137), AD$1, "")</f>
        <v/>
      </c>
      <c r="AE137" s="132" t="str">
        <f>IF(COUNTIF(EB!$A:$A, $C137), AE$1, "")</f>
        <v/>
      </c>
      <c r="AF137" s="132" t="str">
        <f>IF(COUNTIF('AIAM-A'!$A:$A, $C137), AF$1, "")</f>
        <v/>
      </c>
      <c r="AG137" s="132" t="str">
        <f>IF(COUNTIF('AIAM-B'!$A:$A, $C137), AG$1, "")</f>
        <v/>
      </c>
      <c r="AH137" s="132" t="str">
        <f>IF(COUNTIF('SA-A'!$A:$A, $C137), AH$1, "")</f>
        <v/>
      </c>
      <c r="AI137" s="132" t="str">
        <f>IF(COUNTIF('SA-B'!$A:$A, $C137), AI$1, "")</f>
        <v/>
      </c>
      <c r="AJ137" s="132" t="str">
        <f>IF(COUNTIF(CSM!$A:$A, $C137), AJ$1, "")</f>
        <v/>
      </c>
      <c r="AK137" s="132" t="str">
        <f>IF(COUNTIF(EM!$A:$A, $C137), AK$1, "")</f>
        <v/>
      </c>
      <c r="AL137" s="132" t="str">
        <f>IF(COUNTIF(I4TS!$A:$A, $C137), AL$1, "")</f>
        <v/>
      </c>
    </row>
    <row r="138" spans="1:38" ht="13">
      <c r="A138" s="131">
        <v>137</v>
      </c>
      <c r="B138" s="131" t="s">
        <v>734</v>
      </c>
      <c r="C138" s="131" t="s">
        <v>752</v>
      </c>
      <c r="D138" s="106" t="s">
        <v>753</v>
      </c>
      <c r="E138" s="106" t="s">
        <v>754</v>
      </c>
      <c r="F138" s="131">
        <f t="shared" ca="1" si="0"/>
        <v>5</v>
      </c>
      <c r="G138" s="106" t="str">
        <f ca="1">IFERROR(__xludf.DUMMYFUNCTION("INDEX(FILTER($P138:$AL138, $P138:$AL138 &lt;&gt; """"), 1)"),"Workplace Happiness: Science &amp; Practice (B)")</f>
        <v>Workplace Happiness: Science &amp; Practice (B)</v>
      </c>
      <c r="H138" s="106" t="str">
        <f ca="1">IFERROR(__xludf.DUMMYFUNCTION("INDEX(FILTER($P138:$AL138, $P138:$AL138 &lt;&gt; """"), 2)"),"Leadership Excellence Through Values : Wisdom from the Mahabharata")</f>
        <v>Leadership Excellence Through Values : Wisdom from the Mahabharata</v>
      </c>
      <c r="I138" s="106" t="str">
        <f ca="1">IFERROR(__xludf.DUMMYFUNCTION("INDEX(FILTER($P138:$AL138, $P138:$AL138 &lt;&gt; """"), 3)"),"Film &amp; the Firm: Visual Culture in Business Contexts (A)")</f>
        <v>Film &amp; the Firm: Visual Culture in Business Contexts (A)</v>
      </c>
      <c r="J138" s="106" t="str">
        <f ca="1">IFERROR(__xludf.DUMMYFUNCTION("IFERROR(INDEX(FILTER($P138:$AL138, $P138:$AL138 &lt;&gt; """"), 4),)"),"")</f>
        <v/>
      </c>
      <c r="K138" s="106" t="str">
        <f ca="1">IFERROR(__xludf.DUMMYFUNCTION("IFERROR(INDEX(FILTER($P138:$AL138, $P138:$AL138 &lt;&gt; """"), 5),)"),"")</f>
        <v/>
      </c>
      <c r="L138" s="107"/>
      <c r="M138" s="107"/>
      <c r="N138" s="107"/>
      <c r="O138" s="107"/>
      <c r="P138" s="132" t="str">
        <f>IF(COUNTIF('Fintech-A'!$A:$A, $C138), P$1, "")</f>
        <v/>
      </c>
      <c r="Q138" s="132" t="str">
        <f>IF(COUNTIF('Fintech-B'!$A:$A, $C138), Q$1, "")</f>
        <v/>
      </c>
      <c r="R138" s="132" t="str">
        <f>IF(COUNTIF('BEDM-A'!$A:$A, $C138), R$1, "")</f>
        <v/>
      </c>
      <c r="S138" s="132" t="str">
        <f>IF(COUNTIF('BEDM-B'!$A:$A, $C138), S$1, "")</f>
        <v/>
      </c>
      <c r="T138" s="132" t="str">
        <f>IF(COUNTIF('Art-A'!$A:$A, $C138), T$1, "")</f>
        <v/>
      </c>
      <c r="U138" s="132" t="str">
        <f>IF(COUNTIF('Art-B'!$A:$A, $C138), U$1, "")</f>
        <v/>
      </c>
      <c r="V138" s="132" t="str">
        <f>IF(COUNTIF('WH-A'!$A:$A, $C138), V$1, "")</f>
        <v/>
      </c>
      <c r="W138" s="132" t="str">
        <f>IF(COUNTIF('WH-B'!$A:$A, $C138), W$1, "")</f>
        <v>Workplace Happiness: Science &amp; Practice (B)</v>
      </c>
      <c r="X138" s="132" t="str">
        <f>IF(COUNTIF(LETV!$A:$A, $C138), X$1, "")</f>
        <v>Leadership Excellence Through Values : Wisdom from the Mahabharata</v>
      </c>
      <c r="Y138" s="132" t="str">
        <f>IF(COUNTIF('Film&amp;Firm-A'!$A:$A, $C138), Y$1, "")</f>
        <v>Film &amp; the Firm: Visual Culture in Business Contexts (A)</v>
      </c>
      <c r="Z138" s="132" t="str">
        <f>IF(COUNTIF('Film&amp;Firm-B'!$A:$A, $C138), Z$1, "")</f>
        <v/>
      </c>
      <c r="AA138" s="132" t="str">
        <f>IF(COUNTIF(SHRM!$A:$A, $C138), AA$1, "")</f>
        <v/>
      </c>
      <c r="AB138" s="132" t="str">
        <f>IF(COUNTIF('SCM-A'!$A:$A, $C138), AB$1, "")</f>
        <v/>
      </c>
      <c r="AC138" s="132" t="str">
        <f>IF(COUNTIF('SCM-B'!$A:$A, $C138), AC$1, "")</f>
        <v/>
      </c>
      <c r="AD138" s="132" t="str">
        <f>IF(COUNTIF(AIS!$A:$A, $C138), AD$1, "")</f>
        <v/>
      </c>
      <c r="AE138" s="132" t="str">
        <f>IF(COUNTIF(EB!$A:$A, $C138), AE$1, "")</f>
        <v/>
      </c>
      <c r="AF138" s="132" t="str">
        <f>IF(COUNTIF('AIAM-A'!$A:$A, $C138), AF$1, "")</f>
        <v/>
      </c>
      <c r="AG138" s="132" t="str">
        <f>IF(COUNTIF('AIAM-B'!$A:$A, $C138), AG$1, "")</f>
        <v/>
      </c>
      <c r="AH138" s="132" t="str">
        <f>IF(COUNTIF('SA-A'!$A:$A, $C138), AH$1, "")</f>
        <v/>
      </c>
      <c r="AI138" s="132" t="str">
        <f>IF(COUNTIF('SA-B'!$A:$A, $C138), AI$1, "")</f>
        <v/>
      </c>
      <c r="AJ138" s="132" t="str">
        <f>IF(COUNTIF(CSM!$A:$A, $C138), AJ$1, "")</f>
        <v/>
      </c>
      <c r="AK138" s="132" t="str">
        <f>IF(COUNTIF(EM!$A:$A, $C138), AK$1, "")</f>
        <v/>
      </c>
      <c r="AL138" s="132" t="str">
        <f>IF(COUNTIF(I4TS!$A:$A, $C138), AL$1, "")</f>
        <v/>
      </c>
    </row>
    <row r="139" spans="1:38" ht="13">
      <c r="A139" s="131">
        <v>138</v>
      </c>
      <c r="B139" s="131" t="s">
        <v>734</v>
      </c>
      <c r="C139" s="131" t="s">
        <v>755</v>
      </c>
      <c r="D139" s="106" t="s">
        <v>756</v>
      </c>
      <c r="E139" s="106" t="s">
        <v>757</v>
      </c>
      <c r="F139" s="131">
        <f t="shared" ca="1" si="0"/>
        <v>5</v>
      </c>
      <c r="G139" s="106" t="str">
        <f ca="1">IFERROR(__xludf.DUMMYFUNCTION("INDEX(FILTER($P139:$AL139, $P139:$AL139 &lt;&gt; """"), 1)"),"Fintech (Digital Transformation in Finance) (B)")</f>
        <v>Fintech (Digital Transformation in Finance) (B)</v>
      </c>
      <c r="H139" s="106" t="str">
        <f ca="1">IFERROR(__xludf.DUMMYFUNCTION("INDEX(FILTER($P139:$AL139, $P139:$AL139 &lt;&gt; """"), 2)"),"Behavioural Economics and Decision-Making (A)")</f>
        <v>Behavioural Economics and Decision-Making (A)</v>
      </c>
      <c r="I139" s="106" t="str">
        <f ca="1">IFERROR(__xludf.DUMMYFUNCTION("INDEX(FILTER($P139:$AL139, $P139:$AL139 &lt;&gt; """"), 3)"),"Leadership Excellence Through Values : Wisdom from the Mahabharata")</f>
        <v>Leadership Excellence Through Values : Wisdom from the Mahabharata</v>
      </c>
      <c r="J139" s="106" t="str">
        <f ca="1">IFERROR(__xludf.DUMMYFUNCTION("IFERROR(INDEX(FILTER($P139:$AL139, $P139:$AL139 &lt;&gt; """"), 4),)"),"AI Applications in Marketing (B)")</f>
        <v>AI Applications in Marketing (B)</v>
      </c>
      <c r="K139" s="106" t="str">
        <f ca="1">IFERROR(__xludf.DUMMYFUNCTION("IFERROR(INDEX(FILTER($P139:$AL139, $P139:$AL139 &lt;&gt; """"), 5),)"),"Entrepreneurial Marketing")</f>
        <v>Entrepreneurial Marketing</v>
      </c>
      <c r="L139" s="107"/>
      <c r="M139" s="107"/>
      <c r="N139" s="107"/>
      <c r="O139" s="107"/>
      <c r="P139" s="132" t="str">
        <f>IF(COUNTIF('Fintech-A'!$A:$A, $C139), P$1, "")</f>
        <v/>
      </c>
      <c r="Q139" s="132" t="str">
        <f>IF(COUNTIF('Fintech-B'!$A:$A, $C139), Q$1, "")</f>
        <v>Fintech (Digital Transformation in Finance) (B)</v>
      </c>
      <c r="R139" s="132" t="str">
        <f>IF(COUNTIF('BEDM-A'!$A:$A, $C139), R$1, "")</f>
        <v>Behavioural Economics and Decision-Making (A)</v>
      </c>
      <c r="S139" s="132" t="str">
        <f>IF(COUNTIF('BEDM-B'!$A:$A, $C139), S$1, "")</f>
        <v/>
      </c>
      <c r="T139" s="132" t="str">
        <f>IF(COUNTIF('Art-A'!$A:$A, $C139), T$1, "")</f>
        <v/>
      </c>
      <c r="U139" s="132" t="str">
        <f>IF(COUNTIF('Art-B'!$A:$A, $C139), U$1, "")</f>
        <v/>
      </c>
      <c r="V139" s="132" t="str">
        <f>IF(COUNTIF('WH-A'!$A:$A, $C139), V$1, "")</f>
        <v/>
      </c>
      <c r="W139" s="132" t="str">
        <f>IF(COUNTIF('WH-B'!$A:$A, $C139), W$1, "")</f>
        <v/>
      </c>
      <c r="X139" s="132" t="str">
        <f>IF(COUNTIF(LETV!$A:$A, $C139), X$1, "")</f>
        <v>Leadership Excellence Through Values : Wisdom from the Mahabharata</v>
      </c>
      <c r="Y139" s="132" t="str">
        <f>IF(COUNTIF('Film&amp;Firm-A'!$A:$A, $C139), Y$1, "")</f>
        <v/>
      </c>
      <c r="Z139" s="132" t="str">
        <f>IF(COUNTIF('Film&amp;Firm-B'!$A:$A, $C139), Z$1, "")</f>
        <v/>
      </c>
      <c r="AA139" s="132" t="str">
        <f>IF(COUNTIF(SHRM!$A:$A, $C139), AA$1, "")</f>
        <v/>
      </c>
      <c r="AB139" s="132" t="str">
        <f>IF(COUNTIF('SCM-A'!$A:$A, $C139), AB$1, "")</f>
        <v/>
      </c>
      <c r="AC139" s="132" t="str">
        <f>IF(COUNTIF('SCM-B'!$A:$A, $C139), AC$1, "")</f>
        <v/>
      </c>
      <c r="AD139" s="132" t="str">
        <f>IF(COUNTIF(AIS!$A:$A, $C139), AD$1, "")</f>
        <v/>
      </c>
      <c r="AE139" s="132" t="str">
        <f>IF(COUNTIF(EB!$A:$A, $C139), AE$1, "")</f>
        <v/>
      </c>
      <c r="AF139" s="132" t="str">
        <f>IF(COUNTIF('AIAM-A'!$A:$A, $C139), AF$1, "")</f>
        <v/>
      </c>
      <c r="AG139" s="132" t="str">
        <f>IF(COUNTIF('AIAM-B'!$A:$A, $C139), AG$1, "")</f>
        <v>AI Applications in Marketing (B)</v>
      </c>
      <c r="AH139" s="132" t="str">
        <f>IF(COUNTIF('SA-A'!$A:$A, $C139), AH$1, "")</f>
        <v/>
      </c>
      <c r="AI139" s="132" t="str">
        <f>IF(COUNTIF('SA-B'!$A:$A, $C139), AI$1, "")</f>
        <v/>
      </c>
      <c r="AJ139" s="132" t="str">
        <f>IF(COUNTIF(CSM!$A:$A, $C139), AJ$1, "")</f>
        <v/>
      </c>
      <c r="AK139" s="132" t="str">
        <f>IF(COUNTIF(EM!$A:$A, $C139), AK$1, "")</f>
        <v>Entrepreneurial Marketing</v>
      </c>
      <c r="AL139" s="132" t="str">
        <f>IF(COUNTIF(I4TS!$A:$A, $C139), AL$1, "")</f>
        <v/>
      </c>
    </row>
    <row r="140" spans="1:38" ht="13">
      <c r="A140" s="131">
        <v>139</v>
      </c>
      <c r="B140" s="131" t="s">
        <v>734</v>
      </c>
      <c r="C140" s="131" t="s">
        <v>758</v>
      </c>
      <c r="D140" s="106" t="s">
        <v>759</v>
      </c>
      <c r="E140" s="106" t="s">
        <v>760</v>
      </c>
      <c r="F140" s="131">
        <f t="shared" ca="1" si="0"/>
        <v>5</v>
      </c>
      <c r="G140" s="106" t="str">
        <f ca="1">IFERROR(__xludf.DUMMYFUNCTION("INDEX(FILTER($P140:$AL140, $P140:$AL140 &lt;&gt; """"), 1)"),"Fintech (Digital Transformation in Finance) (B)")</f>
        <v>Fintech (Digital Transformation in Finance) (B)</v>
      </c>
      <c r="H140" s="106" t="str">
        <f ca="1">IFERROR(__xludf.DUMMYFUNCTION("INDEX(FILTER($P140:$AL140, $P140:$AL140 &lt;&gt; """"), 2)"),"Behavioural Economics and Decision-Making (A)")</f>
        <v>Behavioural Economics and Decision-Making (A)</v>
      </c>
      <c r="I140" s="106" t="str">
        <f ca="1">IFERROR(__xludf.DUMMYFUNCTION("INDEX(FILTER($P140:$AL140, $P140:$AL140 &lt;&gt; """"), 3)"),"AI Applications in Marketing (B)")</f>
        <v>AI Applications in Marketing (B)</v>
      </c>
      <c r="J140" s="106" t="str">
        <f ca="1">IFERROR(__xludf.DUMMYFUNCTION("IFERROR(INDEX(FILTER($P140:$AL140, $P140:$AL140 &lt;&gt; """"), 4),)"),"SPORTS ANALYTICS (B)")</f>
        <v>SPORTS ANALYTICS (B)</v>
      </c>
      <c r="K140" s="106" t="str">
        <f ca="1">IFERROR(__xludf.DUMMYFUNCTION("IFERROR(INDEX(FILTER($P140:$AL140, $P140:$AL140 &lt;&gt; """"), 5),)"),"Entrepreneurial Marketing")</f>
        <v>Entrepreneurial Marketing</v>
      </c>
      <c r="L140" s="107"/>
      <c r="M140" s="107"/>
      <c r="N140" s="107"/>
      <c r="O140" s="107"/>
      <c r="P140" s="132" t="str">
        <f>IF(COUNTIF('Fintech-A'!$A:$A, $C140), P$1, "")</f>
        <v/>
      </c>
      <c r="Q140" s="132" t="str">
        <f>IF(COUNTIF('Fintech-B'!$A:$A, $C140), Q$1, "")</f>
        <v>Fintech (Digital Transformation in Finance) (B)</v>
      </c>
      <c r="R140" s="132" t="str">
        <f>IF(COUNTIF('BEDM-A'!$A:$A, $C140), R$1, "")</f>
        <v>Behavioural Economics and Decision-Making (A)</v>
      </c>
      <c r="S140" s="132" t="str">
        <f>IF(COUNTIF('BEDM-B'!$A:$A, $C140), S$1, "")</f>
        <v/>
      </c>
      <c r="T140" s="132" t="str">
        <f>IF(COUNTIF('Art-A'!$A:$A, $C140), T$1, "")</f>
        <v/>
      </c>
      <c r="U140" s="132" t="str">
        <f>IF(COUNTIF('Art-B'!$A:$A, $C140), U$1, "")</f>
        <v/>
      </c>
      <c r="V140" s="132" t="str">
        <f>IF(COUNTIF('WH-A'!$A:$A, $C140), V$1, "")</f>
        <v/>
      </c>
      <c r="W140" s="132" t="str">
        <f>IF(COUNTIF('WH-B'!$A:$A, $C140), W$1, "")</f>
        <v/>
      </c>
      <c r="X140" s="132" t="str">
        <f>IF(COUNTIF(LETV!$A:$A, $C140), X$1, "")</f>
        <v/>
      </c>
      <c r="Y140" s="132" t="str">
        <f>IF(COUNTIF('Film&amp;Firm-A'!$A:$A, $C140), Y$1, "")</f>
        <v/>
      </c>
      <c r="Z140" s="132" t="str">
        <f>IF(COUNTIF('Film&amp;Firm-B'!$A:$A, $C140), Z$1, "")</f>
        <v/>
      </c>
      <c r="AA140" s="132" t="str">
        <f>IF(COUNTIF(SHRM!$A:$A, $C140), AA$1, "")</f>
        <v/>
      </c>
      <c r="AB140" s="132" t="str">
        <f>IF(COUNTIF('SCM-A'!$A:$A, $C140), AB$1, "")</f>
        <v/>
      </c>
      <c r="AC140" s="132" t="str">
        <f>IF(COUNTIF('SCM-B'!$A:$A, $C140), AC$1, "")</f>
        <v/>
      </c>
      <c r="AD140" s="132" t="str">
        <f>IF(COUNTIF(AIS!$A:$A, $C140), AD$1, "")</f>
        <v/>
      </c>
      <c r="AE140" s="132" t="str">
        <f>IF(COUNTIF(EB!$A:$A, $C140), AE$1, "")</f>
        <v/>
      </c>
      <c r="AF140" s="132" t="str">
        <f>IF(COUNTIF('AIAM-A'!$A:$A, $C140), AF$1, "")</f>
        <v/>
      </c>
      <c r="AG140" s="132" t="str">
        <f>IF(COUNTIF('AIAM-B'!$A:$A, $C140), AG$1, "")</f>
        <v>AI Applications in Marketing (B)</v>
      </c>
      <c r="AH140" s="132" t="str">
        <f>IF(COUNTIF('SA-A'!$A:$A, $C140), AH$1, "")</f>
        <v/>
      </c>
      <c r="AI140" s="132" t="str">
        <f>IF(COUNTIF('SA-B'!$A:$A, $C140), AI$1, "")</f>
        <v>SPORTS ANALYTICS (B)</v>
      </c>
      <c r="AJ140" s="132" t="str">
        <f>IF(COUNTIF(CSM!$A:$A, $C140), AJ$1, "")</f>
        <v/>
      </c>
      <c r="AK140" s="132" t="str">
        <f>IF(COUNTIF(EM!$A:$A, $C140), AK$1, "")</f>
        <v>Entrepreneurial Marketing</v>
      </c>
      <c r="AL140" s="132" t="str">
        <f>IF(COUNTIF(I4TS!$A:$A, $C140), AL$1, "")</f>
        <v/>
      </c>
    </row>
    <row r="141" spans="1:38" ht="13">
      <c r="A141" s="131">
        <v>140</v>
      </c>
      <c r="B141" s="131" t="s">
        <v>734</v>
      </c>
      <c r="C141" s="131" t="s">
        <v>268</v>
      </c>
      <c r="D141" s="106" t="s">
        <v>761</v>
      </c>
      <c r="E141" s="106" t="s">
        <v>762</v>
      </c>
      <c r="F141" s="131">
        <f t="shared" ca="1" si="0"/>
        <v>5</v>
      </c>
      <c r="G141" s="106" t="str">
        <f ca="1">IFERROR(__xludf.DUMMYFUNCTION("INDEX(FILTER($P141:$AL141, $P141:$AL141 &lt;&gt; """"), 1)"),"Fintech (Digital Transformation in Finance) (B)")</f>
        <v>Fintech (Digital Transformation in Finance) (B)</v>
      </c>
      <c r="H141" s="106" t="str">
        <f ca="1">IFERROR(__xludf.DUMMYFUNCTION("INDEX(FILTER($P141:$AL141, $P141:$AL141 &lt;&gt; """"), 2)"),"AI AND  STRATEGY")</f>
        <v>AI AND  STRATEGY</v>
      </c>
      <c r="I141" s="106" t="str">
        <f ca="1">IFERROR(__xludf.DUMMYFUNCTION("INDEX(FILTER($P141:$AL141, $P141:$AL141 &lt;&gt; """"), 3)"),"AI Applications in Marketing (B)")</f>
        <v>AI Applications in Marketing (B)</v>
      </c>
      <c r="J141" s="106" t="str">
        <f ca="1">IFERROR(__xludf.DUMMYFUNCTION("IFERROR(INDEX(FILTER($P141:$AL141, $P141:$AL141 &lt;&gt; """"), 4),)"),"Customer Success Management")</f>
        <v>Customer Success Management</v>
      </c>
      <c r="K141" s="106" t="str">
        <f ca="1">IFERROR(__xludf.DUMMYFUNCTION("IFERROR(INDEX(FILTER($P141:$AL141, $P141:$AL141 &lt;&gt; """"), 5),)"),"Industry 4.0 in Transport Sector")</f>
        <v>Industry 4.0 in Transport Sector</v>
      </c>
      <c r="L141" s="107"/>
      <c r="M141" s="107"/>
      <c r="N141" s="107"/>
      <c r="O141" s="107"/>
      <c r="P141" s="132" t="str">
        <f>IF(COUNTIF('Fintech-A'!$A:$A, $C141), P$1, "")</f>
        <v/>
      </c>
      <c r="Q141" s="132" t="str">
        <f>IF(COUNTIF('Fintech-B'!$A:$A, $C141), Q$1, "")</f>
        <v>Fintech (Digital Transformation in Finance) (B)</v>
      </c>
      <c r="R141" s="132" t="str">
        <f>IF(COUNTIF('BEDM-A'!$A:$A, $C141), R$1, "")</f>
        <v/>
      </c>
      <c r="S141" s="132" t="str">
        <f>IF(COUNTIF('BEDM-B'!$A:$A, $C141), S$1, "")</f>
        <v/>
      </c>
      <c r="T141" s="132" t="str">
        <f>IF(COUNTIF('Art-A'!$A:$A, $C141), T$1, "")</f>
        <v/>
      </c>
      <c r="U141" s="132" t="str">
        <f>IF(COUNTIF('Art-B'!$A:$A, $C141), U$1, "")</f>
        <v/>
      </c>
      <c r="V141" s="132" t="str">
        <f>IF(COUNTIF('WH-A'!$A:$A, $C141), V$1, "")</f>
        <v/>
      </c>
      <c r="W141" s="132" t="str">
        <f>IF(COUNTIF('WH-B'!$A:$A, $C141), W$1, "")</f>
        <v/>
      </c>
      <c r="X141" s="132" t="str">
        <f>IF(COUNTIF(LETV!$A:$A, $C141), X$1, "")</f>
        <v/>
      </c>
      <c r="Y141" s="132" t="str">
        <f>IF(COUNTIF('Film&amp;Firm-A'!$A:$A, $C141), Y$1, "")</f>
        <v/>
      </c>
      <c r="Z141" s="132" t="str">
        <f>IF(COUNTIF('Film&amp;Firm-B'!$A:$A, $C141), Z$1, "")</f>
        <v/>
      </c>
      <c r="AA141" s="132" t="str">
        <f>IF(COUNTIF(SHRM!$A:$A, $C141), AA$1, "")</f>
        <v/>
      </c>
      <c r="AB141" s="132" t="str">
        <f>IF(COUNTIF('SCM-A'!$A:$A, $C141), AB$1, "")</f>
        <v/>
      </c>
      <c r="AC141" s="132" t="str">
        <f>IF(COUNTIF('SCM-B'!$A:$A, $C141), AC$1, "")</f>
        <v/>
      </c>
      <c r="AD141" s="132" t="str">
        <f>IF(COUNTIF(AIS!$A:$A, $C141), AD$1, "")</f>
        <v>AI AND  STRATEGY</v>
      </c>
      <c r="AE141" s="132" t="str">
        <f>IF(COUNTIF(EB!$A:$A, $C141), AE$1, "")</f>
        <v/>
      </c>
      <c r="AF141" s="132" t="str">
        <f>IF(COUNTIF('AIAM-A'!$A:$A, $C141), AF$1, "")</f>
        <v/>
      </c>
      <c r="AG141" s="132" t="str">
        <f>IF(COUNTIF('AIAM-B'!$A:$A, $C141), AG$1, "")</f>
        <v>AI Applications in Marketing (B)</v>
      </c>
      <c r="AH141" s="132" t="str">
        <f>IF(COUNTIF('SA-A'!$A:$A, $C141), AH$1, "")</f>
        <v/>
      </c>
      <c r="AI141" s="132" t="str">
        <f>IF(COUNTIF('SA-B'!$A:$A, $C141), AI$1, "")</f>
        <v/>
      </c>
      <c r="AJ141" s="132" t="str">
        <f>IF(COUNTIF(CSM!$A:$A, $C141), AJ$1, "")</f>
        <v>Customer Success Management</v>
      </c>
      <c r="AK141" s="132" t="str">
        <f>IF(COUNTIF(EM!$A:$A, $C141), AK$1, "")</f>
        <v/>
      </c>
      <c r="AL141" s="132" t="str">
        <f>IF(COUNTIF(I4TS!$A:$A, $C141), AL$1, "")</f>
        <v>Industry 4.0 in Transport Sector</v>
      </c>
    </row>
    <row r="142" spans="1:38" ht="13">
      <c r="A142" s="131">
        <v>141</v>
      </c>
      <c r="B142" s="131" t="s">
        <v>734</v>
      </c>
      <c r="C142" s="131" t="s">
        <v>763</v>
      </c>
      <c r="D142" s="106" t="s">
        <v>764</v>
      </c>
      <c r="E142" s="106" t="s">
        <v>765</v>
      </c>
      <c r="F142" s="131">
        <f t="shared" ca="1" si="0"/>
        <v>5</v>
      </c>
      <c r="G142" s="106" t="str">
        <f ca="1">IFERROR(__xludf.DUMMYFUNCTION("INDEX(FILTER($P142:$AL142, $P142:$AL142 &lt;&gt; """"), 1)"),"Workplace Happiness: Science &amp; Practice (A)")</f>
        <v>Workplace Happiness: Science &amp; Practice (A)</v>
      </c>
      <c r="H142" s="106" t="str">
        <f ca="1">IFERROR(__xludf.DUMMYFUNCTION("INDEX(FILTER($P142:$AL142, $P142:$AL142 &lt;&gt; """"), 2)"),"Film &amp; the Firm: Visual Culture in Business Contexts (A)")</f>
        <v>Film &amp; the Firm: Visual Culture in Business Contexts (A)</v>
      </c>
      <c r="I142" s="106" t="str">
        <f ca="1">IFERROR(__xludf.DUMMYFUNCTION("INDEX(FILTER($P142:$AL142, $P142:$AL142 &lt;&gt; """"), 3)"),"Strategic HRM")</f>
        <v>Strategic HRM</v>
      </c>
      <c r="J142" s="106" t="str">
        <f ca="1">IFERROR(__xludf.DUMMYFUNCTION("IFERROR(INDEX(FILTER($P142:$AL142, $P142:$AL142 &lt;&gt; """"), 4),)"),"Employer Branding")</f>
        <v>Employer Branding</v>
      </c>
      <c r="K142" s="106" t="str">
        <f ca="1">IFERROR(__xludf.DUMMYFUNCTION("IFERROR(INDEX(FILTER($P142:$AL142, $P142:$AL142 &lt;&gt; """"), 5),)"),"Customer Success Management")</f>
        <v>Customer Success Management</v>
      </c>
      <c r="L142" s="107"/>
      <c r="M142" s="107"/>
      <c r="N142" s="107"/>
      <c r="O142" s="107"/>
      <c r="P142" s="132" t="str">
        <f>IF(COUNTIF('Fintech-A'!$A:$A, $C142), P$1, "")</f>
        <v/>
      </c>
      <c r="Q142" s="132" t="str">
        <f>IF(COUNTIF('Fintech-B'!$A:$A, $C142), Q$1, "")</f>
        <v/>
      </c>
      <c r="R142" s="132" t="str">
        <f>IF(COUNTIF('BEDM-A'!$A:$A, $C142), R$1, "")</f>
        <v/>
      </c>
      <c r="S142" s="132" t="str">
        <f>IF(COUNTIF('BEDM-B'!$A:$A, $C142), S$1, "")</f>
        <v/>
      </c>
      <c r="T142" s="132" t="str">
        <f>IF(COUNTIF('Art-A'!$A:$A, $C142), T$1, "")</f>
        <v/>
      </c>
      <c r="U142" s="132" t="str">
        <f>IF(COUNTIF('Art-B'!$A:$A, $C142), U$1, "")</f>
        <v/>
      </c>
      <c r="V142" s="132" t="str">
        <f>IF(COUNTIF('WH-A'!$A:$A, $C142), V$1, "")</f>
        <v>Workplace Happiness: Science &amp; Practice (A)</v>
      </c>
      <c r="W142" s="132" t="str">
        <f>IF(COUNTIF('WH-B'!$A:$A, $C142), W$1, "")</f>
        <v/>
      </c>
      <c r="X142" s="132" t="str">
        <f>IF(COUNTIF(LETV!$A:$A, $C142), X$1, "")</f>
        <v/>
      </c>
      <c r="Y142" s="132" t="str">
        <f>IF(COUNTIF('Film&amp;Firm-A'!$A:$A, $C142), Y$1, "")</f>
        <v>Film &amp; the Firm: Visual Culture in Business Contexts (A)</v>
      </c>
      <c r="Z142" s="132" t="str">
        <f>IF(COUNTIF('Film&amp;Firm-B'!$A:$A, $C142), Z$1, "")</f>
        <v/>
      </c>
      <c r="AA142" s="132" t="str">
        <f>IF(COUNTIF(SHRM!$A:$A, $C142), AA$1, "")</f>
        <v>Strategic HRM</v>
      </c>
      <c r="AB142" s="132" t="str">
        <f>IF(COUNTIF('SCM-A'!$A:$A, $C142), AB$1, "")</f>
        <v/>
      </c>
      <c r="AC142" s="132" t="str">
        <f>IF(COUNTIF('SCM-B'!$A:$A, $C142), AC$1, "")</f>
        <v/>
      </c>
      <c r="AD142" s="132" t="str">
        <f>IF(COUNTIF(AIS!$A:$A, $C142), AD$1, "")</f>
        <v/>
      </c>
      <c r="AE142" s="132" t="str">
        <f>IF(COUNTIF(EB!$A:$A, $C142), AE$1, "")</f>
        <v>Employer Branding</v>
      </c>
      <c r="AF142" s="132" t="str">
        <f>IF(COUNTIF('AIAM-A'!$A:$A, $C142), AF$1, "")</f>
        <v/>
      </c>
      <c r="AG142" s="132" t="str">
        <f>IF(COUNTIF('AIAM-B'!$A:$A, $C142), AG$1, "")</f>
        <v/>
      </c>
      <c r="AH142" s="132" t="str">
        <f>IF(COUNTIF('SA-A'!$A:$A, $C142), AH$1, "")</f>
        <v/>
      </c>
      <c r="AI142" s="132" t="str">
        <f>IF(COUNTIF('SA-B'!$A:$A, $C142), AI$1, "")</f>
        <v/>
      </c>
      <c r="AJ142" s="132" t="str">
        <f>IF(COUNTIF(CSM!$A:$A, $C142), AJ$1, "")</f>
        <v>Customer Success Management</v>
      </c>
      <c r="AK142" s="132" t="str">
        <f>IF(COUNTIF(EM!$A:$A, $C142), AK$1, "")</f>
        <v/>
      </c>
      <c r="AL142" s="132" t="str">
        <f>IF(COUNTIF(I4TS!$A:$A, $C142), AL$1, "")</f>
        <v/>
      </c>
    </row>
    <row r="143" spans="1:38" ht="13">
      <c r="A143" s="131">
        <v>142</v>
      </c>
      <c r="B143" s="131" t="s">
        <v>734</v>
      </c>
      <c r="C143" s="131" t="s">
        <v>269</v>
      </c>
      <c r="D143" s="106" t="s">
        <v>766</v>
      </c>
      <c r="E143" s="106" t="s">
        <v>767</v>
      </c>
      <c r="F143" s="131">
        <f t="shared" ca="1" si="0"/>
        <v>5</v>
      </c>
      <c r="G143" s="106" t="str">
        <f ca="1">IFERROR(__xludf.DUMMYFUNCTION("INDEX(FILTER($P143:$AL143, $P143:$AL143 &lt;&gt; """"), 1)"),"Workplace Happiness: Science &amp; Practice (A)")</f>
        <v>Workplace Happiness: Science &amp; Practice (A)</v>
      </c>
      <c r="H143" s="106" t="str">
        <f ca="1">IFERROR(__xludf.DUMMYFUNCTION("INDEX(FILTER($P143:$AL143, $P143:$AL143 &lt;&gt; """"), 2)"),"Film &amp; the Firm: Visual Culture in Business Contexts (B)")</f>
        <v>Film &amp; the Firm: Visual Culture in Business Contexts (B)</v>
      </c>
      <c r="I143" s="106" t="str">
        <f ca="1">IFERROR(__xludf.DUMMYFUNCTION("INDEX(FILTER($P143:$AL143, $P143:$AL143 &lt;&gt; """"), 3)"),"Strategic Career Management (A)")</f>
        <v>Strategic Career Management (A)</v>
      </c>
      <c r="J143" s="106" t="str">
        <f ca="1">IFERROR(__xludf.DUMMYFUNCTION("IFERROR(INDEX(FILTER($P143:$AL143, $P143:$AL143 &lt;&gt; """"), 4),)"),"")</f>
        <v/>
      </c>
      <c r="K143" s="106" t="str">
        <f ca="1">IFERROR(__xludf.DUMMYFUNCTION("IFERROR(INDEX(FILTER($P143:$AL143, $P143:$AL143 &lt;&gt; """"), 5),)"),"")</f>
        <v/>
      </c>
      <c r="L143" s="107"/>
      <c r="M143" s="107"/>
      <c r="N143" s="107"/>
      <c r="O143" s="107"/>
      <c r="P143" s="132" t="str">
        <f>IF(COUNTIF('Fintech-A'!$A:$A, $C143), P$1, "")</f>
        <v/>
      </c>
      <c r="Q143" s="132" t="str">
        <f>IF(COUNTIF('Fintech-B'!$A:$A, $C143), Q$1, "")</f>
        <v/>
      </c>
      <c r="R143" s="132" t="str">
        <f>IF(COUNTIF('BEDM-A'!$A:$A, $C143), R$1, "")</f>
        <v/>
      </c>
      <c r="S143" s="132" t="str">
        <f>IF(COUNTIF('BEDM-B'!$A:$A, $C143), S$1, "")</f>
        <v/>
      </c>
      <c r="T143" s="132" t="str">
        <f>IF(COUNTIF('Art-A'!$A:$A, $C143), T$1, "")</f>
        <v/>
      </c>
      <c r="U143" s="132" t="str">
        <f>IF(COUNTIF('Art-B'!$A:$A, $C143), U$1, "")</f>
        <v/>
      </c>
      <c r="V143" s="132" t="str">
        <f>IF(COUNTIF('WH-A'!$A:$A, $C143), V$1, "")</f>
        <v>Workplace Happiness: Science &amp; Practice (A)</v>
      </c>
      <c r="W143" s="132" t="str">
        <f>IF(COUNTIF('WH-B'!$A:$A, $C143), W$1, "")</f>
        <v/>
      </c>
      <c r="X143" s="132" t="str">
        <f>IF(COUNTIF(LETV!$A:$A, $C143), X$1, "")</f>
        <v/>
      </c>
      <c r="Y143" s="132" t="str">
        <f>IF(COUNTIF('Film&amp;Firm-A'!$A:$A, $C143), Y$1, "")</f>
        <v/>
      </c>
      <c r="Z143" s="132" t="str">
        <f>IF(COUNTIF('Film&amp;Firm-B'!$A:$A, $C143), Z$1, "")</f>
        <v>Film &amp; the Firm: Visual Culture in Business Contexts (B)</v>
      </c>
      <c r="AA143" s="132" t="str">
        <f>IF(COUNTIF(SHRM!$A:$A, $C143), AA$1, "")</f>
        <v/>
      </c>
      <c r="AB143" s="132" t="str">
        <f>IF(COUNTIF('SCM-A'!$A:$A, $C143), AB$1, "")</f>
        <v>Strategic Career Management (A)</v>
      </c>
      <c r="AC143" s="132" t="str">
        <f>IF(COUNTIF('SCM-B'!$A:$A, $C143), AC$1, "")</f>
        <v/>
      </c>
      <c r="AD143" s="132" t="str">
        <f>IF(COUNTIF(AIS!$A:$A, $C143), AD$1, "")</f>
        <v/>
      </c>
      <c r="AE143" s="132" t="str">
        <f>IF(COUNTIF(EB!$A:$A, $C143), AE$1, "")</f>
        <v/>
      </c>
      <c r="AF143" s="132" t="str">
        <f>IF(COUNTIF('AIAM-A'!$A:$A, $C143), AF$1, "")</f>
        <v/>
      </c>
      <c r="AG143" s="132" t="str">
        <f>IF(COUNTIF('AIAM-B'!$A:$A, $C143), AG$1, "")</f>
        <v/>
      </c>
      <c r="AH143" s="132" t="str">
        <f>IF(COUNTIF('SA-A'!$A:$A, $C143), AH$1, "")</f>
        <v/>
      </c>
      <c r="AI143" s="132" t="str">
        <f>IF(COUNTIF('SA-B'!$A:$A, $C143), AI$1, "")</f>
        <v/>
      </c>
      <c r="AJ143" s="132" t="str">
        <f>IF(COUNTIF(CSM!$A:$A, $C143), AJ$1, "")</f>
        <v/>
      </c>
      <c r="AK143" s="132" t="str">
        <f>IF(COUNTIF(EM!$A:$A, $C143), AK$1, "")</f>
        <v/>
      </c>
      <c r="AL143" s="132" t="str">
        <f>IF(COUNTIF(I4TS!$A:$A, $C143), AL$1, "")</f>
        <v/>
      </c>
    </row>
    <row r="144" spans="1:38" ht="13">
      <c r="A144" s="131">
        <v>143</v>
      </c>
      <c r="B144" s="131" t="s">
        <v>734</v>
      </c>
      <c r="C144" s="131" t="s">
        <v>768</v>
      </c>
      <c r="D144" s="106" t="s">
        <v>769</v>
      </c>
      <c r="E144" s="106" t="s">
        <v>770</v>
      </c>
      <c r="F144" s="131">
        <f t="shared" ca="1" si="0"/>
        <v>5</v>
      </c>
      <c r="G144" s="106" t="str">
        <f ca="1">IFERROR(__xludf.DUMMYFUNCTION("INDEX(FILTER($P144:$AL144, $P144:$AL144 &lt;&gt; """"), 1)"),"Workplace Happiness: Science &amp; Practice (A)")</f>
        <v>Workplace Happiness: Science &amp; Practice (A)</v>
      </c>
      <c r="H144" s="106" t="str">
        <f ca="1">IFERROR(__xludf.DUMMYFUNCTION("INDEX(FILTER($P144:$AL144, $P144:$AL144 &lt;&gt; """"), 2)"),"Strategic Career Management (A)")</f>
        <v>Strategic Career Management (A)</v>
      </c>
      <c r="I144" s="106" t="str">
        <f ca="1">IFERROR(__xludf.DUMMYFUNCTION("INDEX(FILTER($P144:$AL144, $P144:$AL144 &lt;&gt; """"), 3)"),"AI Applications in Marketing (A)")</f>
        <v>AI Applications in Marketing (A)</v>
      </c>
      <c r="J144" s="106" t="str">
        <f ca="1">IFERROR(__xludf.DUMMYFUNCTION("IFERROR(INDEX(FILTER($P144:$AL144, $P144:$AL144 &lt;&gt; """"), 4),)"),"")</f>
        <v/>
      </c>
      <c r="K144" s="106" t="str">
        <f ca="1">IFERROR(__xludf.DUMMYFUNCTION("IFERROR(INDEX(FILTER($P144:$AL144, $P144:$AL144 &lt;&gt; """"), 5),)"),"")</f>
        <v/>
      </c>
      <c r="L144" s="107"/>
      <c r="M144" s="107"/>
      <c r="N144" s="107"/>
      <c r="O144" s="107"/>
      <c r="P144" s="132" t="str">
        <f>IF(COUNTIF('Fintech-A'!$A:$A, $C144), P$1, "")</f>
        <v/>
      </c>
      <c r="Q144" s="132" t="str">
        <f>IF(COUNTIF('Fintech-B'!$A:$A, $C144), Q$1, "")</f>
        <v/>
      </c>
      <c r="R144" s="132" t="str">
        <f>IF(COUNTIF('BEDM-A'!$A:$A, $C144), R$1, "")</f>
        <v/>
      </c>
      <c r="S144" s="132" t="str">
        <f>IF(COUNTIF('BEDM-B'!$A:$A, $C144), S$1, "")</f>
        <v/>
      </c>
      <c r="T144" s="132" t="str">
        <f>IF(COUNTIF('Art-A'!$A:$A, $C144), T$1, "")</f>
        <v/>
      </c>
      <c r="U144" s="132" t="str">
        <f>IF(COUNTIF('Art-B'!$A:$A, $C144), U$1, "")</f>
        <v/>
      </c>
      <c r="V144" s="132" t="str">
        <f>IF(COUNTIF('WH-A'!$A:$A, $C144), V$1, "")</f>
        <v>Workplace Happiness: Science &amp; Practice (A)</v>
      </c>
      <c r="W144" s="132" t="str">
        <f>IF(COUNTIF('WH-B'!$A:$A, $C144), W$1, "")</f>
        <v/>
      </c>
      <c r="X144" s="132" t="str">
        <f>IF(COUNTIF(LETV!$A:$A, $C144), X$1, "")</f>
        <v/>
      </c>
      <c r="Y144" s="132" t="str">
        <f>IF(COUNTIF('Film&amp;Firm-A'!$A:$A, $C144), Y$1, "")</f>
        <v/>
      </c>
      <c r="Z144" s="132" t="str">
        <f>IF(COUNTIF('Film&amp;Firm-B'!$A:$A, $C144), Z$1, "")</f>
        <v/>
      </c>
      <c r="AA144" s="132" t="str">
        <f>IF(COUNTIF(SHRM!$A:$A, $C144), AA$1, "")</f>
        <v/>
      </c>
      <c r="AB144" s="132" t="str">
        <f>IF(COUNTIF('SCM-A'!$A:$A, $C144), AB$1, "")</f>
        <v>Strategic Career Management (A)</v>
      </c>
      <c r="AC144" s="132" t="str">
        <f>IF(COUNTIF('SCM-B'!$A:$A, $C144), AC$1, "")</f>
        <v/>
      </c>
      <c r="AD144" s="132" t="str">
        <f>IF(COUNTIF(AIS!$A:$A, $C144), AD$1, "")</f>
        <v/>
      </c>
      <c r="AE144" s="132" t="str">
        <f>IF(COUNTIF(EB!$A:$A, $C144), AE$1, "")</f>
        <v/>
      </c>
      <c r="AF144" s="132" t="str">
        <f>IF(COUNTIF('AIAM-A'!$A:$A, $C144), AF$1, "")</f>
        <v>AI Applications in Marketing (A)</v>
      </c>
      <c r="AG144" s="132" t="str">
        <f>IF(COUNTIF('AIAM-B'!$A:$A, $C144), AG$1, "")</f>
        <v/>
      </c>
      <c r="AH144" s="132" t="str">
        <f>IF(COUNTIF('SA-A'!$A:$A, $C144), AH$1, "")</f>
        <v/>
      </c>
      <c r="AI144" s="132" t="str">
        <f>IF(COUNTIF('SA-B'!$A:$A, $C144), AI$1, "")</f>
        <v/>
      </c>
      <c r="AJ144" s="132" t="str">
        <f>IF(COUNTIF(CSM!$A:$A, $C144), AJ$1, "")</f>
        <v/>
      </c>
      <c r="AK144" s="132" t="str">
        <f>IF(COUNTIF(EM!$A:$A, $C144), AK$1, "")</f>
        <v/>
      </c>
      <c r="AL144" s="132" t="str">
        <f>IF(COUNTIF(I4TS!$A:$A, $C144), AL$1, "")</f>
        <v/>
      </c>
    </row>
    <row r="145" spans="1:38" ht="13">
      <c r="A145" s="131">
        <v>144</v>
      </c>
      <c r="B145" s="131" t="s">
        <v>734</v>
      </c>
      <c r="C145" s="131" t="s">
        <v>771</v>
      </c>
      <c r="D145" s="106" t="s">
        <v>772</v>
      </c>
      <c r="E145" s="106" t="s">
        <v>773</v>
      </c>
      <c r="F145" s="131">
        <f t="shared" ca="1" si="0"/>
        <v>5</v>
      </c>
      <c r="G145" s="106" t="str">
        <f ca="1">IFERROR(__xludf.DUMMYFUNCTION("INDEX(FILTER($P145:$AL145, $P145:$AL145 &lt;&gt; """"), 1)"),"Leadership Excellence Through Values : Wisdom from the Mahabharata")</f>
        <v>Leadership Excellence Through Values : Wisdom from the Mahabharata</v>
      </c>
      <c r="H145" s="106" t="str">
        <f ca="1">IFERROR(__xludf.DUMMYFUNCTION("INDEX(FILTER($P145:$AL145, $P145:$AL145 &lt;&gt; """"), 2)"),"Strategic Career Management (B)")</f>
        <v>Strategic Career Management (B)</v>
      </c>
      <c r="I145" s="106" t="str">
        <f ca="1">IFERROR(__xludf.DUMMYFUNCTION("INDEX(FILTER($P145:$AL145, $P145:$AL145 &lt;&gt; """"), 3)"),"Customer Success Management")</f>
        <v>Customer Success Management</v>
      </c>
      <c r="J145" s="106" t="str">
        <f ca="1">IFERROR(__xludf.DUMMYFUNCTION("IFERROR(INDEX(FILTER($P145:$AL145, $P145:$AL145 &lt;&gt; """"), 4),)"),"")</f>
        <v/>
      </c>
      <c r="K145" s="106" t="str">
        <f ca="1">IFERROR(__xludf.DUMMYFUNCTION("IFERROR(INDEX(FILTER($P145:$AL145, $P145:$AL145 &lt;&gt; """"), 5),)"),"")</f>
        <v/>
      </c>
      <c r="L145" s="107"/>
      <c r="M145" s="107"/>
      <c r="N145" s="107"/>
      <c r="O145" s="107"/>
      <c r="P145" s="132" t="str">
        <f>IF(COUNTIF('Fintech-A'!$A:$A, $C145), P$1, "")</f>
        <v/>
      </c>
      <c r="Q145" s="132" t="str">
        <f>IF(COUNTIF('Fintech-B'!$A:$A, $C145), Q$1, "")</f>
        <v/>
      </c>
      <c r="R145" s="132" t="str">
        <f>IF(COUNTIF('BEDM-A'!$A:$A, $C145), R$1, "")</f>
        <v/>
      </c>
      <c r="S145" s="132" t="str">
        <f>IF(COUNTIF('BEDM-B'!$A:$A, $C145), S$1, "")</f>
        <v/>
      </c>
      <c r="T145" s="132" t="str">
        <f>IF(COUNTIF('Art-A'!$A:$A, $C145), T$1, "")</f>
        <v/>
      </c>
      <c r="U145" s="132" t="str">
        <f>IF(COUNTIF('Art-B'!$A:$A, $C145), U$1, "")</f>
        <v/>
      </c>
      <c r="V145" s="132" t="str">
        <f>IF(COUNTIF('WH-A'!$A:$A, $C145), V$1, "")</f>
        <v/>
      </c>
      <c r="W145" s="132" t="str">
        <f>IF(COUNTIF('WH-B'!$A:$A, $C145), W$1, "")</f>
        <v/>
      </c>
      <c r="X145" s="132" t="str">
        <f>IF(COUNTIF(LETV!$A:$A, $C145), X$1, "")</f>
        <v>Leadership Excellence Through Values : Wisdom from the Mahabharata</v>
      </c>
      <c r="Y145" s="132" t="str">
        <f>IF(COUNTIF('Film&amp;Firm-A'!$A:$A, $C145), Y$1, "")</f>
        <v/>
      </c>
      <c r="Z145" s="132" t="str">
        <f>IF(COUNTIF('Film&amp;Firm-B'!$A:$A, $C145), Z$1, "")</f>
        <v/>
      </c>
      <c r="AA145" s="132" t="str">
        <f>IF(COUNTIF(SHRM!$A:$A, $C145), AA$1, "")</f>
        <v/>
      </c>
      <c r="AB145" s="132" t="str">
        <f>IF(COUNTIF('SCM-A'!$A:$A, $C145), AB$1, "")</f>
        <v/>
      </c>
      <c r="AC145" s="132" t="str">
        <f>IF(COUNTIF('SCM-B'!$A:$A, $C145), AC$1, "")</f>
        <v>Strategic Career Management (B)</v>
      </c>
      <c r="AD145" s="132" t="str">
        <f>IF(COUNTIF(AIS!$A:$A, $C145), AD$1, "")</f>
        <v/>
      </c>
      <c r="AE145" s="132" t="str">
        <f>IF(COUNTIF(EB!$A:$A, $C145), AE$1, "")</f>
        <v/>
      </c>
      <c r="AF145" s="132" t="str">
        <f>IF(COUNTIF('AIAM-A'!$A:$A, $C145), AF$1, "")</f>
        <v/>
      </c>
      <c r="AG145" s="132" t="str">
        <f>IF(COUNTIF('AIAM-B'!$A:$A, $C145), AG$1, "")</f>
        <v/>
      </c>
      <c r="AH145" s="132" t="str">
        <f>IF(COUNTIF('SA-A'!$A:$A, $C145), AH$1, "")</f>
        <v/>
      </c>
      <c r="AI145" s="132" t="str">
        <f>IF(COUNTIF('SA-B'!$A:$A, $C145), AI$1, "")</f>
        <v/>
      </c>
      <c r="AJ145" s="132" t="str">
        <f>IF(COUNTIF(CSM!$A:$A, $C145), AJ$1, "")</f>
        <v>Customer Success Management</v>
      </c>
      <c r="AK145" s="132" t="str">
        <f>IF(COUNTIF(EM!$A:$A, $C145), AK$1, "")</f>
        <v/>
      </c>
      <c r="AL145" s="132" t="str">
        <f>IF(COUNTIF(I4TS!$A:$A, $C145), AL$1, "")</f>
        <v/>
      </c>
    </row>
    <row r="146" spans="1:38" ht="13">
      <c r="A146" s="131">
        <v>145</v>
      </c>
      <c r="B146" s="131" t="s">
        <v>734</v>
      </c>
      <c r="C146" s="131" t="s">
        <v>270</v>
      </c>
      <c r="D146" s="106" t="s">
        <v>774</v>
      </c>
      <c r="E146" s="106" t="s">
        <v>775</v>
      </c>
      <c r="F146" s="131">
        <f t="shared" ca="1" si="0"/>
        <v>5</v>
      </c>
      <c r="G146" s="106" t="str">
        <f ca="1">IFERROR(__xludf.DUMMYFUNCTION("INDEX(FILTER($P146:$AL146, $P146:$AL146 &lt;&gt; """"), 1)"),"Fintech (Digital Transformation in Finance) (B)")</f>
        <v>Fintech (Digital Transformation in Finance) (B)</v>
      </c>
      <c r="H146" s="106" t="str">
        <f ca="1">IFERROR(__xludf.DUMMYFUNCTION("INDEX(FILTER($P146:$AL146, $P146:$AL146 &lt;&gt; """"), 2)"),"AI Applications in Marketing (A)")</f>
        <v>AI Applications in Marketing (A)</v>
      </c>
      <c r="I146" s="106" t="str">
        <f ca="1">IFERROR(__xludf.DUMMYFUNCTION("INDEX(FILTER($P146:$AL146, $P146:$AL146 &lt;&gt; """"), 3)"),"Customer Success Management")</f>
        <v>Customer Success Management</v>
      </c>
      <c r="J146" s="106" t="str">
        <f ca="1">IFERROR(__xludf.DUMMYFUNCTION("IFERROR(INDEX(FILTER($P146:$AL146, $P146:$AL146 &lt;&gt; """"), 4),)"),"")</f>
        <v/>
      </c>
      <c r="K146" s="106" t="str">
        <f ca="1">IFERROR(__xludf.DUMMYFUNCTION("IFERROR(INDEX(FILTER($P146:$AL146, $P146:$AL146 &lt;&gt; """"), 5),)"),"")</f>
        <v/>
      </c>
      <c r="L146" s="107"/>
      <c r="M146" s="107"/>
      <c r="N146" s="107"/>
      <c r="O146" s="107"/>
      <c r="P146" s="132" t="str">
        <f>IF(COUNTIF('Fintech-A'!$A:$A, $C146), P$1, "")</f>
        <v/>
      </c>
      <c r="Q146" s="132" t="str">
        <f>IF(COUNTIF('Fintech-B'!$A:$A, $C146), Q$1, "")</f>
        <v>Fintech (Digital Transformation in Finance) (B)</v>
      </c>
      <c r="R146" s="132" t="str">
        <f>IF(COUNTIF('BEDM-A'!$A:$A, $C146), R$1, "")</f>
        <v/>
      </c>
      <c r="S146" s="132" t="str">
        <f>IF(COUNTIF('BEDM-B'!$A:$A, $C146), S$1, "")</f>
        <v/>
      </c>
      <c r="T146" s="132" t="str">
        <f>IF(COUNTIF('Art-A'!$A:$A, $C146), T$1, "")</f>
        <v/>
      </c>
      <c r="U146" s="132" t="str">
        <f>IF(COUNTIF('Art-B'!$A:$A, $C146), U$1, "")</f>
        <v/>
      </c>
      <c r="V146" s="132" t="str">
        <f>IF(COUNTIF('WH-A'!$A:$A, $C146), V$1, "")</f>
        <v/>
      </c>
      <c r="W146" s="132" t="str">
        <f>IF(COUNTIF('WH-B'!$A:$A, $C146), W$1, "")</f>
        <v/>
      </c>
      <c r="X146" s="132" t="str">
        <f>IF(COUNTIF(LETV!$A:$A, $C146), X$1, "")</f>
        <v/>
      </c>
      <c r="Y146" s="132" t="str">
        <f>IF(COUNTIF('Film&amp;Firm-A'!$A:$A, $C146), Y$1, "")</f>
        <v/>
      </c>
      <c r="Z146" s="132" t="str">
        <f>IF(COUNTIF('Film&amp;Firm-B'!$A:$A, $C146), Z$1, "")</f>
        <v/>
      </c>
      <c r="AA146" s="132" t="str">
        <f>IF(COUNTIF(SHRM!$A:$A, $C146), AA$1, "")</f>
        <v/>
      </c>
      <c r="AB146" s="132" t="str">
        <f>IF(COUNTIF('SCM-A'!$A:$A, $C146), AB$1, "")</f>
        <v/>
      </c>
      <c r="AC146" s="132" t="str">
        <f>IF(COUNTIF('SCM-B'!$A:$A, $C146), AC$1, "")</f>
        <v/>
      </c>
      <c r="AD146" s="132" t="str">
        <f>IF(COUNTIF(AIS!$A:$A, $C146), AD$1, "")</f>
        <v/>
      </c>
      <c r="AE146" s="132" t="str">
        <f>IF(COUNTIF(EB!$A:$A, $C146), AE$1, "")</f>
        <v/>
      </c>
      <c r="AF146" s="132" t="str">
        <f>IF(COUNTIF('AIAM-A'!$A:$A, $C146), AF$1, "")</f>
        <v>AI Applications in Marketing (A)</v>
      </c>
      <c r="AG146" s="132" t="str">
        <f>IF(COUNTIF('AIAM-B'!$A:$A, $C146), AG$1, "")</f>
        <v/>
      </c>
      <c r="AH146" s="132" t="str">
        <f>IF(COUNTIF('SA-A'!$A:$A, $C146), AH$1, "")</f>
        <v/>
      </c>
      <c r="AI146" s="132" t="str">
        <f>IF(COUNTIF('SA-B'!$A:$A, $C146), AI$1, "")</f>
        <v/>
      </c>
      <c r="AJ146" s="132" t="str">
        <f>IF(COUNTIF(CSM!$A:$A, $C146), AJ$1, "")</f>
        <v>Customer Success Management</v>
      </c>
      <c r="AK146" s="132" t="str">
        <f>IF(COUNTIF(EM!$A:$A, $C146), AK$1, "")</f>
        <v/>
      </c>
      <c r="AL146" s="132" t="str">
        <f>IF(COUNTIF(I4TS!$A:$A, $C146), AL$1, "")</f>
        <v/>
      </c>
    </row>
    <row r="147" spans="1:38" ht="13">
      <c r="A147" s="131">
        <v>146</v>
      </c>
      <c r="B147" s="131" t="s">
        <v>734</v>
      </c>
      <c r="C147" s="131" t="s">
        <v>776</v>
      </c>
      <c r="D147" s="106" t="s">
        <v>777</v>
      </c>
      <c r="E147" s="106" t="s">
        <v>778</v>
      </c>
      <c r="F147" s="131">
        <f t="shared" ca="1" si="0"/>
        <v>5</v>
      </c>
      <c r="G147" s="106" t="str">
        <f ca="1">IFERROR(__xludf.DUMMYFUNCTION("INDEX(FILTER($P147:$AL147, $P147:$AL147 &lt;&gt; """"), 1)"),"Workplace Happiness: Science &amp; Practice (A)")</f>
        <v>Workplace Happiness: Science &amp; Practice (A)</v>
      </c>
      <c r="H147" s="106" t="str">
        <f ca="1">IFERROR(__xludf.DUMMYFUNCTION("INDEX(FILTER($P147:$AL147, $P147:$AL147 &lt;&gt; """"), 2)"),"Leadership Excellence Through Values : Wisdom from the Mahabharata")</f>
        <v>Leadership Excellence Through Values : Wisdom from the Mahabharata</v>
      </c>
      <c r="I147" s="106" t="str">
        <f ca="1">IFERROR(__xludf.DUMMYFUNCTION("INDEX(FILTER($P147:$AL147, $P147:$AL147 &lt;&gt; """"), 3)"),"Customer Success Management")</f>
        <v>Customer Success Management</v>
      </c>
      <c r="J147" s="106" t="str">
        <f ca="1">IFERROR(__xludf.DUMMYFUNCTION("IFERROR(INDEX(FILTER($P147:$AL147, $P147:$AL147 &lt;&gt; """"), 4),)"),"")</f>
        <v/>
      </c>
      <c r="K147" s="106" t="str">
        <f ca="1">IFERROR(__xludf.DUMMYFUNCTION("IFERROR(INDEX(FILTER($P147:$AL147, $P147:$AL147 &lt;&gt; """"), 5),)"),"")</f>
        <v/>
      </c>
      <c r="L147" s="107"/>
      <c r="M147" s="107"/>
      <c r="N147" s="107"/>
      <c r="O147" s="107"/>
      <c r="P147" s="132" t="str">
        <f>IF(COUNTIF('Fintech-A'!$A:$A, $C147), P$1, "")</f>
        <v/>
      </c>
      <c r="Q147" s="132" t="str">
        <f>IF(COUNTIF('Fintech-B'!$A:$A, $C147), Q$1, "")</f>
        <v/>
      </c>
      <c r="R147" s="132" t="str">
        <f>IF(COUNTIF('BEDM-A'!$A:$A, $C147), R$1, "")</f>
        <v/>
      </c>
      <c r="S147" s="132" t="str">
        <f>IF(COUNTIF('BEDM-B'!$A:$A, $C147), S$1, "")</f>
        <v/>
      </c>
      <c r="T147" s="132" t="str">
        <f>IF(COUNTIF('Art-A'!$A:$A, $C147), T$1, "")</f>
        <v/>
      </c>
      <c r="U147" s="132" t="str">
        <f>IF(COUNTIF('Art-B'!$A:$A, $C147), U$1, "")</f>
        <v/>
      </c>
      <c r="V147" s="132" t="str">
        <f>IF(COUNTIF('WH-A'!$A:$A, $C147), V$1, "")</f>
        <v>Workplace Happiness: Science &amp; Practice (A)</v>
      </c>
      <c r="W147" s="132" t="str">
        <f>IF(COUNTIF('WH-B'!$A:$A, $C147), W$1, "")</f>
        <v/>
      </c>
      <c r="X147" s="132" t="str">
        <f>IF(COUNTIF(LETV!$A:$A, $C147), X$1, "")</f>
        <v>Leadership Excellence Through Values : Wisdom from the Mahabharata</v>
      </c>
      <c r="Y147" s="132" t="str">
        <f>IF(COUNTIF('Film&amp;Firm-A'!$A:$A, $C147), Y$1, "")</f>
        <v/>
      </c>
      <c r="Z147" s="132" t="str">
        <f>IF(COUNTIF('Film&amp;Firm-B'!$A:$A, $C147), Z$1, "")</f>
        <v/>
      </c>
      <c r="AA147" s="132" t="str">
        <f>IF(COUNTIF(SHRM!$A:$A, $C147), AA$1, "")</f>
        <v/>
      </c>
      <c r="AB147" s="132" t="str">
        <f>IF(COUNTIF('SCM-A'!$A:$A, $C147), AB$1, "")</f>
        <v/>
      </c>
      <c r="AC147" s="132" t="str">
        <f>IF(COUNTIF('SCM-B'!$A:$A, $C147), AC$1, "")</f>
        <v/>
      </c>
      <c r="AD147" s="132" t="str">
        <f>IF(COUNTIF(AIS!$A:$A, $C147), AD$1, "")</f>
        <v/>
      </c>
      <c r="AE147" s="132" t="str">
        <f>IF(COUNTIF(EB!$A:$A, $C147), AE$1, "")</f>
        <v/>
      </c>
      <c r="AF147" s="132" t="str">
        <f>IF(COUNTIF('AIAM-A'!$A:$A, $C147), AF$1, "")</f>
        <v/>
      </c>
      <c r="AG147" s="132" t="str">
        <f>IF(COUNTIF('AIAM-B'!$A:$A, $C147), AG$1, "")</f>
        <v/>
      </c>
      <c r="AH147" s="132" t="str">
        <f>IF(COUNTIF('SA-A'!$A:$A, $C147), AH$1, "")</f>
        <v/>
      </c>
      <c r="AI147" s="132" t="str">
        <f>IF(COUNTIF('SA-B'!$A:$A, $C147), AI$1, "")</f>
        <v/>
      </c>
      <c r="AJ147" s="132" t="str">
        <f>IF(COUNTIF(CSM!$A:$A, $C147), AJ$1, "")</f>
        <v>Customer Success Management</v>
      </c>
      <c r="AK147" s="132" t="str">
        <f>IF(COUNTIF(EM!$A:$A, $C147), AK$1, "")</f>
        <v/>
      </c>
      <c r="AL147" s="132" t="str">
        <f>IF(COUNTIF(I4TS!$A:$A, $C147), AL$1, "")</f>
        <v/>
      </c>
    </row>
    <row r="148" spans="1:38" ht="13">
      <c r="A148" s="131">
        <v>147</v>
      </c>
      <c r="B148" s="131" t="s">
        <v>734</v>
      </c>
      <c r="C148" s="131" t="s">
        <v>271</v>
      </c>
      <c r="D148" s="106" t="s">
        <v>779</v>
      </c>
      <c r="E148" s="106" t="s">
        <v>780</v>
      </c>
      <c r="F148" s="131">
        <f t="shared" ca="1" si="0"/>
        <v>5</v>
      </c>
      <c r="G148" s="106" t="str">
        <f ca="1">IFERROR(__xludf.DUMMYFUNCTION("INDEX(FILTER($P148:$AL148, $P148:$AL148 &lt;&gt; """"), 1)"),"AI AND  STRATEGY")</f>
        <v>AI AND  STRATEGY</v>
      </c>
      <c r="H148" s="106" t="str">
        <f ca="1">IFERROR(__xludf.DUMMYFUNCTION("INDEX(FILTER($P148:$AL148, $P148:$AL148 &lt;&gt; """"), 2)"),"SPORTS ANALYTICS (B)")</f>
        <v>SPORTS ANALYTICS (B)</v>
      </c>
      <c r="I148" s="106" t="str">
        <f ca="1">IFERROR(__xludf.DUMMYFUNCTION("INDEX(FILTER($P148:$AL148, $P148:$AL148 &lt;&gt; """"), 3)"),"Customer Success Management")</f>
        <v>Customer Success Management</v>
      </c>
      <c r="J148" s="106" t="str">
        <f ca="1">IFERROR(__xludf.DUMMYFUNCTION("IFERROR(INDEX(FILTER($P148:$AL148, $P148:$AL148 &lt;&gt; """"), 4),)"),"")</f>
        <v/>
      </c>
      <c r="K148" s="106" t="str">
        <f ca="1">IFERROR(__xludf.DUMMYFUNCTION("IFERROR(INDEX(FILTER($P148:$AL148, $P148:$AL148 &lt;&gt; """"), 5),)"),"")</f>
        <v/>
      </c>
      <c r="L148" s="107"/>
      <c r="M148" s="107"/>
      <c r="N148" s="107"/>
      <c r="O148" s="107"/>
      <c r="P148" s="132" t="str">
        <f>IF(COUNTIF('Fintech-A'!$A:$A, $C148), P$1, "")</f>
        <v/>
      </c>
      <c r="Q148" s="132" t="str">
        <f>IF(COUNTIF('Fintech-B'!$A:$A, $C148), Q$1, "")</f>
        <v/>
      </c>
      <c r="R148" s="132" t="str">
        <f>IF(COUNTIF('BEDM-A'!$A:$A, $C148), R$1, "")</f>
        <v/>
      </c>
      <c r="S148" s="132" t="str">
        <f>IF(COUNTIF('BEDM-B'!$A:$A, $C148), S$1, "")</f>
        <v/>
      </c>
      <c r="T148" s="132" t="str">
        <f>IF(COUNTIF('Art-A'!$A:$A, $C148), T$1, "")</f>
        <v/>
      </c>
      <c r="U148" s="132" t="str">
        <f>IF(COUNTIF('Art-B'!$A:$A, $C148), U$1, "")</f>
        <v/>
      </c>
      <c r="V148" s="132" t="str">
        <f>IF(COUNTIF('WH-A'!$A:$A, $C148), V$1, "")</f>
        <v/>
      </c>
      <c r="W148" s="132" t="str">
        <f>IF(COUNTIF('WH-B'!$A:$A, $C148), W$1, "")</f>
        <v/>
      </c>
      <c r="X148" s="132" t="str">
        <f>IF(COUNTIF(LETV!$A:$A, $C148), X$1, "")</f>
        <v/>
      </c>
      <c r="Y148" s="132" t="str">
        <f>IF(COUNTIF('Film&amp;Firm-A'!$A:$A, $C148), Y$1, "")</f>
        <v/>
      </c>
      <c r="Z148" s="132" t="str">
        <f>IF(COUNTIF('Film&amp;Firm-B'!$A:$A, $C148), Z$1, "")</f>
        <v/>
      </c>
      <c r="AA148" s="132" t="str">
        <f>IF(COUNTIF(SHRM!$A:$A, $C148), AA$1, "")</f>
        <v/>
      </c>
      <c r="AB148" s="132" t="str">
        <f>IF(COUNTIF('SCM-A'!$A:$A, $C148), AB$1, "")</f>
        <v/>
      </c>
      <c r="AC148" s="132" t="str">
        <f>IF(COUNTIF('SCM-B'!$A:$A, $C148), AC$1, "")</f>
        <v/>
      </c>
      <c r="AD148" s="132" t="str">
        <f>IF(COUNTIF(AIS!$A:$A, $C148), AD$1, "")</f>
        <v>AI AND  STRATEGY</v>
      </c>
      <c r="AE148" s="132" t="str">
        <f>IF(COUNTIF(EB!$A:$A, $C148), AE$1, "")</f>
        <v/>
      </c>
      <c r="AF148" s="132" t="str">
        <f>IF(COUNTIF('AIAM-A'!$A:$A, $C148), AF$1, "")</f>
        <v/>
      </c>
      <c r="AG148" s="132" t="str">
        <f>IF(COUNTIF('AIAM-B'!$A:$A, $C148), AG$1, "")</f>
        <v/>
      </c>
      <c r="AH148" s="132" t="str">
        <f>IF(COUNTIF('SA-A'!$A:$A, $C148), AH$1, "")</f>
        <v/>
      </c>
      <c r="AI148" s="132" t="str">
        <f>IF(COUNTIF('SA-B'!$A:$A, $C148), AI$1, "")</f>
        <v>SPORTS ANALYTICS (B)</v>
      </c>
      <c r="AJ148" s="132" t="str">
        <f>IF(COUNTIF(CSM!$A:$A, $C148), AJ$1, "")</f>
        <v>Customer Success Management</v>
      </c>
      <c r="AK148" s="132" t="str">
        <f>IF(COUNTIF(EM!$A:$A, $C148), AK$1, "")</f>
        <v/>
      </c>
      <c r="AL148" s="132" t="str">
        <f>IF(COUNTIF(I4TS!$A:$A, $C148), AL$1, "")</f>
        <v/>
      </c>
    </row>
    <row r="149" spans="1:38" ht="13">
      <c r="A149" s="131">
        <v>148</v>
      </c>
      <c r="B149" s="131" t="s">
        <v>734</v>
      </c>
      <c r="C149" s="131" t="s">
        <v>272</v>
      </c>
      <c r="D149" s="106" t="s">
        <v>779</v>
      </c>
      <c r="E149" s="106" t="s">
        <v>781</v>
      </c>
      <c r="F149" s="131">
        <f t="shared" ca="1" si="0"/>
        <v>5</v>
      </c>
      <c r="G149" s="106" t="str">
        <f ca="1">IFERROR(__xludf.DUMMYFUNCTION("INDEX(FILTER($P149:$AL149, $P149:$AL149 &lt;&gt; """"), 1)"),"Fintech (Digital Transformation in Finance) (A)")</f>
        <v>Fintech (Digital Transformation in Finance) (A)</v>
      </c>
      <c r="H149" s="106" t="str">
        <f ca="1">IFERROR(__xludf.DUMMYFUNCTION("INDEX(FILTER($P149:$AL149, $P149:$AL149 &lt;&gt; """"), 2)"),"The Art, Craft, and Science of Management: Learning through Classics and Best Collections (A)")</f>
        <v>The Art, Craft, and Science of Management: Learning through Classics and Best Collections (A)</v>
      </c>
      <c r="I149" s="106" t="str">
        <f ca="1">IFERROR(__xludf.DUMMYFUNCTION("INDEX(FILTER($P149:$AL149, $P149:$AL149 &lt;&gt; """"), 3)"),"Employer Branding")</f>
        <v>Employer Branding</v>
      </c>
      <c r="J149" s="106" t="str">
        <f ca="1">IFERROR(__xludf.DUMMYFUNCTION("IFERROR(INDEX(FILTER($P149:$AL149, $P149:$AL149 &lt;&gt; """"), 4),)"),"")</f>
        <v/>
      </c>
      <c r="K149" s="106" t="str">
        <f ca="1">IFERROR(__xludf.DUMMYFUNCTION("IFERROR(INDEX(FILTER($P149:$AL149, $P149:$AL149 &lt;&gt; """"), 5),)"),"")</f>
        <v/>
      </c>
      <c r="L149" s="107"/>
      <c r="M149" s="107"/>
      <c r="N149" s="107"/>
      <c r="O149" s="107"/>
      <c r="P149" s="132" t="str">
        <f>IF(COUNTIF('Fintech-A'!$A:$A, $C149), P$1, "")</f>
        <v>Fintech (Digital Transformation in Finance) (A)</v>
      </c>
      <c r="Q149" s="132" t="str">
        <f>IF(COUNTIF('Fintech-B'!$A:$A, $C149), Q$1, "")</f>
        <v/>
      </c>
      <c r="R149" s="132" t="str">
        <f>IF(COUNTIF('BEDM-A'!$A:$A, $C149), R$1, "")</f>
        <v/>
      </c>
      <c r="S149" s="132" t="str">
        <f>IF(COUNTIF('BEDM-B'!$A:$A, $C149), S$1, "")</f>
        <v/>
      </c>
      <c r="T149" s="132" t="str">
        <f>IF(COUNTIF('Art-A'!$A:$A, $C149), T$1, "")</f>
        <v>The Art, Craft, and Science of Management: Learning through Classics and Best Collections (A)</v>
      </c>
      <c r="U149" s="132" t="str">
        <f>IF(COUNTIF('Art-B'!$A:$A, $C149), U$1, "")</f>
        <v/>
      </c>
      <c r="V149" s="132" t="str">
        <f>IF(COUNTIF('WH-A'!$A:$A, $C149), V$1, "")</f>
        <v/>
      </c>
      <c r="W149" s="132" t="str">
        <f>IF(COUNTIF('WH-B'!$A:$A, $C149), W$1, "")</f>
        <v/>
      </c>
      <c r="X149" s="132" t="str">
        <f>IF(COUNTIF(LETV!$A:$A, $C149), X$1, "")</f>
        <v/>
      </c>
      <c r="Y149" s="132" t="str">
        <f>IF(COUNTIF('Film&amp;Firm-A'!$A:$A, $C149), Y$1, "")</f>
        <v/>
      </c>
      <c r="Z149" s="132" t="str">
        <f>IF(COUNTIF('Film&amp;Firm-B'!$A:$A, $C149), Z$1, "")</f>
        <v/>
      </c>
      <c r="AA149" s="132" t="str">
        <f>IF(COUNTIF(SHRM!$A:$A, $C149), AA$1, "")</f>
        <v/>
      </c>
      <c r="AB149" s="132" t="str">
        <f>IF(COUNTIF('SCM-A'!$A:$A, $C149), AB$1, "")</f>
        <v/>
      </c>
      <c r="AC149" s="132" t="str">
        <f>IF(COUNTIF('SCM-B'!$A:$A, $C149), AC$1, "")</f>
        <v/>
      </c>
      <c r="AD149" s="132" t="str">
        <f>IF(COUNTIF(AIS!$A:$A, $C149), AD$1, "")</f>
        <v/>
      </c>
      <c r="AE149" s="132" t="str">
        <f>IF(COUNTIF(EB!$A:$A, $C149), AE$1, "")</f>
        <v>Employer Branding</v>
      </c>
      <c r="AF149" s="132" t="str">
        <f>IF(COUNTIF('AIAM-A'!$A:$A, $C149), AF$1, "")</f>
        <v/>
      </c>
      <c r="AG149" s="132" t="str">
        <f>IF(COUNTIF('AIAM-B'!$A:$A, $C149), AG$1, "")</f>
        <v/>
      </c>
      <c r="AH149" s="132" t="str">
        <f>IF(COUNTIF('SA-A'!$A:$A, $C149), AH$1, "")</f>
        <v/>
      </c>
      <c r="AI149" s="132" t="str">
        <f>IF(COUNTIF('SA-B'!$A:$A, $C149), AI$1, "")</f>
        <v/>
      </c>
      <c r="AJ149" s="132" t="str">
        <f>IF(COUNTIF(CSM!$A:$A, $C149), AJ$1, "")</f>
        <v/>
      </c>
      <c r="AK149" s="132" t="str">
        <f>IF(COUNTIF(EM!$A:$A, $C149), AK$1, "")</f>
        <v/>
      </c>
      <c r="AL149" s="132" t="str">
        <f>IF(COUNTIF(I4TS!$A:$A, $C149), AL$1, "")</f>
        <v/>
      </c>
    </row>
    <row r="150" spans="1:38" ht="13">
      <c r="A150" s="131">
        <v>149</v>
      </c>
      <c r="B150" s="131" t="s">
        <v>734</v>
      </c>
      <c r="C150" s="131" t="s">
        <v>273</v>
      </c>
      <c r="D150" s="106" t="s">
        <v>782</v>
      </c>
      <c r="E150" s="106" t="s">
        <v>783</v>
      </c>
      <c r="F150" s="131">
        <f t="shared" ca="1" si="0"/>
        <v>5</v>
      </c>
      <c r="G150" s="106" t="str">
        <f ca="1">IFERROR(__xludf.DUMMYFUNCTION("INDEX(FILTER($P150:$AL150, $P150:$AL150 &lt;&gt; """"), 1)"),"The Art, Craft, and Science of Management: Learning through Classics and Best Collections (A)")</f>
        <v>The Art, Craft, and Science of Management: Learning through Classics and Best Collections (A)</v>
      </c>
      <c r="H150" s="106" t="str">
        <f ca="1">IFERROR(__xludf.DUMMYFUNCTION("INDEX(FILTER($P150:$AL150, $P150:$AL150 &lt;&gt; """"), 2)"),"Strategic HRM")</f>
        <v>Strategic HRM</v>
      </c>
      <c r="I150" s="106" t="str">
        <f ca="1">IFERROR(__xludf.DUMMYFUNCTION("INDEX(FILTER($P150:$AL150, $P150:$AL150 &lt;&gt; """"), 3)"),"AI AND  STRATEGY")</f>
        <v>AI AND  STRATEGY</v>
      </c>
      <c r="J150" s="106" t="str">
        <f ca="1">IFERROR(__xludf.DUMMYFUNCTION("IFERROR(INDEX(FILTER($P150:$AL150, $P150:$AL150 &lt;&gt; """"), 4),)"),"")</f>
        <v/>
      </c>
      <c r="K150" s="106" t="str">
        <f ca="1">IFERROR(__xludf.DUMMYFUNCTION("IFERROR(INDEX(FILTER($P150:$AL150, $P150:$AL150 &lt;&gt; """"), 5),)"),"")</f>
        <v/>
      </c>
      <c r="L150" s="107"/>
      <c r="M150" s="107"/>
      <c r="N150" s="107"/>
      <c r="O150" s="107"/>
      <c r="P150" s="132" t="str">
        <f>IF(COUNTIF('Fintech-A'!$A:$A, $C150), P$1, "")</f>
        <v/>
      </c>
      <c r="Q150" s="132" t="str">
        <f>IF(COUNTIF('Fintech-B'!$A:$A, $C150), Q$1, "")</f>
        <v/>
      </c>
      <c r="R150" s="132" t="str">
        <f>IF(COUNTIF('BEDM-A'!$A:$A, $C150), R$1, "")</f>
        <v/>
      </c>
      <c r="S150" s="132" t="str">
        <f>IF(COUNTIF('BEDM-B'!$A:$A, $C150), S$1, "")</f>
        <v/>
      </c>
      <c r="T150" s="132" t="str">
        <f>IF(COUNTIF('Art-A'!$A:$A, $C150), T$1, "")</f>
        <v>The Art, Craft, and Science of Management: Learning through Classics and Best Collections (A)</v>
      </c>
      <c r="U150" s="132" t="str">
        <f>IF(COUNTIF('Art-B'!$A:$A, $C150), U$1, "")</f>
        <v/>
      </c>
      <c r="V150" s="132" t="str">
        <f>IF(COUNTIF('WH-A'!$A:$A, $C150), V$1, "")</f>
        <v/>
      </c>
      <c r="W150" s="132" t="str">
        <f>IF(COUNTIF('WH-B'!$A:$A, $C150), W$1, "")</f>
        <v/>
      </c>
      <c r="X150" s="132" t="str">
        <f>IF(COUNTIF(LETV!$A:$A, $C150), X$1, "")</f>
        <v/>
      </c>
      <c r="Y150" s="132" t="str">
        <f>IF(COUNTIF('Film&amp;Firm-A'!$A:$A, $C150), Y$1, "")</f>
        <v/>
      </c>
      <c r="Z150" s="132" t="str">
        <f>IF(COUNTIF('Film&amp;Firm-B'!$A:$A, $C150), Z$1, "")</f>
        <v/>
      </c>
      <c r="AA150" s="132" t="str">
        <f>IF(COUNTIF(SHRM!$A:$A, $C150), AA$1, "")</f>
        <v>Strategic HRM</v>
      </c>
      <c r="AB150" s="132" t="str">
        <f>IF(COUNTIF('SCM-A'!$A:$A, $C150), AB$1, "")</f>
        <v/>
      </c>
      <c r="AC150" s="132" t="str">
        <f>IF(COUNTIF('SCM-B'!$A:$A, $C150), AC$1, "")</f>
        <v/>
      </c>
      <c r="AD150" s="132" t="str">
        <f>IF(COUNTIF(AIS!$A:$A, $C150), AD$1, "")</f>
        <v>AI AND  STRATEGY</v>
      </c>
      <c r="AE150" s="132" t="str">
        <f>IF(COUNTIF(EB!$A:$A, $C150), AE$1, "")</f>
        <v/>
      </c>
      <c r="AF150" s="132" t="str">
        <f>IF(COUNTIF('AIAM-A'!$A:$A, $C150), AF$1, "")</f>
        <v/>
      </c>
      <c r="AG150" s="132" t="str">
        <f>IF(COUNTIF('AIAM-B'!$A:$A, $C150), AG$1, "")</f>
        <v/>
      </c>
      <c r="AH150" s="132" t="str">
        <f>IF(COUNTIF('SA-A'!$A:$A, $C150), AH$1, "")</f>
        <v/>
      </c>
      <c r="AI150" s="132" t="str">
        <f>IF(COUNTIF('SA-B'!$A:$A, $C150), AI$1, "")</f>
        <v/>
      </c>
      <c r="AJ150" s="132" t="str">
        <f>IF(COUNTIF(CSM!$A:$A, $C150), AJ$1, "")</f>
        <v/>
      </c>
      <c r="AK150" s="132" t="str">
        <f>IF(COUNTIF(EM!$A:$A, $C150), AK$1, "")</f>
        <v/>
      </c>
      <c r="AL150" s="132" t="str">
        <f>IF(COUNTIF(I4TS!$A:$A, $C150), AL$1, "")</f>
        <v/>
      </c>
    </row>
    <row r="151" spans="1:38" ht="13">
      <c r="A151" s="131">
        <v>150</v>
      </c>
      <c r="B151" s="131" t="s">
        <v>734</v>
      </c>
      <c r="C151" s="131" t="s">
        <v>784</v>
      </c>
      <c r="D151" s="106" t="s">
        <v>785</v>
      </c>
      <c r="E151" s="106" t="s">
        <v>786</v>
      </c>
      <c r="F151" s="131">
        <f t="shared" ca="1" si="0"/>
        <v>5</v>
      </c>
      <c r="G151" s="106" t="str">
        <f ca="1">IFERROR(__xludf.DUMMYFUNCTION("INDEX(FILTER($P151:$AL151, $P151:$AL151 &lt;&gt; """"), 1)"),"Fintech (Digital Transformation in Finance) (B)")</f>
        <v>Fintech (Digital Transformation in Finance) (B)</v>
      </c>
      <c r="H151" s="106" t="str">
        <f ca="1">IFERROR(__xludf.DUMMYFUNCTION("INDEX(FILTER($P151:$AL151, $P151:$AL151 &lt;&gt; """"), 2)"),"Workplace Happiness: Science &amp; Practice (B)")</f>
        <v>Workplace Happiness: Science &amp; Practice (B)</v>
      </c>
      <c r="I151" s="106" t="str">
        <f ca="1">IFERROR(__xludf.DUMMYFUNCTION("INDEX(FILTER($P151:$AL151, $P151:$AL151 &lt;&gt; """"), 3)"),"Strategic Career Management (B)")</f>
        <v>Strategic Career Management (B)</v>
      </c>
      <c r="J151" s="106" t="str">
        <f ca="1">IFERROR(__xludf.DUMMYFUNCTION("IFERROR(INDEX(FILTER($P151:$AL151, $P151:$AL151 &lt;&gt; """"), 4),)"),"")</f>
        <v/>
      </c>
      <c r="K151" s="106" t="str">
        <f ca="1">IFERROR(__xludf.DUMMYFUNCTION("IFERROR(INDEX(FILTER($P151:$AL151, $P151:$AL151 &lt;&gt; """"), 5),)"),"")</f>
        <v/>
      </c>
      <c r="L151" s="107"/>
      <c r="M151" s="107"/>
      <c r="N151" s="107"/>
      <c r="O151" s="107"/>
      <c r="P151" s="132" t="str">
        <f>IF(COUNTIF('Fintech-A'!$A:$A, $C151), P$1, "")</f>
        <v/>
      </c>
      <c r="Q151" s="132" t="str">
        <f>IF(COUNTIF('Fintech-B'!$A:$A, $C151), Q$1, "")</f>
        <v>Fintech (Digital Transformation in Finance) (B)</v>
      </c>
      <c r="R151" s="132" t="str">
        <f>IF(COUNTIF('BEDM-A'!$A:$A, $C151), R$1, "")</f>
        <v/>
      </c>
      <c r="S151" s="132" t="str">
        <f>IF(COUNTIF('BEDM-B'!$A:$A, $C151), S$1, "")</f>
        <v/>
      </c>
      <c r="T151" s="132" t="str">
        <f>IF(COUNTIF('Art-A'!$A:$A, $C151), T$1, "")</f>
        <v/>
      </c>
      <c r="U151" s="132" t="str">
        <f>IF(COUNTIF('Art-B'!$A:$A, $C151), U$1, "")</f>
        <v/>
      </c>
      <c r="V151" s="132" t="str">
        <f>IF(COUNTIF('WH-A'!$A:$A, $C151), V$1, "")</f>
        <v/>
      </c>
      <c r="W151" s="132" t="str">
        <f>IF(COUNTIF('WH-B'!$A:$A, $C151), W$1, "")</f>
        <v>Workplace Happiness: Science &amp; Practice (B)</v>
      </c>
      <c r="X151" s="132" t="str">
        <f>IF(COUNTIF(LETV!$A:$A, $C151), X$1, "")</f>
        <v/>
      </c>
      <c r="Y151" s="132" t="str">
        <f>IF(COUNTIF('Film&amp;Firm-A'!$A:$A, $C151), Y$1, "")</f>
        <v/>
      </c>
      <c r="Z151" s="132" t="str">
        <f>IF(COUNTIF('Film&amp;Firm-B'!$A:$A, $C151), Z$1, "")</f>
        <v/>
      </c>
      <c r="AA151" s="132" t="str">
        <f>IF(COUNTIF(SHRM!$A:$A, $C151), AA$1, "")</f>
        <v/>
      </c>
      <c r="AB151" s="132" t="str">
        <f>IF(COUNTIF('SCM-A'!$A:$A, $C151), AB$1, "")</f>
        <v/>
      </c>
      <c r="AC151" s="132" t="str">
        <f>IF(COUNTIF('SCM-B'!$A:$A, $C151), AC$1, "")</f>
        <v>Strategic Career Management (B)</v>
      </c>
      <c r="AD151" s="132" t="str">
        <f>IF(COUNTIF(AIS!$A:$A, $C151), AD$1, "")</f>
        <v/>
      </c>
      <c r="AE151" s="132" t="str">
        <f>IF(COUNTIF(EB!$A:$A, $C151), AE$1, "")</f>
        <v/>
      </c>
      <c r="AF151" s="132" t="str">
        <f>IF(COUNTIF('AIAM-A'!$A:$A, $C151), AF$1, "")</f>
        <v/>
      </c>
      <c r="AG151" s="132" t="str">
        <f>IF(COUNTIF('AIAM-B'!$A:$A, $C151), AG$1, "")</f>
        <v/>
      </c>
      <c r="AH151" s="132" t="str">
        <f>IF(COUNTIF('SA-A'!$A:$A, $C151), AH$1, "")</f>
        <v/>
      </c>
      <c r="AI151" s="132" t="str">
        <f>IF(COUNTIF('SA-B'!$A:$A, $C151), AI$1, "")</f>
        <v/>
      </c>
      <c r="AJ151" s="132" t="str">
        <f>IF(COUNTIF(CSM!$A:$A, $C151), AJ$1, "")</f>
        <v/>
      </c>
      <c r="AK151" s="132" t="str">
        <f>IF(COUNTIF(EM!$A:$A, $C151), AK$1, "")</f>
        <v/>
      </c>
      <c r="AL151" s="132" t="str">
        <f>IF(COUNTIF(I4TS!$A:$A, $C151), AL$1, "")</f>
        <v/>
      </c>
    </row>
    <row r="152" spans="1:38" ht="13">
      <c r="A152" s="131">
        <v>151</v>
      </c>
      <c r="B152" s="131" t="s">
        <v>734</v>
      </c>
      <c r="C152" s="131" t="s">
        <v>787</v>
      </c>
      <c r="D152" s="106" t="s">
        <v>788</v>
      </c>
      <c r="E152" s="106" t="s">
        <v>789</v>
      </c>
      <c r="F152" s="131">
        <f t="shared" ca="1" si="0"/>
        <v>5</v>
      </c>
      <c r="G152" s="106" t="str">
        <f ca="1">IFERROR(__xludf.DUMMYFUNCTION("INDEX(FILTER($P152:$AL152, $P152:$AL152 &lt;&gt; """"), 1)"),"Workplace Happiness: Science &amp; Practice (B)")</f>
        <v>Workplace Happiness: Science &amp; Practice (B)</v>
      </c>
      <c r="H152" s="106" t="str">
        <f ca="1">IFERROR(__xludf.DUMMYFUNCTION("INDEX(FILTER($P152:$AL152, $P152:$AL152 &lt;&gt; """"), 2)"),"Leadership Excellence Through Values : Wisdom from the Mahabharata")</f>
        <v>Leadership Excellence Through Values : Wisdom from the Mahabharata</v>
      </c>
      <c r="I152" s="106" t="str">
        <f ca="1">IFERROR(__xludf.DUMMYFUNCTION("INDEX(FILTER($P152:$AL152, $P152:$AL152 &lt;&gt; """"), 3)"),"Film &amp; the Firm: Visual Culture in Business Contexts (A)")</f>
        <v>Film &amp; the Firm: Visual Culture in Business Contexts (A)</v>
      </c>
      <c r="J152" s="106" t="str">
        <f ca="1">IFERROR(__xludf.DUMMYFUNCTION("IFERROR(INDEX(FILTER($P152:$AL152, $P152:$AL152 &lt;&gt; """"), 4),)"),"")</f>
        <v/>
      </c>
      <c r="K152" s="106" t="str">
        <f ca="1">IFERROR(__xludf.DUMMYFUNCTION("IFERROR(INDEX(FILTER($P152:$AL152, $P152:$AL152 &lt;&gt; """"), 5),)"),"")</f>
        <v/>
      </c>
      <c r="L152" s="107"/>
      <c r="M152" s="107"/>
      <c r="N152" s="107"/>
      <c r="O152" s="107"/>
      <c r="P152" s="132" t="str">
        <f>IF(COUNTIF('Fintech-A'!$A:$A, $C152), P$1, "")</f>
        <v/>
      </c>
      <c r="Q152" s="132" t="str">
        <f>IF(COUNTIF('Fintech-B'!$A:$A, $C152), Q$1, "")</f>
        <v/>
      </c>
      <c r="R152" s="132" t="str">
        <f>IF(COUNTIF('BEDM-A'!$A:$A, $C152), R$1, "")</f>
        <v/>
      </c>
      <c r="S152" s="132" t="str">
        <f>IF(COUNTIF('BEDM-B'!$A:$A, $C152), S$1, "")</f>
        <v/>
      </c>
      <c r="T152" s="132" t="str">
        <f>IF(COUNTIF('Art-A'!$A:$A, $C152), T$1, "")</f>
        <v/>
      </c>
      <c r="U152" s="132" t="str">
        <f>IF(COUNTIF('Art-B'!$A:$A, $C152), U$1, "")</f>
        <v/>
      </c>
      <c r="V152" s="132" t="str">
        <f>IF(COUNTIF('WH-A'!$A:$A, $C152), V$1, "")</f>
        <v/>
      </c>
      <c r="W152" s="132" t="str">
        <f>IF(COUNTIF('WH-B'!$A:$A, $C152), W$1, "")</f>
        <v>Workplace Happiness: Science &amp; Practice (B)</v>
      </c>
      <c r="X152" s="132" t="str">
        <f>IF(COUNTIF(LETV!$A:$A, $C152), X$1, "")</f>
        <v>Leadership Excellence Through Values : Wisdom from the Mahabharata</v>
      </c>
      <c r="Y152" s="132" t="str">
        <f>IF(COUNTIF('Film&amp;Firm-A'!$A:$A, $C152), Y$1, "")</f>
        <v>Film &amp; the Firm: Visual Culture in Business Contexts (A)</v>
      </c>
      <c r="Z152" s="132" t="str">
        <f>IF(COUNTIF('Film&amp;Firm-B'!$A:$A, $C152), Z$1, "")</f>
        <v/>
      </c>
      <c r="AA152" s="132" t="str">
        <f>IF(COUNTIF(SHRM!$A:$A, $C152), AA$1, "")</f>
        <v/>
      </c>
      <c r="AB152" s="132" t="str">
        <f>IF(COUNTIF('SCM-A'!$A:$A, $C152), AB$1, "")</f>
        <v/>
      </c>
      <c r="AC152" s="132" t="str">
        <f>IF(COUNTIF('SCM-B'!$A:$A, $C152), AC$1, "")</f>
        <v/>
      </c>
      <c r="AD152" s="132" t="str">
        <f>IF(COUNTIF(AIS!$A:$A, $C152), AD$1, "")</f>
        <v/>
      </c>
      <c r="AE152" s="132" t="str">
        <f>IF(COUNTIF(EB!$A:$A, $C152), AE$1, "")</f>
        <v/>
      </c>
      <c r="AF152" s="132" t="str">
        <f>IF(COUNTIF('AIAM-A'!$A:$A, $C152), AF$1, "")</f>
        <v/>
      </c>
      <c r="AG152" s="132" t="str">
        <f>IF(COUNTIF('AIAM-B'!$A:$A, $C152), AG$1, "")</f>
        <v/>
      </c>
      <c r="AH152" s="132" t="str">
        <f>IF(COUNTIF('SA-A'!$A:$A, $C152), AH$1, "")</f>
        <v/>
      </c>
      <c r="AI152" s="132" t="str">
        <f>IF(COUNTIF('SA-B'!$A:$A, $C152), AI$1, "")</f>
        <v/>
      </c>
      <c r="AJ152" s="132" t="str">
        <f>IF(COUNTIF(CSM!$A:$A, $C152), AJ$1, "")</f>
        <v/>
      </c>
      <c r="AK152" s="132" t="str">
        <f>IF(COUNTIF(EM!$A:$A, $C152), AK$1, "")</f>
        <v/>
      </c>
      <c r="AL152" s="132" t="str">
        <f>IF(COUNTIF(I4TS!$A:$A, $C152), AL$1, "")</f>
        <v/>
      </c>
    </row>
    <row r="153" spans="1:38" ht="13">
      <c r="A153" s="131">
        <v>152</v>
      </c>
      <c r="B153" s="131" t="s">
        <v>734</v>
      </c>
      <c r="C153" s="131" t="s">
        <v>790</v>
      </c>
      <c r="D153" s="106" t="s">
        <v>791</v>
      </c>
      <c r="E153" s="106" t="s">
        <v>792</v>
      </c>
      <c r="F153" s="131">
        <f t="shared" ca="1" si="0"/>
        <v>5</v>
      </c>
      <c r="G153" s="106" t="str">
        <f ca="1">IFERROR(__xludf.DUMMYFUNCTION("INDEX(FILTER($P153:$AL153, $P153:$AL153 &lt;&gt; """"), 1)"),"Workplace Happiness: Science &amp; Practice (A)")</f>
        <v>Workplace Happiness: Science &amp; Practice (A)</v>
      </c>
      <c r="H153" s="106" t="str">
        <f ca="1">IFERROR(__xludf.DUMMYFUNCTION("INDEX(FILTER($P153:$AL153, $P153:$AL153 &lt;&gt; """"), 2)"),"Leadership Excellence Through Values : Wisdom from the Mahabharata")</f>
        <v>Leadership Excellence Through Values : Wisdom from the Mahabharata</v>
      </c>
      <c r="I153" s="106" t="str">
        <f ca="1">IFERROR(__xludf.DUMMYFUNCTION("INDEX(FILTER($P153:$AL153, $P153:$AL153 &lt;&gt; """"), 3)"),"Film &amp; the Firm: Visual Culture in Business Contexts (B)")</f>
        <v>Film &amp; the Firm: Visual Culture in Business Contexts (B)</v>
      </c>
      <c r="J153" s="106" t="str">
        <f ca="1">IFERROR(__xludf.DUMMYFUNCTION("IFERROR(INDEX(FILTER($P153:$AL153, $P153:$AL153 &lt;&gt; """"), 4),)"),"Strategic Career Management (A)")</f>
        <v>Strategic Career Management (A)</v>
      </c>
      <c r="K153" s="106" t="str">
        <f ca="1">IFERROR(__xludf.DUMMYFUNCTION("IFERROR(INDEX(FILTER($P153:$AL153, $P153:$AL153 &lt;&gt; """"), 5),)"),"AI AND  STRATEGY")</f>
        <v>AI AND  STRATEGY</v>
      </c>
      <c r="L153" s="107"/>
      <c r="M153" s="107"/>
      <c r="N153" s="107"/>
      <c r="O153" s="107"/>
      <c r="P153" s="132" t="str">
        <f>IF(COUNTIF('Fintech-A'!$A:$A, $C153), P$1, "")</f>
        <v/>
      </c>
      <c r="Q153" s="132" t="str">
        <f>IF(COUNTIF('Fintech-B'!$A:$A, $C153), Q$1, "")</f>
        <v/>
      </c>
      <c r="R153" s="132" t="str">
        <f>IF(COUNTIF('BEDM-A'!$A:$A, $C153), R$1, "")</f>
        <v/>
      </c>
      <c r="S153" s="132" t="str">
        <f>IF(COUNTIF('BEDM-B'!$A:$A, $C153), S$1, "")</f>
        <v/>
      </c>
      <c r="T153" s="132" t="str">
        <f>IF(COUNTIF('Art-A'!$A:$A, $C153), T$1, "")</f>
        <v/>
      </c>
      <c r="U153" s="132" t="str">
        <f>IF(COUNTIF('Art-B'!$A:$A, $C153), U$1, "")</f>
        <v/>
      </c>
      <c r="V153" s="132" t="str">
        <f>IF(COUNTIF('WH-A'!$A:$A, $C153), V$1, "")</f>
        <v>Workplace Happiness: Science &amp; Practice (A)</v>
      </c>
      <c r="W153" s="132" t="str">
        <f>IF(COUNTIF('WH-B'!$A:$A, $C153), W$1, "")</f>
        <v/>
      </c>
      <c r="X153" s="132" t="str">
        <f>IF(COUNTIF(LETV!$A:$A, $C153), X$1, "")</f>
        <v>Leadership Excellence Through Values : Wisdom from the Mahabharata</v>
      </c>
      <c r="Y153" s="132" t="str">
        <f>IF(COUNTIF('Film&amp;Firm-A'!$A:$A, $C153), Y$1, "")</f>
        <v/>
      </c>
      <c r="Z153" s="132" t="str">
        <f>IF(COUNTIF('Film&amp;Firm-B'!$A:$A, $C153), Z$1, "")</f>
        <v>Film &amp; the Firm: Visual Culture in Business Contexts (B)</v>
      </c>
      <c r="AA153" s="132" t="str">
        <f>IF(COUNTIF(SHRM!$A:$A, $C153), AA$1, "")</f>
        <v/>
      </c>
      <c r="AB153" s="132" t="str">
        <f>IF(COUNTIF('SCM-A'!$A:$A, $C153), AB$1, "")</f>
        <v>Strategic Career Management (A)</v>
      </c>
      <c r="AC153" s="132" t="str">
        <f>IF(COUNTIF('SCM-B'!$A:$A, $C153), AC$1, "")</f>
        <v/>
      </c>
      <c r="AD153" s="132" t="str">
        <f>IF(COUNTIF(AIS!$A:$A, $C153), AD$1, "")</f>
        <v>AI AND  STRATEGY</v>
      </c>
      <c r="AE153" s="132" t="str">
        <f>IF(COUNTIF(EB!$A:$A, $C153), AE$1, "")</f>
        <v/>
      </c>
      <c r="AF153" s="132" t="str">
        <f>IF(COUNTIF('AIAM-A'!$A:$A, $C153), AF$1, "")</f>
        <v/>
      </c>
      <c r="AG153" s="132" t="str">
        <f>IF(COUNTIF('AIAM-B'!$A:$A, $C153), AG$1, "")</f>
        <v/>
      </c>
      <c r="AH153" s="132" t="str">
        <f>IF(COUNTIF('SA-A'!$A:$A, $C153), AH$1, "")</f>
        <v/>
      </c>
      <c r="AI153" s="132" t="str">
        <f>IF(COUNTIF('SA-B'!$A:$A, $C153), AI$1, "")</f>
        <v/>
      </c>
      <c r="AJ153" s="132" t="str">
        <f>IF(COUNTIF(CSM!$A:$A, $C153), AJ$1, "")</f>
        <v/>
      </c>
      <c r="AK153" s="132" t="str">
        <f>IF(COUNTIF(EM!$A:$A, $C153), AK$1, "")</f>
        <v/>
      </c>
      <c r="AL153" s="132" t="str">
        <f>IF(COUNTIF(I4TS!$A:$A, $C153), AL$1, "")</f>
        <v/>
      </c>
    </row>
    <row r="154" spans="1:38" ht="13">
      <c r="A154" s="131">
        <v>153</v>
      </c>
      <c r="B154" s="131" t="s">
        <v>734</v>
      </c>
      <c r="C154" s="131" t="s">
        <v>793</v>
      </c>
      <c r="D154" s="106" t="s">
        <v>794</v>
      </c>
      <c r="E154" s="106" t="s">
        <v>795</v>
      </c>
      <c r="F154" s="131">
        <f t="shared" ca="1" si="0"/>
        <v>5</v>
      </c>
      <c r="G154" s="106" t="str">
        <f ca="1">IFERROR(__xludf.DUMMYFUNCTION("INDEX(FILTER($P154:$AL154, $P154:$AL154 &lt;&gt; """"), 1)"),"Employer Branding")</f>
        <v>Employer Branding</v>
      </c>
      <c r="H154" s="106" t="str">
        <f ca="1">IFERROR(__xludf.DUMMYFUNCTION("INDEX(FILTER($P154:$AL154, $P154:$AL154 &lt;&gt; """"), 2)"),"AI Applications in Marketing (B)")</f>
        <v>AI Applications in Marketing (B)</v>
      </c>
      <c r="I154" s="106" t="str">
        <f ca="1">IFERROR(__xludf.DUMMYFUNCTION("INDEX(FILTER($P154:$AL154, $P154:$AL154 &lt;&gt; """"), 3)"),"Industry 4.0 in Transport Sector")</f>
        <v>Industry 4.0 in Transport Sector</v>
      </c>
      <c r="J154" s="106" t="str">
        <f ca="1">IFERROR(__xludf.DUMMYFUNCTION("IFERROR(INDEX(FILTER($P154:$AL154, $P154:$AL154 &lt;&gt; """"), 4),)"),"")</f>
        <v/>
      </c>
      <c r="K154" s="106" t="str">
        <f ca="1">IFERROR(__xludf.DUMMYFUNCTION("IFERROR(INDEX(FILTER($P154:$AL154, $P154:$AL154 &lt;&gt; """"), 5),)"),"")</f>
        <v/>
      </c>
      <c r="L154" s="107"/>
      <c r="M154" s="107"/>
      <c r="N154" s="107"/>
      <c r="O154" s="107"/>
      <c r="P154" s="132" t="str">
        <f>IF(COUNTIF('Fintech-A'!$A:$A, $C154), P$1, "")</f>
        <v/>
      </c>
      <c r="Q154" s="132" t="str">
        <f>IF(COUNTIF('Fintech-B'!$A:$A, $C154), Q$1, "")</f>
        <v/>
      </c>
      <c r="R154" s="132" t="str">
        <f>IF(COUNTIF('BEDM-A'!$A:$A, $C154), R$1, "")</f>
        <v/>
      </c>
      <c r="S154" s="132" t="str">
        <f>IF(COUNTIF('BEDM-B'!$A:$A, $C154), S$1, "")</f>
        <v/>
      </c>
      <c r="T154" s="132" t="str">
        <f>IF(COUNTIF('Art-A'!$A:$A, $C154), T$1, "")</f>
        <v/>
      </c>
      <c r="U154" s="132" t="str">
        <f>IF(COUNTIF('Art-B'!$A:$A, $C154), U$1, "")</f>
        <v/>
      </c>
      <c r="V154" s="132" t="str">
        <f>IF(COUNTIF('WH-A'!$A:$A, $C154), V$1, "")</f>
        <v/>
      </c>
      <c r="W154" s="132" t="str">
        <f>IF(COUNTIF('WH-B'!$A:$A, $C154), W$1, "")</f>
        <v/>
      </c>
      <c r="X154" s="132" t="str">
        <f>IF(COUNTIF(LETV!$A:$A, $C154), X$1, "")</f>
        <v/>
      </c>
      <c r="Y154" s="132" t="str">
        <f>IF(COUNTIF('Film&amp;Firm-A'!$A:$A, $C154), Y$1, "")</f>
        <v/>
      </c>
      <c r="Z154" s="132" t="str">
        <f>IF(COUNTIF('Film&amp;Firm-B'!$A:$A, $C154), Z$1, "")</f>
        <v/>
      </c>
      <c r="AA154" s="132" t="str">
        <f>IF(COUNTIF(SHRM!$A:$A, $C154), AA$1, "")</f>
        <v/>
      </c>
      <c r="AB154" s="132" t="str">
        <f>IF(COUNTIF('SCM-A'!$A:$A, $C154), AB$1, "")</f>
        <v/>
      </c>
      <c r="AC154" s="132" t="str">
        <f>IF(COUNTIF('SCM-B'!$A:$A, $C154), AC$1, "")</f>
        <v/>
      </c>
      <c r="AD154" s="132" t="str">
        <f>IF(COUNTIF(AIS!$A:$A, $C154), AD$1, "")</f>
        <v/>
      </c>
      <c r="AE154" s="132" t="str">
        <f>IF(COUNTIF(EB!$A:$A, $C154), AE$1, "")</f>
        <v>Employer Branding</v>
      </c>
      <c r="AF154" s="132" t="str">
        <f>IF(COUNTIF('AIAM-A'!$A:$A, $C154), AF$1, "")</f>
        <v/>
      </c>
      <c r="AG154" s="132" t="str">
        <f>IF(COUNTIF('AIAM-B'!$A:$A, $C154), AG$1, "")</f>
        <v>AI Applications in Marketing (B)</v>
      </c>
      <c r="AH154" s="132" t="str">
        <f>IF(COUNTIF('SA-A'!$A:$A, $C154), AH$1, "")</f>
        <v/>
      </c>
      <c r="AI154" s="132" t="str">
        <f>IF(COUNTIF('SA-B'!$A:$A, $C154), AI$1, "")</f>
        <v/>
      </c>
      <c r="AJ154" s="132" t="str">
        <f>IF(COUNTIF(CSM!$A:$A, $C154), AJ$1, "")</f>
        <v/>
      </c>
      <c r="AK154" s="132" t="str">
        <f>IF(COUNTIF(EM!$A:$A, $C154), AK$1, "")</f>
        <v/>
      </c>
      <c r="AL154" s="132" t="str">
        <f>IF(COUNTIF(I4TS!$A:$A, $C154), AL$1, "")</f>
        <v>Industry 4.0 in Transport Sector</v>
      </c>
    </row>
    <row r="155" spans="1:38" ht="13">
      <c r="A155" s="131">
        <v>154</v>
      </c>
      <c r="B155" s="131" t="s">
        <v>734</v>
      </c>
      <c r="C155" s="131" t="s">
        <v>274</v>
      </c>
      <c r="D155" s="106" t="s">
        <v>796</v>
      </c>
      <c r="E155" s="106" t="s">
        <v>797</v>
      </c>
      <c r="F155" s="131">
        <f t="shared" ca="1" si="0"/>
        <v>5</v>
      </c>
      <c r="G155" s="106" t="str">
        <f ca="1">IFERROR(__xludf.DUMMYFUNCTION("INDEX(FILTER($P155:$AL155, $P155:$AL155 &lt;&gt; """"), 1)"),"Fintech (Digital Transformation in Finance) (B)")</f>
        <v>Fintech (Digital Transformation in Finance) (B)</v>
      </c>
      <c r="H155" s="106" t="str">
        <f ca="1">IFERROR(__xludf.DUMMYFUNCTION("INDEX(FILTER($P155:$AL155, $P155:$AL155 &lt;&gt; """"), 2)"),"Employer Branding")</f>
        <v>Employer Branding</v>
      </c>
      <c r="I155" s="106" t="str">
        <f ca="1">IFERROR(__xludf.DUMMYFUNCTION("INDEX(FILTER($P155:$AL155, $P155:$AL155 &lt;&gt; """"), 3)"),"AI Applications in Marketing (A)")</f>
        <v>AI Applications in Marketing (A)</v>
      </c>
      <c r="J155" s="106" t="str">
        <f ca="1">IFERROR(__xludf.DUMMYFUNCTION("IFERROR(INDEX(FILTER($P155:$AL155, $P155:$AL155 &lt;&gt; """"), 4),)"),"")</f>
        <v/>
      </c>
      <c r="K155" s="106" t="str">
        <f ca="1">IFERROR(__xludf.DUMMYFUNCTION("IFERROR(INDEX(FILTER($P155:$AL155, $P155:$AL155 &lt;&gt; """"), 5),)"),"")</f>
        <v/>
      </c>
      <c r="L155" s="107"/>
      <c r="M155" s="107"/>
      <c r="N155" s="107"/>
      <c r="O155" s="107"/>
      <c r="P155" s="132" t="str">
        <f>IF(COUNTIF('Fintech-A'!$A:$A, $C155), P$1, "")</f>
        <v/>
      </c>
      <c r="Q155" s="132" t="str">
        <f>IF(COUNTIF('Fintech-B'!$A:$A, $C155), Q$1, "")</f>
        <v>Fintech (Digital Transformation in Finance) (B)</v>
      </c>
      <c r="R155" s="132" t="str">
        <f>IF(COUNTIF('BEDM-A'!$A:$A, $C155), R$1, "")</f>
        <v/>
      </c>
      <c r="S155" s="132" t="str">
        <f>IF(COUNTIF('BEDM-B'!$A:$A, $C155), S$1, "")</f>
        <v/>
      </c>
      <c r="T155" s="132" t="str">
        <f>IF(COUNTIF('Art-A'!$A:$A, $C155), T$1, "")</f>
        <v/>
      </c>
      <c r="U155" s="132" t="str">
        <f>IF(COUNTIF('Art-B'!$A:$A, $C155), U$1, "")</f>
        <v/>
      </c>
      <c r="V155" s="132" t="str">
        <f>IF(COUNTIF('WH-A'!$A:$A, $C155), V$1, "")</f>
        <v/>
      </c>
      <c r="W155" s="132" t="str">
        <f>IF(COUNTIF('WH-B'!$A:$A, $C155), W$1, "")</f>
        <v/>
      </c>
      <c r="X155" s="132" t="str">
        <f>IF(COUNTIF(LETV!$A:$A, $C155), X$1, "")</f>
        <v/>
      </c>
      <c r="Y155" s="132" t="str">
        <f>IF(COUNTIF('Film&amp;Firm-A'!$A:$A, $C155), Y$1, "")</f>
        <v/>
      </c>
      <c r="Z155" s="132" t="str">
        <f>IF(COUNTIF('Film&amp;Firm-B'!$A:$A, $C155), Z$1, "")</f>
        <v/>
      </c>
      <c r="AA155" s="132" t="str">
        <f>IF(COUNTIF(SHRM!$A:$A, $C155), AA$1, "")</f>
        <v/>
      </c>
      <c r="AB155" s="132" t="str">
        <f>IF(COUNTIF('SCM-A'!$A:$A, $C155), AB$1, "")</f>
        <v/>
      </c>
      <c r="AC155" s="132" t="str">
        <f>IF(COUNTIF('SCM-B'!$A:$A, $C155), AC$1, "")</f>
        <v/>
      </c>
      <c r="AD155" s="132" t="str">
        <f>IF(COUNTIF(AIS!$A:$A, $C155), AD$1, "")</f>
        <v/>
      </c>
      <c r="AE155" s="132" t="str">
        <f>IF(COUNTIF(EB!$A:$A, $C155), AE$1, "")</f>
        <v>Employer Branding</v>
      </c>
      <c r="AF155" s="132" t="str">
        <f>IF(COUNTIF('AIAM-A'!$A:$A, $C155), AF$1, "")</f>
        <v>AI Applications in Marketing (A)</v>
      </c>
      <c r="AG155" s="132" t="str">
        <f>IF(COUNTIF('AIAM-B'!$A:$A, $C155), AG$1, "")</f>
        <v/>
      </c>
      <c r="AH155" s="132" t="str">
        <f>IF(COUNTIF('SA-A'!$A:$A, $C155), AH$1, "")</f>
        <v/>
      </c>
      <c r="AI155" s="132" t="str">
        <f>IF(COUNTIF('SA-B'!$A:$A, $C155), AI$1, "")</f>
        <v/>
      </c>
      <c r="AJ155" s="132" t="str">
        <f>IF(COUNTIF(CSM!$A:$A, $C155), AJ$1, "")</f>
        <v/>
      </c>
      <c r="AK155" s="132" t="str">
        <f>IF(COUNTIF(EM!$A:$A, $C155), AK$1, "")</f>
        <v/>
      </c>
      <c r="AL155" s="132" t="str">
        <f>IF(COUNTIF(I4TS!$A:$A, $C155), AL$1, "")</f>
        <v/>
      </c>
    </row>
    <row r="156" spans="1:38" ht="13">
      <c r="A156" s="131">
        <v>155</v>
      </c>
      <c r="B156" s="131" t="s">
        <v>734</v>
      </c>
      <c r="C156" s="131" t="s">
        <v>275</v>
      </c>
      <c r="D156" s="106" t="s">
        <v>798</v>
      </c>
      <c r="E156" s="106" t="s">
        <v>799</v>
      </c>
      <c r="F156" s="131">
        <f t="shared" ca="1" si="0"/>
        <v>5</v>
      </c>
      <c r="G156" s="106" t="str">
        <f ca="1">IFERROR(__xludf.DUMMYFUNCTION("INDEX(FILTER($P156:$AL156, $P156:$AL156 &lt;&gt; """"), 1)"),"Workplace Happiness: Science &amp; Practice (A)")</f>
        <v>Workplace Happiness: Science &amp; Practice (A)</v>
      </c>
      <c r="H156" s="106" t="str">
        <f ca="1">IFERROR(__xludf.DUMMYFUNCTION("INDEX(FILTER($P156:$AL156, $P156:$AL156 &lt;&gt; """"), 2)"),"Film &amp; the Firm: Visual Culture in Business Contexts (B)")</f>
        <v>Film &amp; the Firm: Visual Culture in Business Contexts (B)</v>
      </c>
      <c r="I156" s="106" t="str">
        <f ca="1">IFERROR(__xludf.DUMMYFUNCTION("INDEX(FILTER($P156:$AL156, $P156:$AL156 &lt;&gt; """"), 3)"),"Strategic Career Management (A)")</f>
        <v>Strategic Career Management (A)</v>
      </c>
      <c r="J156" s="106" t="str">
        <f ca="1">IFERROR(__xludf.DUMMYFUNCTION("IFERROR(INDEX(FILTER($P156:$AL156, $P156:$AL156 &lt;&gt; """"), 4),)"),"")</f>
        <v/>
      </c>
      <c r="K156" s="106" t="str">
        <f ca="1">IFERROR(__xludf.DUMMYFUNCTION("IFERROR(INDEX(FILTER($P156:$AL156, $P156:$AL156 &lt;&gt; """"), 5),)"),"")</f>
        <v/>
      </c>
      <c r="L156" s="107"/>
      <c r="M156" s="107"/>
      <c r="N156" s="107"/>
      <c r="O156" s="107"/>
      <c r="P156" s="132" t="str">
        <f>IF(COUNTIF('Fintech-A'!$A:$A, $C156), P$1, "")</f>
        <v/>
      </c>
      <c r="Q156" s="132" t="str">
        <f>IF(COUNTIF('Fintech-B'!$A:$A, $C156), Q$1, "")</f>
        <v/>
      </c>
      <c r="R156" s="132" t="str">
        <f>IF(COUNTIF('BEDM-A'!$A:$A, $C156), R$1, "")</f>
        <v/>
      </c>
      <c r="S156" s="132" t="str">
        <f>IF(COUNTIF('BEDM-B'!$A:$A, $C156), S$1, "")</f>
        <v/>
      </c>
      <c r="T156" s="132" t="str">
        <f>IF(COUNTIF('Art-A'!$A:$A, $C156), T$1, "")</f>
        <v/>
      </c>
      <c r="U156" s="132" t="str">
        <f>IF(COUNTIF('Art-B'!$A:$A, $C156), U$1, "")</f>
        <v/>
      </c>
      <c r="V156" s="132" t="str">
        <f>IF(COUNTIF('WH-A'!$A:$A, $C156), V$1, "")</f>
        <v>Workplace Happiness: Science &amp; Practice (A)</v>
      </c>
      <c r="W156" s="132" t="str">
        <f>IF(COUNTIF('WH-B'!$A:$A, $C156), W$1, "")</f>
        <v/>
      </c>
      <c r="X156" s="132" t="str">
        <f>IF(COUNTIF(LETV!$A:$A, $C156), X$1, "")</f>
        <v/>
      </c>
      <c r="Y156" s="132" t="str">
        <f>IF(COUNTIF('Film&amp;Firm-A'!$A:$A, $C156), Y$1, "")</f>
        <v/>
      </c>
      <c r="Z156" s="132" t="str">
        <f>IF(COUNTIF('Film&amp;Firm-B'!$A:$A, $C156), Z$1, "")</f>
        <v>Film &amp; the Firm: Visual Culture in Business Contexts (B)</v>
      </c>
      <c r="AA156" s="132" t="str">
        <f>IF(COUNTIF(SHRM!$A:$A, $C156), AA$1, "")</f>
        <v/>
      </c>
      <c r="AB156" s="132" t="str">
        <f>IF(COUNTIF('SCM-A'!$A:$A, $C156), AB$1, "")</f>
        <v>Strategic Career Management (A)</v>
      </c>
      <c r="AC156" s="132" t="str">
        <f>IF(COUNTIF('SCM-B'!$A:$A, $C156), AC$1, "")</f>
        <v/>
      </c>
      <c r="AD156" s="132" t="str">
        <f>IF(COUNTIF(AIS!$A:$A, $C156), AD$1, "")</f>
        <v/>
      </c>
      <c r="AE156" s="132" t="str">
        <f>IF(COUNTIF(EB!$A:$A, $C156), AE$1, "")</f>
        <v/>
      </c>
      <c r="AF156" s="132" t="str">
        <f>IF(COUNTIF('AIAM-A'!$A:$A, $C156), AF$1, "")</f>
        <v/>
      </c>
      <c r="AG156" s="132" t="str">
        <f>IF(COUNTIF('AIAM-B'!$A:$A, $C156), AG$1, "")</f>
        <v/>
      </c>
      <c r="AH156" s="132" t="str">
        <f>IF(COUNTIF('SA-A'!$A:$A, $C156), AH$1, "")</f>
        <v/>
      </c>
      <c r="AI156" s="132" t="str">
        <f>IF(COUNTIF('SA-B'!$A:$A, $C156), AI$1, "")</f>
        <v/>
      </c>
      <c r="AJ156" s="132" t="str">
        <f>IF(COUNTIF(CSM!$A:$A, $C156), AJ$1, "")</f>
        <v/>
      </c>
      <c r="AK156" s="132" t="str">
        <f>IF(COUNTIF(EM!$A:$A, $C156), AK$1, "")</f>
        <v/>
      </c>
      <c r="AL156" s="132" t="str">
        <f>IF(COUNTIF(I4TS!$A:$A, $C156), AL$1, "")</f>
        <v/>
      </c>
    </row>
    <row r="157" spans="1:38" ht="13">
      <c r="A157" s="131">
        <v>156</v>
      </c>
      <c r="B157" s="131" t="s">
        <v>734</v>
      </c>
      <c r="C157" s="131" t="s">
        <v>276</v>
      </c>
      <c r="D157" s="106" t="s">
        <v>800</v>
      </c>
      <c r="E157" s="106" t="s">
        <v>801</v>
      </c>
      <c r="F157" s="131">
        <f t="shared" ca="1" si="0"/>
        <v>5</v>
      </c>
      <c r="G157" s="106" t="str">
        <f ca="1">IFERROR(__xludf.DUMMYFUNCTION("INDEX(FILTER($P157:$AL157, $P157:$AL157 &lt;&gt; """"), 1)"),"Fintech (Digital Transformation in Finance) (B)")</f>
        <v>Fintech (Digital Transformation in Finance) (B)</v>
      </c>
      <c r="H157" s="106" t="str">
        <f ca="1">IFERROR(__xludf.DUMMYFUNCTION("INDEX(FILTER($P157:$AL157, $P157:$AL157 &lt;&gt; """"), 2)"),"Behavioural Economics and Decision-Making (B)")</f>
        <v>Behavioural Economics and Decision-Making (B)</v>
      </c>
      <c r="I157" s="106" t="str">
        <f ca="1">IFERROR(__xludf.DUMMYFUNCTION("INDEX(FILTER($P157:$AL157, $P157:$AL157 &lt;&gt; """"), 3)"),"Employer Branding")</f>
        <v>Employer Branding</v>
      </c>
      <c r="J157" s="106" t="str">
        <f ca="1">IFERROR(__xludf.DUMMYFUNCTION("IFERROR(INDEX(FILTER($P157:$AL157, $P157:$AL157 &lt;&gt; """"), 4),)"),"AI Applications in Marketing (A)")</f>
        <v>AI Applications in Marketing (A)</v>
      </c>
      <c r="K157" s="106" t="str">
        <f ca="1">IFERROR(__xludf.DUMMYFUNCTION("IFERROR(INDEX(FILTER($P157:$AL157, $P157:$AL157 &lt;&gt; """"), 5),)"),"Entrepreneurial Marketing")</f>
        <v>Entrepreneurial Marketing</v>
      </c>
      <c r="L157" s="107"/>
      <c r="M157" s="107"/>
      <c r="N157" s="107"/>
      <c r="O157" s="107"/>
      <c r="P157" s="132" t="str">
        <f>IF(COUNTIF('Fintech-A'!$A:$A, $C157), P$1, "")</f>
        <v/>
      </c>
      <c r="Q157" s="132" t="str">
        <f>IF(COUNTIF('Fintech-B'!$A:$A, $C157), Q$1, "")</f>
        <v>Fintech (Digital Transformation in Finance) (B)</v>
      </c>
      <c r="R157" s="132" t="str">
        <f>IF(COUNTIF('BEDM-A'!$A:$A, $C157), R$1, "")</f>
        <v/>
      </c>
      <c r="S157" s="132" t="str">
        <f>IF(COUNTIF('BEDM-B'!$A:$A, $C157), S$1, "")</f>
        <v>Behavioural Economics and Decision-Making (B)</v>
      </c>
      <c r="T157" s="132" t="str">
        <f>IF(COUNTIF('Art-A'!$A:$A, $C157), T$1, "")</f>
        <v/>
      </c>
      <c r="U157" s="132" t="str">
        <f>IF(COUNTIF('Art-B'!$A:$A, $C157), U$1, "")</f>
        <v/>
      </c>
      <c r="V157" s="132" t="str">
        <f>IF(COUNTIF('WH-A'!$A:$A, $C157), V$1, "")</f>
        <v/>
      </c>
      <c r="W157" s="132" t="str">
        <f>IF(COUNTIF('WH-B'!$A:$A, $C157), W$1, "")</f>
        <v/>
      </c>
      <c r="X157" s="132" t="str">
        <f>IF(COUNTIF(LETV!$A:$A, $C157), X$1, "")</f>
        <v/>
      </c>
      <c r="Y157" s="132" t="str">
        <f>IF(COUNTIF('Film&amp;Firm-A'!$A:$A, $C157), Y$1, "")</f>
        <v/>
      </c>
      <c r="Z157" s="132" t="str">
        <f>IF(COUNTIF('Film&amp;Firm-B'!$A:$A, $C157), Z$1, "")</f>
        <v/>
      </c>
      <c r="AA157" s="132" t="str">
        <f>IF(COUNTIF(SHRM!$A:$A, $C157), AA$1, "")</f>
        <v/>
      </c>
      <c r="AB157" s="132" t="str">
        <f>IF(COUNTIF('SCM-A'!$A:$A, $C157), AB$1, "")</f>
        <v/>
      </c>
      <c r="AC157" s="132" t="str">
        <f>IF(COUNTIF('SCM-B'!$A:$A, $C157), AC$1, "")</f>
        <v/>
      </c>
      <c r="AD157" s="132" t="str">
        <f>IF(COUNTIF(AIS!$A:$A, $C157), AD$1, "")</f>
        <v/>
      </c>
      <c r="AE157" s="132" t="str">
        <f>IF(COUNTIF(EB!$A:$A, $C157), AE$1, "")</f>
        <v>Employer Branding</v>
      </c>
      <c r="AF157" s="132" t="str">
        <f>IF(COUNTIF('AIAM-A'!$A:$A, $C157), AF$1, "")</f>
        <v>AI Applications in Marketing (A)</v>
      </c>
      <c r="AG157" s="132" t="str">
        <f>IF(COUNTIF('AIAM-B'!$A:$A, $C157), AG$1, "")</f>
        <v/>
      </c>
      <c r="AH157" s="132" t="str">
        <f>IF(COUNTIF('SA-A'!$A:$A, $C157), AH$1, "")</f>
        <v/>
      </c>
      <c r="AI157" s="132" t="str">
        <f>IF(COUNTIF('SA-B'!$A:$A, $C157), AI$1, "")</f>
        <v/>
      </c>
      <c r="AJ157" s="132" t="str">
        <f>IF(COUNTIF(CSM!$A:$A, $C157), AJ$1, "")</f>
        <v/>
      </c>
      <c r="AK157" s="132" t="str">
        <f>IF(COUNTIF(EM!$A:$A, $C157), AK$1, "")</f>
        <v>Entrepreneurial Marketing</v>
      </c>
      <c r="AL157" s="132" t="str">
        <f>IF(COUNTIF(I4TS!$A:$A, $C157), AL$1, "")</f>
        <v/>
      </c>
    </row>
    <row r="158" spans="1:38" ht="13">
      <c r="A158" s="131">
        <v>157</v>
      </c>
      <c r="B158" s="131" t="s">
        <v>734</v>
      </c>
      <c r="C158" s="131" t="s">
        <v>802</v>
      </c>
      <c r="D158" s="106" t="s">
        <v>803</v>
      </c>
      <c r="E158" s="106" t="s">
        <v>804</v>
      </c>
      <c r="F158" s="131">
        <f t="shared" ca="1" si="0"/>
        <v>5</v>
      </c>
      <c r="G158" s="106" t="str">
        <f ca="1">IFERROR(__xludf.DUMMYFUNCTION("INDEX(FILTER($P158:$AL158, $P158:$AL158 &lt;&gt; """"), 1)"),"Fintech (Digital Transformation in Finance) (B)")</f>
        <v>Fintech (Digital Transformation in Finance) (B)</v>
      </c>
      <c r="H158" s="106" t="str">
        <f ca="1">IFERROR(__xludf.DUMMYFUNCTION("INDEX(FILTER($P158:$AL158, $P158:$AL158 &lt;&gt; """"), 2)"),"Behavioural Economics and Decision-Making (A)")</f>
        <v>Behavioural Economics and Decision-Making (A)</v>
      </c>
      <c r="I158" s="106" t="str">
        <f ca="1">IFERROR(__xludf.DUMMYFUNCTION("INDEX(FILTER($P158:$AL158, $P158:$AL158 &lt;&gt; """"), 3)"),"Workplace Happiness: Science &amp; Practice (B)")</f>
        <v>Workplace Happiness: Science &amp; Practice (B)</v>
      </c>
      <c r="J158" s="106" t="str">
        <f ca="1">IFERROR(__xludf.DUMMYFUNCTION("IFERROR(INDEX(FILTER($P158:$AL158, $P158:$AL158 &lt;&gt; """"), 4),)"),"Leadership Excellence Through Values : Wisdom from the Mahabharata")</f>
        <v>Leadership Excellence Through Values : Wisdom from the Mahabharata</v>
      </c>
      <c r="K158" s="106" t="str">
        <f ca="1">IFERROR(__xludf.DUMMYFUNCTION("IFERROR(INDEX(FILTER($P158:$AL158, $P158:$AL158 &lt;&gt; """"), 5),)"),"Industry 4.0 in Transport Sector")</f>
        <v>Industry 4.0 in Transport Sector</v>
      </c>
      <c r="L158" s="107"/>
      <c r="M158" s="107"/>
      <c r="N158" s="107"/>
      <c r="O158" s="107"/>
      <c r="P158" s="132" t="str">
        <f>IF(COUNTIF('Fintech-A'!$A:$A, $C158), P$1, "")</f>
        <v/>
      </c>
      <c r="Q158" s="132" t="str">
        <f>IF(COUNTIF('Fintech-B'!$A:$A, $C158), Q$1, "")</f>
        <v>Fintech (Digital Transformation in Finance) (B)</v>
      </c>
      <c r="R158" s="132" t="str">
        <f>IF(COUNTIF('BEDM-A'!$A:$A, $C158), R$1, "")</f>
        <v>Behavioural Economics and Decision-Making (A)</v>
      </c>
      <c r="S158" s="132" t="str">
        <f>IF(COUNTIF('BEDM-B'!$A:$A, $C158), S$1, "")</f>
        <v/>
      </c>
      <c r="T158" s="132" t="str">
        <f>IF(COUNTIF('Art-A'!$A:$A, $C158), T$1, "")</f>
        <v/>
      </c>
      <c r="U158" s="132" t="str">
        <f>IF(COUNTIF('Art-B'!$A:$A, $C158), U$1, "")</f>
        <v/>
      </c>
      <c r="V158" s="132" t="str">
        <f>IF(COUNTIF('WH-A'!$A:$A, $C158), V$1, "")</f>
        <v/>
      </c>
      <c r="W158" s="132" t="str">
        <f>IF(COUNTIF('WH-B'!$A:$A, $C158), W$1, "")</f>
        <v>Workplace Happiness: Science &amp; Practice (B)</v>
      </c>
      <c r="X158" s="132" t="str">
        <f>IF(COUNTIF(LETV!$A:$A, $C158), X$1, "")</f>
        <v>Leadership Excellence Through Values : Wisdom from the Mahabharata</v>
      </c>
      <c r="Y158" s="132" t="str">
        <f>IF(COUNTIF('Film&amp;Firm-A'!$A:$A, $C158), Y$1, "")</f>
        <v/>
      </c>
      <c r="Z158" s="132" t="str">
        <f>IF(COUNTIF('Film&amp;Firm-B'!$A:$A, $C158), Z$1, "")</f>
        <v/>
      </c>
      <c r="AA158" s="132" t="str">
        <f>IF(COUNTIF(SHRM!$A:$A, $C158), AA$1, "")</f>
        <v/>
      </c>
      <c r="AB158" s="132" t="str">
        <f>IF(COUNTIF('SCM-A'!$A:$A, $C158), AB$1, "")</f>
        <v/>
      </c>
      <c r="AC158" s="132" t="str">
        <f>IF(COUNTIF('SCM-B'!$A:$A, $C158), AC$1, "")</f>
        <v/>
      </c>
      <c r="AD158" s="132" t="str">
        <f>IF(COUNTIF(AIS!$A:$A, $C158), AD$1, "")</f>
        <v/>
      </c>
      <c r="AE158" s="132" t="str">
        <f>IF(COUNTIF(EB!$A:$A, $C158), AE$1, "")</f>
        <v/>
      </c>
      <c r="AF158" s="132" t="str">
        <f>IF(COUNTIF('AIAM-A'!$A:$A, $C158), AF$1, "")</f>
        <v/>
      </c>
      <c r="AG158" s="132" t="str">
        <f>IF(COUNTIF('AIAM-B'!$A:$A, $C158), AG$1, "")</f>
        <v/>
      </c>
      <c r="AH158" s="132" t="str">
        <f>IF(COUNTIF('SA-A'!$A:$A, $C158), AH$1, "")</f>
        <v/>
      </c>
      <c r="AI158" s="132" t="str">
        <f>IF(COUNTIF('SA-B'!$A:$A, $C158), AI$1, "")</f>
        <v/>
      </c>
      <c r="AJ158" s="132" t="str">
        <f>IF(COUNTIF(CSM!$A:$A, $C158), AJ$1, "")</f>
        <v/>
      </c>
      <c r="AK158" s="132" t="str">
        <f>IF(COUNTIF(EM!$A:$A, $C158), AK$1, "")</f>
        <v/>
      </c>
      <c r="AL158" s="132" t="str">
        <f>IF(COUNTIF(I4TS!$A:$A, $C158), AL$1, "")</f>
        <v>Industry 4.0 in Transport Sector</v>
      </c>
    </row>
    <row r="159" spans="1:38" ht="13">
      <c r="A159" s="131">
        <v>158</v>
      </c>
      <c r="B159" s="131" t="s">
        <v>734</v>
      </c>
      <c r="C159" s="131" t="s">
        <v>805</v>
      </c>
      <c r="D159" s="106" t="s">
        <v>806</v>
      </c>
      <c r="E159" s="106" t="s">
        <v>807</v>
      </c>
      <c r="F159" s="131">
        <f t="shared" ca="1" si="0"/>
        <v>5</v>
      </c>
      <c r="G159" s="106" t="str">
        <f ca="1">IFERROR(__xludf.DUMMYFUNCTION("INDEX(FILTER($P159:$AL159, $P159:$AL159 &lt;&gt; """"), 1)"),"The Art, Craft, and Science of Management: Learning through Classics and Best Collections (B)")</f>
        <v>The Art, Craft, and Science of Management: Learning through Classics and Best Collections (B)</v>
      </c>
      <c r="H159" s="106" t="str">
        <f ca="1">IFERROR(__xludf.DUMMYFUNCTION("INDEX(FILTER($P159:$AL159, $P159:$AL159 &lt;&gt; """"), 2)"),"AI Applications in Marketing (A)")</f>
        <v>AI Applications in Marketing (A)</v>
      </c>
      <c r="I159" s="106" t="str">
        <f ca="1">IFERROR(__xludf.DUMMYFUNCTION("INDEX(FILTER($P159:$AL159, $P159:$AL159 &lt;&gt; """"), 3)"),"SPORTS ANALYTICS (A)")</f>
        <v>SPORTS ANALYTICS (A)</v>
      </c>
      <c r="J159" s="106" t="str">
        <f ca="1">IFERROR(__xludf.DUMMYFUNCTION("IFERROR(INDEX(FILTER($P159:$AL159, $P159:$AL159 &lt;&gt; """"), 4),)"),"")</f>
        <v/>
      </c>
      <c r="K159" s="106" t="str">
        <f ca="1">IFERROR(__xludf.DUMMYFUNCTION("IFERROR(INDEX(FILTER($P159:$AL159, $P159:$AL159 &lt;&gt; """"), 5),)"),"")</f>
        <v/>
      </c>
      <c r="L159" s="107"/>
      <c r="M159" s="107"/>
      <c r="N159" s="107"/>
      <c r="O159" s="107"/>
      <c r="P159" s="132" t="str">
        <f>IF(COUNTIF('Fintech-A'!$A:$A, $C159), P$1, "")</f>
        <v/>
      </c>
      <c r="Q159" s="132" t="str">
        <f>IF(COUNTIF('Fintech-B'!$A:$A, $C159), Q$1, "")</f>
        <v/>
      </c>
      <c r="R159" s="132" t="str">
        <f>IF(COUNTIF('BEDM-A'!$A:$A, $C159), R$1, "")</f>
        <v/>
      </c>
      <c r="S159" s="132" t="str">
        <f>IF(COUNTIF('BEDM-B'!$A:$A, $C159), S$1, "")</f>
        <v/>
      </c>
      <c r="T159" s="132" t="str">
        <f>IF(COUNTIF('Art-A'!$A:$A, $C159), T$1, "")</f>
        <v/>
      </c>
      <c r="U159" s="132" t="str">
        <f>IF(COUNTIF('Art-B'!$A:$A, $C159), U$1, "")</f>
        <v>The Art, Craft, and Science of Management: Learning through Classics and Best Collections (B)</v>
      </c>
      <c r="V159" s="132" t="str">
        <f>IF(COUNTIF('WH-A'!$A:$A, $C159), V$1, "")</f>
        <v/>
      </c>
      <c r="W159" s="132" t="str">
        <f>IF(COUNTIF('WH-B'!$A:$A, $C159), W$1, "")</f>
        <v/>
      </c>
      <c r="X159" s="132" t="str">
        <f>IF(COUNTIF(LETV!$A:$A, $C159), X$1, "")</f>
        <v/>
      </c>
      <c r="Y159" s="132" t="str">
        <f>IF(COUNTIF('Film&amp;Firm-A'!$A:$A, $C159), Y$1, "")</f>
        <v/>
      </c>
      <c r="Z159" s="132" t="str">
        <f>IF(COUNTIF('Film&amp;Firm-B'!$A:$A, $C159), Z$1, "")</f>
        <v/>
      </c>
      <c r="AA159" s="132" t="str">
        <f>IF(COUNTIF(SHRM!$A:$A, $C159), AA$1, "")</f>
        <v/>
      </c>
      <c r="AB159" s="132" t="str">
        <f>IF(COUNTIF('SCM-A'!$A:$A, $C159), AB$1, "")</f>
        <v/>
      </c>
      <c r="AC159" s="132" t="str">
        <f>IF(COUNTIF('SCM-B'!$A:$A, $C159), AC$1, "")</f>
        <v/>
      </c>
      <c r="AD159" s="132" t="str">
        <f>IF(COUNTIF(AIS!$A:$A, $C159), AD$1, "")</f>
        <v/>
      </c>
      <c r="AE159" s="132" t="str">
        <f>IF(COUNTIF(EB!$A:$A, $C159), AE$1, "")</f>
        <v/>
      </c>
      <c r="AF159" s="132" t="str">
        <f>IF(COUNTIF('AIAM-A'!$A:$A, $C159), AF$1, "")</f>
        <v>AI Applications in Marketing (A)</v>
      </c>
      <c r="AG159" s="132" t="str">
        <f>IF(COUNTIF('AIAM-B'!$A:$A, $C159), AG$1, "")</f>
        <v/>
      </c>
      <c r="AH159" s="132" t="str">
        <f>IF(COUNTIF('SA-A'!$A:$A, $C159), AH$1, "")</f>
        <v>SPORTS ANALYTICS (A)</v>
      </c>
      <c r="AI159" s="132" t="str">
        <f>IF(COUNTIF('SA-B'!$A:$A, $C159), AI$1, "")</f>
        <v/>
      </c>
      <c r="AJ159" s="132" t="str">
        <f>IF(COUNTIF(CSM!$A:$A, $C159), AJ$1, "")</f>
        <v/>
      </c>
      <c r="AK159" s="132" t="str">
        <f>IF(COUNTIF(EM!$A:$A, $C159), AK$1, "")</f>
        <v/>
      </c>
      <c r="AL159" s="132" t="str">
        <f>IF(COUNTIF(I4TS!$A:$A, $C159), AL$1, "")</f>
        <v/>
      </c>
    </row>
    <row r="160" spans="1:38" ht="13">
      <c r="A160" s="131">
        <v>159</v>
      </c>
      <c r="B160" s="131" t="s">
        <v>734</v>
      </c>
      <c r="C160" s="131" t="s">
        <v>808</v>
      </c>
      <c r="D160" s="106" t="s">
        <v>809</v>
      </c>
      <c r="E160" s="106" t="s">
        <v>810</v>
      </c>
      <c r="F160" s="131">
        <f t="shared" ca="1" si="0"/>
        <v>5</v>
      </c>
      <c r="G160" s="106" t="str">
        <f ca="1">IFERROR(__xludf.DUMMYFUNCTION("INDEX(FILTER($P160:$AL160, $P160:$AL160 &lt;&gt; """"), 1)"),"Behavioural Economics and Decision-Making (B)")</f>
        <v>Behavioural Economics and Decision-Making (B)</v>
      </c>
      <c r="H160" s="106" t="str">
        <f ca="1">IFERROR(__xludf.DUMMYFUNCTION("INDEX(FILTER($P160:$AL160, $P160:$AL160 &lt;&gt; """"), 2)"),"Employer Branding")</f>
        <v>Employer Branding</v>
      </c>
      <c r="I160" s="106" t="str">
        <f ca="1">IFERROR(__xludf.DUMMYFUNCTION("INDEX(FILTER($P160:$AL160, $P160:$AL160 &lt;&gt; """"), 3)"),"AI Applications in Marketing (A)")</f>
        <v>AI Applications in Marketing (A)</v>
      </c>
      <c r="J160" s="106" t="str">
        <f ca="1">IFERROR(__xludf.DUMMYFUNCTION("IFERROR(INDEX(FILTER($P160:$AL160, $P160:$AL160 &lt;&gt; """"), 4),)"),"SPORTS ANALYTICS (A)")</f>
        <v>SPORTS ANALYTICS (A)</v>
      </c>
      <c r="K160" s="106" t="str">
        <f ca="1">IFERROR(__xludf.DUMMYFUNCTION("IFERROR(INDEX(FILTER($P160:$AL160, $P160:$AL160 &lt;&gt; """"), 5),)"),"Customer Success Management")</f>
        <v>Customer Success Management</v>
      </c>
      <c r="L160" s="107"/>
      <c r="M160" s="107"/>
      <c r="N160" s="107"/>
      <c r="O160" s="107"/>
      <c r="P160" s="132" t="str">
        <f>IF(COUNTIF('Fintech-A'!$A:$A, $C160), P$1, "")</f>
        <v/>
      </c>
      <c r="Q160" s="132" t="str">
        <f>IF(COUNTIF('Fintech-B'!$A:$A, $C160), Q$1, "")</f>
        <v/>
      </c>
      <c r="R160" s="132" t="str">
        <f>IF(COUNTIF('BEDM-A'!$A:$A, $C160), R$1, "")</f>
        <v/>
      </c>
      <c r="S160" s="132" t="str">
        <f>IF(COUNTIF('BEDM-B'!$A:$A, $C160), S$1, "")</f>
        <v>Behavioural Economics and Decision-Making (B)</v>
      </c>
      <c r="T160" s="132" t="str">
        <f>IF(COUNTIF('Art-A'!$A:$A, $C160), T$1, "")</f>
        <v/>
      </c>
      <c r="U160" s="132" t="str">
        <f>IF(COUNTIF('Art-B'!$A:$A, $C160), U$1, "")</f>
        <v/>
      </c>
      <c r="V160" s="132" t="str">
        <f>IF(COUNTIF('WH-A'!$A:$A, $C160), V$1, "")</f>
        <v/>
      </c>
      <c r="W160" s="132" t="str">
        <f>IF(COUNTIF('WH-B'!$A:$A, $C160), W$1, "")</f>
        <v/>
      </c>
      <c r="X160" s="132" t="str">
        <f>IF(COUNTIF(LETV!$A:$A, $C160), X$1, "")</f>
        <v/>
      </c>
      <c r="Y160" s="132" t="str">
        <f>IF(COUNTIF('Film&amp;Firm-A'!$A:$A, $C160), Y$1, "")</f>
        <v/>
      </c>
      <c r="Z160" s="132" t="str">
        <f>IF(COUNTIF('Film&amp;Firm-B'!$A:$A, $C160), Z$1, "")</f>
        <v/>
      </c>
      <c r="AA160" s="132" t="str">
        <f>IF(COUNTIF(SHRM!$A:$A, $C160), AA$1, "")</f>
        <v/>
      </c>
      <c r="AB160" s="132" t="str">
        <f>IF(COUNTIF('SCM-A'!$A:$A, $C160), AB$1, "")</f>
        <v/>
      </c>
      <c r="AC160" s="132" t="str">
        <f>IF(COUNTIF('SCM-B'!$A:$A, $C160), AC$1, "")</f>
        <v/>
      </c>
      <c r="AD160" s="132" t="str">
        <f>IF(COUNTIF(AIS!$A:$A, $C160), AD$1, "")</f>
        <v/>
      </c>
      <c r="AE160" s="132" t="str">
        <f>IF(COUNTIF(EB!$A:$A, $C160), AE$1, "")</f>
        <v>Employer Branding</v>
      </c>
      <c r="AF160" s="132" t="str">
        <f>IF(COUNTIF('AIAM-A'!$A:$A, $C160), AF$1, "")</f>
        <v>AI Applications in Marketing (A)</v>
      </c>
      <c r="AG160" s="132" t="str">
        <f>IF(COUNTIF('AIAM-B'!$A:$A, $C160), AG$1, "")</f>
        <v/>
      </c>
      <c r="AH160" s="132" t="str">
        <f>IF(COUNTIF('SA-A'!$A:$A, $C160), AH$1, "")</f>
        <v>SPORTS ANALYTICS (A)</v>
      </c>
      <c r="AI160" s="132" t="str">
        <f>IF(COUNTIF('SA-B'!$A:$A, $C160), AI$1, "")</f>
        <v/>
      </c>
      <c r="AJ160" s="132" t="str">
        <f>IF(COUNTIF(CSM!$A:$A, $C160), AJ$1, "")</f>
        <v>Customer Success Management</v>
      </c>
      <c r="AK160" s="132" t="str">
        <f>IF(COUNTIF(EM!$A:$A, $C160), AK$1, "")</f>
        <v/>
      </c>
      <c r="AL160" s="132" t="str">
        <f>IF(COUNTIF(I4TS!$A:$A, $C160), AL$1, "")</f>
        <v/>
      </c>
    </row>
    <row r="161" spans="1:38" ht="13">
      <c r="A161" s="131">
        <v>160</v>
      </c>
      <c r="B161" s="131" t="s">
        <v>734</v>
      </c>
      <c r="C161" s="131" t="s">
        <v>277</v>
      </c>
      <c r="D161" s="106" t="s">
        <v>811</v>
      </c>
      <c r="E161" s="106" t="s">
        <v>812</v>
      </c>
      <c r="F161" s="131">
        <f t="shared" ca="1" si="0"/>
        <v>5</v>
      </c>
      <c r="G161" s="106" t="str">
        <f ca="1">IFERROR(__xludf.DUMMYFUNCTION("INDEX(FILTER($P161:$AL161, $P161:$AL161 &lt;&gt; """"), 1)"),"Workplace Happiness: Science &amp; Practice (A)")</f>
        <v>Workplace Happiness: Science &amp; Practice (A)</v>
      </c>
      <c r="H161" s="106" t="str">
        <f ca="1">IFERROR(__xludf.DUMMYFUNCTION("INDEX(FILTER($P161:$AL161, $P161:$AL161 &lt;&gt; """"), 2)"),"Employer Branding")</f>
        <v>Employer Branding</v>
      </c>
      <c r="I161" s="106" t="str">
        <f ca="1">IFERROR(__xludf.DUMMYFUNCTION("INDEX(FILTER($P161:$AL161, $P161:$AL161 &lt;&gt; """"), 3)"),"AI Applications in Marketing (B)")</f>
        <v>AI Applications in Marketing (B)</v>
      </c>
      <c r="J161" s="106" t="str">
        <f ca="1">IFERROR(__xludf.DUMMYFUNCTION("IFERROR(INDEX(FILTER($P161:$AL161, $P161:$AL161 &lt;&gt; """"), 4),)"),"")</f>
        <v/>
      </c>
      <c r="K161" s="106" t="str">
        <f ca="1">IFERROR(__xludf.DUMMYFUNCTION("IFERROR(INDEX(FILTER($P161:$AL161, $P161:$AL161 &lt;&gt; """"), 5),)"),"")</f>
        <v/>
      </c>
      <c r="L161" s="107"/>
      <c r="M161" s="107"/>
      <c r="N161" s="107"/>
      <c r="O161" s="107"/>
      <c r="P161" s="132" t="str">
        <f>IF(COUNTIF('Fintech-A'!$A:$A, $C161), P$1, "")</f>
        <v/>
      </c>
      <c r="Q161" s="132" t="str">
        <f>IF(COUNTIF('Fintech-B'!$A:$A, $C161), Q$1, "")</f>
        <v/>
      </c>
      <c r="R161" s="132" t="str">
        <f>IF(COUNTIF('BEDM-A'!$A:$A, $C161), R$1, "")</f>
        <v/>
      </c>
      <c r="S161" s="132" t="str">
        <f>IF(COUNTIF('BEDM-B'!$A:$A, $C161), S$1, "")</f>
        <v/>
      </c>
      <c r="T161" s="132" t="str">
        <f>IF(COUNTIF('Art-A'!$A:$A, $C161), T$1, "")</f>
        <v/>
      </c>
      <c r="U161" s="132" t="str">
        <f>IF(COUNTIF('Art-B'!$A:$A, $C161), U$1, "")</f>
        <v/>
      </c>
      <c r="V161" s="132" t="str">
        <f>IF(COUNTIF('WH-A'!$A:$A, $C161), V$1, "")</f>
        <v>Workplace Happiness: Science &amp; Practice (A)</v>
      </c>
      <c r="W161" s="132" t="str">
        <f>IF(COUNTIF('WH-B'!$A:$A, $C161), W$1, "")</f>
        <v/>
      </c>
      <c r="X161" s="132" t="str">
        <f>IF(COUNTIF(LETV!$A:$A, $C161), X$1, "")</f>
        <v/>
      </c>
      <c r="Y161" s="132" t="str">
        <f>IF(COUNTIF('Film&amp;Firm-A'!$A:$A, $C161), Y$1, "")</f>
        <v/>
      </c>
      <c r="Z161" s="132" t="str">
        <f>IF(COUNTIF('Film&amp;Firm-B'!$A:$A, $C161), Z$1, "")</f>
        <v/>
      </c>
      <c r="AA161" s="132" t="str">
        <f>IF(COUNTIF(SHRM!$A:$A, $C161), AA$1, "")</f>
        <v/>
      </c>
      <c r="AB161" s="132" t="str">
        <f>IF(COUNTIF('SCM-A'!$A:$A, $C161), AB$1, "")</f>
        <v/>
      </c>
      <c r="AC161" s="132" t="str">
        <f>IF(COUNTIF('SCM-B'!$A:$A, $C161), AC$1, "")</f>
        <v/>
      </c>
      <c r="AD161" s="132" t="str">
        <f>IF(COUNTIF(AIS!$A:$A, $C161), AD$1, "")</f>
        <v/>
      </c>
      <c r="AE161" s="132" t="str">
        <f>IF(COUNTIF(EB!$A:$A, $C161), AE$1, "")</f>
        <v>Employer Branding</v>
      </c>
      <c r="AF161" s="132" t="str">
        <f>IF(COUNTIF('AIAM-A'!$A:$A, $C161), AF$1, "")</f>
        <v/>
      </c>
      <c r="AG161" s="132" t="str">
        <f>IF(COUNTIF('AIAM-B'!$A:$A, $C161), AG$1, "")</f>
        <v>AI Applications in Marketing (B)</v>
      </c>
      <c r="AH161" s="132" t="str">
        <f>IF(COUNTIF('SA-A'!$A:$A, $C161), AH$1, "")</f>
        <v/>
      </c>
      <c r="AI161" s="132" t="str">
        <f>IF(COUNTIF('SA-B'!$A:$A, $C161), AI$1, "")</f>
        <v/>
      </c>
      <c r="AJ161" s="132" t="str">
        <f>IF(COUNTIF(CSM!$A:$A, $C161), AJ$1, "")</f>
        <v/>
      </c>
      <c r="AK161" s="132" t="str">
        <f>IF(COUNTIF(EM!$A:$A, $C161), AK$1, "")</f>
        <v/>
      </c>
      <c r="AL161" s="132" t="str">
        <f>IF(COUNTIF(I4TS!$A:$A, $C161), AL$1, "")</f>
        <v/>
      </c>
    </row>
    <row r="162" spans="1:38" ht="13">
      <c r="A162" s="131">
        <v>161</v>
      </c>
      <c r="B162" s="131" t="s">
        <v>734</v>
      </c>
      <c r="C162" s="131" t="s">
        <v>813</v>
      </c>
      <c r="D162" s="106" t="s">
        <v>814</v>
      </c>
      <c r="E162" s="106" t="s">
        <v>815</v>
      </c>
      <c r="F162" s="131">
        <f t="shared" ca="1" si="0"/>
        <v>5</v>
      </c>
      <c r="G162" s="106" t="str">
        <f ca="1">IFERROR(__xludf.DUMMYFUNCTION("INDEX(FILTER($P162:$AL162, $P162:$AL162 &lt;&gt; """"), 1)"),"Strategic Career Management (B)")</f>
        <v>Strategic Career Management (B)</v>
      </c>
      <c r="H162" s="106" t="str">
        <f ca="1">IFERROR(__xludf.DUMMYFUNCTION("INDEX(FILTER($P162:$AL162, $P162:$AL162 &lt;&gt; """"), 2)"),"AI Applications in Marketing (B)")</f>
        <v>AI Applications in Marketing (B)</v>
      </c>
      <c r="I162" s="106" t="str">
        <f ca="1">IFERROR(__xludf.DUMMYFUNCTION("INDEX(FILTER($P162:$AL162, $P162:$AL162 &lt;&gt; """"), 3)"),"SPORTS ANALYTICS (B)")</f>
        <v>SPORTS ANALYTICS (B)</v>
      </c>
      <c r="J162" s="106" t="str">
        <f ca="1">IFERROR(__xludf.DUMMYFUNCTION("IFERROR(INDEX(FILTER($P162:$AL162, $P162:$AL162 &lt;&gt; """"), 4),)"),"Customer Success Management")</f>
        <v>Customer Success Management</v>
      </c>
      <c r="K162" s="106" t="str">
        <f ca="1">IFERROR(__xludf.DUMMYFUNCTION("IFERROR(INDEX(FILTER($P162:$AL162, $P162:$AL162 &lt;&gt; """"), 5),)"),"Industry 4.0 in Transport Sector")</f>
        <v>Industry 4.0 in Transport Sector</v>
      </c>
      <c r="L162" s="107"/>
      <c r="M162" s="107"/>
      <c r="N162" s="107"/>
      <c r="O162" s="107"/>
      <c r="P162" s="132" t="str">
        <f>IF(COUNTIF('Fintech-A'!$A:$A, $C162), P$1, "")</f>
        <v/>
      </c>
      <c r="Q162" s="132" t="str">
        <f>IF(COUNTIF('Fintech-B'!$A:$A, $C162), Q$1, "")</f>
        <v/>
      </c>
      <c r="R162" s="132" t="str">
        <f>IF(COUNTIF('BEDM-A'!$A:$A, $C162), R$1, "")</f>
        <v/>
      </c>
      <c r="S162" s="132" t="str">
        <f>IF(COUNTIF('BEDM-B'!$A:$A, $C162), S$1, "")</f>
        <v/>
      </c>
      <c r="T162" s="132" t="str">
        <f>IF(COUNTIF('Art-A'!$A:$A, $C162), T$1, "")</f>
        <v/>
      </c>
      <c r="U162" s="132" t="str">
        <f>IF(COUNTIF('Art-B'!$A:$A, $C162), U$1, "")</f>
        <v/>
      </c>
      <c r="V162" s="132" t="str">
        <f>IF(COUNTIF('WH-A'!$A:$A, $C162), V$1, "")</f>
        <v/>
      </c>
      <c r="W162" s="132" t="str">
        <f>IF(COUNTIF('WH-B'!$A:$A, $C162), W$1, "")</f>
        <v/>
      </c>
      <c r="X162" s="132" t="str">
        <f>IF(COUNTIF(LETV!$A:$A, $C162), X$1, "")</f>
        <v/>
      </c>
      <c r="Y162" s="132" t="str">
        <f>IF(COUNTIF('Film&amp;Firm-A'!$A:$A, $C162), Y$1, "")</f>
        <v/>
      </c>
      <c r="Z162" s="132" t="str">
        <f>IF(COUNTIF('Film&amp;Firm-B'!$A:$A, $C162), Z$1, "")</f>
        <v/>
      </c>
      <c r="AA162" s="132" t="str">
        <f>IF(COUNTIF(SHRM!$A:$A, $C162), AA$1, "")</f>
        <v/>
      </c>
      <c r="AB162" s="132" t="str">
        <f>IF(COUNTIF('SCM-A'!$A:$A, $C162), AB$1, "")</f>
        <v/>
      </c>
      <c r="AC162" s="132" t="str">
        <f>IF(COUNTIF('SCM-B'!$A:$A, $C162), AC$1, "")</f>
        <v>Strategic Career Management (B)</v>
      </c>
      <c r="AD162" s="132" t="str">
        <f>IF(COUNTIF(AIS!$A:$A, $C162), AD$1, "")</f>
        <v/>
      </c>
      <c r="AE162" s="132" t="str">
        <f>IF(COUNTIF(EB!$A:$A, $C162), AE$1, "")</f>
        <v/>
      </c>
      <c r="AF162" s="132" t="str">
        <f>IF(COUNTIF('AIAM-A'!$A:$A, $C162), AF$1, "")</f>
        <v/>
      </c>
      <c r="AG162" s="132" t="str">
        <f>IF(COUNTIF('AIAM-B'!$A:$A, $C162), AG$1, "")</f>
        <v>AI Applications in Marketing (B)</v>
      </c>
      <c r="AH162" s="132" t="str">
        <f>IF(COUNTIF('SA-A'!$A:$A, $C162), AH$1, "")</f>
        <v/>
      </c>
      <c r="AI162" s="132" t="str">
        <f>IF(COUNTIF('SA-B'!$A:$A, $C162), AI$1, "")</f>
        <v>SPORTS ANALYTICS (B)</v>
      </c>
      <c r="AJ162" s="132" t="str">
        <f>IF(COUNTIF(CSM!$A:$A, $C162), AJ$1, "")</f>
        <v>Customer Success Management</v>
      </c>
      <c r="AK162" s="132" t="str">
        <f>IF(COUNTIF(EM!$A:$A, $C162), AK$1, "")</f>
        <v/>
      </c>
      <c r="AL162" s="132" t="str">
        <f>IF(COUNTIF(I4TS!$A:$A, $C162), AL$1, "")</f>
        <v>Industry 4.0 in Transport Sector</v>
      </c>
    </row>
    <row r="163" spans="1:38" ht="13">
      <c r="A163" s="131">
        <v>162</v>
      </c>
      <c r="B163" s="131" t="s">
        <v>734</v>
      </c>
      <c r="C163" s="131" t="s">
        <v>816</v>
      </c>
      <c r="D163" s="106" t="s">
        <v>817</v>
      </c>
      <c r="E163" s="106" t="s">
        <v>818</v>
      </c>
      <c r="F163" s="131">
        <f t="shared" ca="1" si="0"/>
        <v>5</v>
      </c>
      <c r="G163" s="106" t="str">
        <f ca="1">IFERROR(__xludf.DUMMYFUNCTION("INDEX(FILTER($P163:$AL163, $P163:$AL163 &lt;&gt; """"), 1)"),"Leadership Excellence Through Values : Wisdom from the Mahabharata")</f>
        <v>Leadership Excellence Through Values : Wisdom from the Mahabharata</v>
      </c>
      <c r="H163" s="106" t="str">
        <f ca="1">IFERROR(__xludf.DUMMYFUNCTION("INDEX(FILTER($P163:$AL163, $P163:$AL163 &lt;&gt; """"), 2)"),"SPORTS ANALYTICS (B)")</f>
        <v>SPORTS ANALYTICS (B)</v>
      </c>
      <c r="I163" s="106" t="str">
        <f ca="1">IFERROR(__xludf.DUMMYFUNCTION("INDEX(FILTER($P163:$AL163, $P163:$AL163 &lt;&gt; """"), 3)"),"Industry 4.0 in Transport Sector")</f>
        <v>Industry 4.0 in Transport Sector</v>
      </c>
      <c r="J163" s="106" t="str">
        <f ca="1">IFERROR(__xludf.DUMMYFUNCTION("IFERROR(INDEX(FILTER($P163:$AL163, $P163:$AL163 &lt;&gt; """"), 4),)"),"")</f>
        <v/>
      </c>
      <c r="K163" s="106" t="str">
        <f ca="1">IFERROR(__xludf.DUMMYFUNCTION("IFERROR(INDEX(FILTER($P163:$AL163, $P163:$AL163 &lt;&gt; """"), 5),)"),"")</f>
        <v/>
      </c>
      <c r="L163" s="107"/>
      <c r="M163" s="107"/>
      <c r="N163" s="107"/>
      <c r="O163" s="107"/>
      <c r="P163" s="132" t="str">
        <f>IF(COUNTIF('Fintech-A'!$A:$A, $C163), P$1, "")</f>
        <v/>
      </c>
      <c r="Q163" s="132" t="str">
        <f>IF(COUNTIF('Fintech-B'!$A:$A, $C163), Q$1, "")</f>
        <v/>
      </c>
      <c r="R163" s="132" t="str">
        <f>IF(COUNTIF('BEDM-A'!$A:$A, $C163), R$1, "")</f>
        <v/>
      </c>
      <c r="S163" s="132" t="str">
        <f>IF(COUNTIF('BEDM-B'!$A:$A, $C163), S$1, "")</f>
        <v/>
      </c>
      <c r="T163" s="132" t="str">
        <f>IF(COUNTIF('Art-A'!$A:$A, $C163), T$1, "")</f>
        <v/>
      </c>
      <c r="U163" s="132" t="str">
        <f>IF(COUNTIF('Art-B'!$A:$A, $C163), U$1, "")</f>
        <v/>
      </c>
      <c r="V163" s="132" t="str">
        <f>IF(COUNTIF('WH-A'!$A:$A, $C163), V$1, "")</f>
        <v/>
      </c>
      <c r="W163" s="132" t="str">
        <f>IF(COUNTIF('WH-B'!$A:$A, $C163), W$1, "")</f>
        <v/>
      </c>
      <c r="X163" s="132" t="str">
        <f>IF(COUNTIF(LETV!$A:$A, $C163), X$1, "")</f>
        <v>Leadership Excellence Through Values : Wisdom from the Mahabharata</v>
      </c>
      <c r="Y163" s="132" t="str">
        <f>IF(COUNTIF('Film&amp;Firm-A'!$A:$A, $C163), Y$1, "")</f>
        <v/>
      </c>
      <c r="Z163" s="132" t="str">
        <f>IF(COUNTIF('Film&amp;Firm-B'!$A:$A, $C163), Z$1, "")</f>
        <v/>
      </c>
      <c r="AA163" s="132" t="str">
        <f>IF(COUNTIF(SHRM!$A:$A, $C163), AA$1, "")</f>
        <v/>
      </c>
      <c r="AB163" s="132" t="str">
        <f>IF(COUNTIF('SCM-A'!$A:$A, $C163), AB$1, "")</f>
        <v/>
      </c>
      <c r="AC163" s="132" t="str">
        <f>IF(COUNTIF('SCM-B'!$A:$A, $C163), AC$1, "")</f>
        <v/>
      </c>
      <c r="AD163" s="132" t="str">
        <f>IF(COUNTIF(AIS!$A:$A, $C163), AD$1, "")</f>
        <v/>
      </c>
      <c r="AE163" s="132" t="str">
        <f>IF(COUNTIF(EB!$A:$A, $C163), AE$1, "")</f>
        <v/>
      </c>
      <c r="AF163" s="132" t="str">
        <f>IF(COUNTIF('AIAM-A'!$A:$A, $C163), AF$1, "")</f>
        <v/>
      </c>
      <c r="AG163" s="132" t="str">
        <f>IF(COUNTIF('AIAM-B'!$A:$A, $C163), AG$1, "")</f>
        <v/>
      </c>
      <c r="AH163" s="132" t="str">
        <f>IF(COUNTIF('SA-A'!$A:$A, $C163), AH$1, "")</f>
        <v/>
      </c>
      <c r="AI163" s="132" t="str">
        <f>IF(COUNTIF('SA-B'!$A:$A, $C163), AI$1, "")</f>
        <v>SPORTS ANALYTICS (B)</v>
      </c>
      <c r="AJ163" s="132" t="str">
        <f>IF(COUNTIF(CSM!$A:$A, $C163), AJ$1, "")</f>
        <v/>
      </c>
      <c r="AK163" s="132" t="str">
        <f>IF(COUNTIF(EM!$A:$A, $C163), AK$1, "")</f>
        <v/>
      </c>
      <c r="AL163" s="132" t="str">
        <f>IF(COUNTIF(I4TS!$A:$A, $C163), AL$1, "")</f>
        <v>Industry 4.0 in Transport Sector</v>
      </c>
    </row>
    <row r="164" spans="1:38" ht="13">
      <c r="A164" s="131">
        <v>163</v>
      </c>
      <c r="B164" s="131" t="s">
        <v>734</v>
      </c>
      <c r="C164" s="131" t="s">
        <v>819</v>
      </c>
      <c r="D164" s="106" t="s">
        <v>820</v>
      </c>
      <c r="E164" s="106" t="s">
        <v>821</v>
      </c>
      <c r="F164" s="131">
        <f t="shared" ca="1" si="0"/>
        <v>5</v>
      </c>
      <c r="G164" s="106" t="str">
        <f ca="1">IFERROR(__xludf.DUMMYFUNCTION("INDEX(FILTER($P164:$AL164, $P164:$AL164 &lt;&gt; """"), 1)"),"Workplace Happiness: Science &amp; Practice (A)")</f>
        <v>Workplace Happiness: Science &amp; Practice (A)</v>
      </c>
      <c r="H164" s="106" t="str">
        <f ca="1">IFERROR(__xludf.DUMMYFUNCTION("INDEX(FILTER($P164:$AL164, $P164:$AL164 &lt;&gt; """"), 2)"),"Strategic Career Management (A)")</f>
        <v>Strategic Career Management (A)</v>
      </c>
      <c r="I164" s="106" t="str">
        <f ca="1">IFERROR(__xludf.DUMMYFUNCTION("INDEX(FILTER($P164:$AL164, $P164:$AL164 &lt;&gt; """"), 3)"),"AI Applications in Marketing (A)")</f>
        <v>AI Applications in Marketing (A)</v>
      </c>
      <c r="J164" s="106" t="str">
        <f ca="1">IFERROR(__xludf.DUMMYFUNCTION("IFERROR(INDEX(FILTER($P164:$AL164, $P164:$AL164 &lt;&gt; """"), 4),)"),"")</f>
        <v/>
      </c>
      <c r="K164" s="106" t="str">
        <f ca="1">IFERROR(__xludf.DUMMYFUNCTION("IFERROR(INDEX(FILTER($P164:$AL164, $P164:$AL164 &lt;&gt; """"), 5),)"),"")</f>
        <v/>
      </c>
      <c r="L164" s="107"/>
      <c r="M164" s="107"/>
      <c r="N164" s="107"/>
      <c r="O164" s="107"/>
      <c r="P164" s="132" t="str">
        <f>IF(COUNTIF('Fintech-A'!$A:$A, $C164), P$1, "")</f>
        <v/>
      </c>
      <c r="Q164" s="132" t="str">
        <f>IF(COUNTIF('Fintech-B'!$A:$A, $C164), Q$1, "")</f>
        <v/>
      </c>
      <c r="R164" s="132" t="str">
        <f>IF(COUNTIF('BEDM-A'!$A:$A, $C164), R$1, "")</f>
        <v/>
      </c>
      <c r="S164" s="132" t="str">
        <f>IF(COUNTIF('BEDM-B'!$A:$A, $C164), S$1, "")</f>
        <v/>
      </c>
      <c r="T164" s="132" t="str">
        <f>IF(COUNTIF('Art-A'!$A:$A, $C164), T$1, "")</f>
        <v/>
      </c>
      <c r="U164" s="132" t="str">
        <f>IF(COUNTIF('Art-B'!$A:$A, $C164), U$1, "")</f>
        <v/>
      </c>
      <c r="V164" s="132" t="str">
        <f>IF(COUNTIF('WH-A'!$A:$A, $C164), V$1, "")</f>
        <v>Workplace Happiness: Science &amp; Practice (A)</v>
      </c>
      <c r="W164" s="132" t="str">
        <f>IF(COUNTIF('WH-B'!$A:$A, $C164), W$1, "")</f>
        <v/>
      </c>
      <c r="X164" s="132" t="str">
        <f>IF(COUNTIF(LETV!$A:$A, $C164), X$1, "")</f>
        <v/>
      </c>
      <c r="Y164" s="132" t="str">
        <f>IF(COUNTIF('Film&amp;Firm-A'!$A:$A, $C164), Y$1, "")</f>
        <v/>
      </c>
      <c r="Z164" s="132" t="str">
        <f>IF(COUNTIF('Film&amp;Firm-B'!$A:$A, $C164), Z$1, "")</f>
        <v/>
      </c>
      <c r="AA164" s="132" t="str">
        <f>IF(COUNTIF(SHRM!$A:$A, $C164), AA$1, "")</f>
        <v/>
      </c>
      <c r="AB164" s="132" t="str">
        <f>IF(COUNTIF('SCM-A'!$A:$A, $C164), AB$1, "")</f>
        <v>Strategic Career Management (A)</v>
      </c>
      <c r="AC164" s="132" t="str">
        <f>IF(COUNTIF('SCM-B'!$A:$A, $C164), AC$1, "")</f>
        <v/>
      </c>
      <c r="AD164" s="132" t="str">
        <f>IF(COUNTIF(AIS!$A:$A, $C164), AD$1, "")</f>
        <v/>
      </c>
      <c r="AE164" s="132" t="str">
        <f>IF(COUNTIF(EB!$A:$A, $C164), AE$1, "")</f>
        <v/>
      </c>
      <c r="AF164" s="132" t="str">
        <f>IF(COUNTIF('AIAM-A'!$A:$A, $C164), AF$1, "")</f>
        <v>AI Applications in Marketing (A)</v>
      </c>
      <c r="AG164" s="132" t="str">
        <f>IF(COUNTIF('AIAM-B'!$A:$A, $C164), AG$1, "")</f>
        <v/>
      </c>
      <c r="AH164" s="132" t="str">
        <f>IF(COUNTIF('SA-A'!$A:$A, $C164), AH$1, "")</f>
        <v/>
      </c>
      <c r="AI164" s="132" t="str">
        <f>IF(COUNTIF('SA-B'!$A:$A, $C164), AI$1, "")</f>
        <v/>
      </c>
      <c r="AJ164" s="132" t="str">
        <f>IF(COUNTIF(CSM!$A:$A, $C164), AJ$1, "")</f>
        <v/>
      </c>
      <c r="AK164" s="132" t="str">
        <f>IF(COUNTIF(EM!$A:$A, $C164), AK$1, "")</f>
        <v/>
      </c>
      <c r="AL164" s="132" t="str">
        <f>IF(COUNTIF(I4TS!$A:$A, $C164), AL$1, "")</f>
        <v/>
      </c>
    </row>
    <row r="165" spans="1:38" ht="13">
      <c r="A165" s="131">
        <v>164</v>
      </c>
      <c r="B165" s="131" t="s">
        <v>734</v>
      </c>
      <c r="C165" s="131" t="s">
        <v>278</v>
      </c>
      <c r="D165" s="106" t="s">
        <v>822</v>
      </c>
      <c r="E165" s="106" t="s">
        <v>823</v>
      </c>
      <c r="F165" s="131">
        <f t="shared" ca="1" si="0"/>
        <v>5</v>
      </c>
      <c r="G165" s="106" t="str">
        <f ca="1">IFERROR(__xludf.DUMMYFUNCTION("INDEX(FILTER($P165:$AL165, $P165:$AL165 &lt;&gt; """"), 1)"),"Fintech (Digital Transformation in Finance) (A)")</f>
        <v>Fintech (Digital Transformation in Finance) (A)</v>
      </c>
      <c r="H165" s="106" t="str">
        <f ca="1">IFERROR(__xludf.DUMMYFUNCTION("INDEX(FILTER($P165:$AL165, $P165:$AL165 &lt;&gt; """"), 2)"),"Behavioural Economics and Decision-Making (A)")</f>
        <v>Behavioural Economics and Decision-Making (A)</v>
      </c>
      <c r="I165" s="106" t="str">
        <f ca="1">IFERROR(__xludf.DUMMYFUNCTION("INDEX(FILTER($P165:$AL165, $P165:$AL165 &lt;&gt; """"), 3)"),"AI AND  STRATEGY")</f>
        <v>AI AND  STRATEGY</v>
      </c>
      <c r="J165" s="106" t="str">
        <f ca="1">IFERROR(__xludf.DUMMYFUNCTION("IFERROR(INDEX(FILTER($P165:$AL165, $P165:$AL165 &lt;&gt; """"), 4),)"),"")</f>
        <v/>
      </c>
      <c r="K165" s="106" t="str">
        <f ca="1">IFERROR(__xludf.DUMMYFUNCTION("IFERROR(INDEX(FILTER($P165:$AL165, $P165:$AL165 &lt;&gt; """"), 5),)"),"")</f>
        <v/>
      </c>
      <c r="L165" s="107"/>
      <c r="M165" s="107"/>
      <c r="N165" s="107"/>
      <c r="O165" s="107"/>
      <c r="P165" s="132" t="str">
        <f>IF(COUNTIF('Fintech-A'!$A:$A, $C165), P$1, "")</f>
        <v>Fintech (Digital Transformation in Finance) (A)</v>
      </c>
      <c r="Q165" s="132" t="str">
        <f>IF(COUNTIF('Fintech-B'!$A:$A, $C165), Q$1, "")</f>
        <v/>
      </c>
      <c r="R165" s="132" t="str">
        <f>IF(COUNTIF('BEDM-A'!$A:$A, $C165), R$1, "")</f>
        <v>Behavioural Economics and Decision-Making (A)</v>
      </c>
      <c r="S165" s="132" t="str">
        <f>IF(COUNTIF('BEDM-B'!$A:$A, $C165), S$1, "")</f>
        <v/>
      </c>
      <c r="T165" s="132" t="str">
        <f>IF(COUNTIF('Art-A'!$A:$A, $C165), T$1, "")</f>
        <v/>
      </c>
      <c r="U165" s="132" t="str">
        <f>IF(COUNTIF('Art-B'!$A:$A, $C165), U$1, "")</f>
        <v/>
      </c>
      <c r="V165" s="132" t="str">
        <f>IF(COUNTIF('WH-A'!$A:$A, $C165), V$1, "")</f>
        <v/>
      </c>
      <c r="W165" s="132" t="str">
        <f>IF(COUNTIF('WH-B'!$A:$A, $C165), W$1, "")</f>
        <v/>
      </c>
      <c r="X165" s="132" t="str">
        <f>IF(COUNTIF(LETV!$A:$A, $C165), X$1, "")</f>
        <v/>
      </c>
      <c r="Y165" s="132" t="str">
        <f>IF(COUNTIF('Film&amp;Firm-A'!$A:$A, $C165), Y$1, "")</f>
        <v/>
      </c>
      <c r="Z165" s="132" t="str">
        <f>IF(COUNTIF('Film&amp;Firm-B'!$A:$A, $C165), Z$1, "")</f>
        <v/>
      </c>
      <c r="AA165" s="132" t="str">
        <f>IF(COUNTIF(SHRM!$A:$A, $C165), AA$1, "")</f>
        <v/>
      </c>
      <c r="AB165" s="132" t="str">
        <f>IF(COUNTIF('SCM-A'!$A:$A, $C165), AB$1, "")</f>
        <v/>
      </c>
      <c r="AC165" s="132" t="str">
        <f>IF(COUNTIF('SCM-B'!$A:$A, $C165), AC$1, "")</f>
        <v/>
      </c>
      <c r="AD165" s="132" t="str">
        <f>IF(COUNTIF(AIS!$A:$A, $C165), AD$1, "")</f>
        <v>AI AND  STRATEGY</v>
      </c>
      <c r="AE165" s="132" t="str">
        <f>IF(COUNTIF(EB!$A:$A, $C165), AE$1, "")</f>
        <v/>
      </c>
      <c r="AF165" s="132" t="str">
        <f>IF(COUNTIF('AIAM-A'!$A:$A, $C165), AF$1, "")</f>
        <v/>
      </c>
      <c r="AG165" s="132" t="str">
        <f>IF(COUNTIF('AIAM-B'!$A:$A, $C165), AG$1, "")</f>
        <v/>
      </c>
      <c r="AH165" s="132" t="str">
        <f>IF(COUNTIF('SA-A'!$A:$A, $C165), AH$1, "")</f>
        <v/>
      </c>
      <c r="AI165" s="132" t="str">
        <f>IF(COUNTIF('SA-B'!$A:$A, $C165), AI$1, "")</f>
        <v/>
      </c>
      <c r="AJ165" s="132" t="str">
        <f>IF(COUNTIF(CSM!$A:$A, $C165), AJ$1, "")</f>
        <v/>
      </c>
      <c r="AK165" s="132" t="str">
        <f>IF(COUNTIF(EM!$A:$A, $C165), AK$1, "")</f>
        <v/>
      </c>
      <c r="AL165" s="132" t="str">
        <f>IF(COUNTIF(I4TS!$A:$A, $C165), AL$1, "")</f>
        <v/>
      </c>
    </row>
    <row r="166" spans="1:38" ht="13">
      <c r="A166" s="131">
        <v>165</v>
      </c>
      <c r="B166" s="131" t="s">
        <v>734</v>
      </c>
      <c r="C166" s="131" t="s">
        <v>279</v>
      </c>
      <c r="D166" s="106" t="s">
        <v>824</v>
      </c>
      <c r="E166" s="106" t="s">
        <v>825</v>
      </c>
      <c r="F166" s="131">
        <f t="shared" ca="1" si="0"/>
        <v>5</v>
      </c>
      <c r="G166" s="106" t="str">
        <f ca="1">IFERROR(__xludf.DUMMYFUNCTION("INDEX(FILTER($P166:$AL166, $P166:$AL166 &lt;&gt; """"), 1)"),"Workplace Happiness: Science &amp; Practice (A)")</f>
        <v>Workplace Happiness: Science &amp; Practice (A)</v>
      </c>
      <c r="H166" s="106" t="str">
        <f ca="1">IFERROR(__xludf.DUMMYFUNCTION("INDEX(FILTER($P166:$AL166, $P166:$AL166 &lt;&gt; """"), 2)"),"AI Applications in Marketing (A)")</f>
        <v>AI Applications in Marketing (A)</v>
      </c>
      <c r="I166" s="106" t="str">
        <f ca="1">IFERROR(__xludf.DUMMYFUNCTION("INDEX(FILTER($P166:$AL166, $P166:$AL166 &lt;&gt; """"), 3)"),"Entrepreneurial Marketing")</f>
        <v>Entrepreneurial Marketing</v>
      </c>
      <c r="J166" s="106" t="str">
        <f ca="1">IFERROR(__xludf.DUMMYFUNCTION("IFERROR(INDEX(FILTER($P166:$AL166, $P166:$AL166 &lt;&gt; """"), 4),)"),"")</f>
        <v/>
      </c>
      <c r="K166" s="106" t="str">
        <f ca="1">IFERROR(__xludf.DUMMYFUNCTION("IFERROR(INDEX(FILTER($P166:$AL166, $P166:$AL166 &lt;&gt; """"), 5),)"),"")</f>
        <v/>
      </c>
      <c r="L166" s="107"/>
      <c r="M166" s="107"/>
      <c r="N166" s="107"/>
      <c r="O166" s="107"/>
      <c r="P166" s="132" t="str">
        <f>IF(COUNTIF('Fintech-A'!$A:$A, $C166), P$1, "")</f>
        <v/>
      </c>
      <c r="Q166" s="132" t="str">
        <f>IF(COUNTIF('Fintech-B'!$A:$A, $C166), Q$1, "")</f>
        <v/>
      </c>
      <c r="R166" s="132" t="str">
        <f>IF(COUNTIF('BEDM-A'!$A:$A, $C166), R$1, "")</f>
        <v/>
      </c>
      <c r="S166" s="132" t="str">
        <f>IF(COUNTIF('BEDM-B'!$A:$A, $C166), S$1, "")</f>
        <v/>
      </c>
      <c r="T166" s="132" t="str">
        <f>IF(COUNTIF('Art-A'!$A:$A, $C166), T$1, "")</f>
        <v/>
      </c>
      <c r="U166" s="132" t="str">
        <f>IF(COUNTIF('Art-B'!$A:$A, $C166), U$1, "")</f>
        <v/>
      </c>
      <c r="V166" s="132" t="str">
        <f>IF(COUNTIF('WH-A'!$A:$A, $C166), V$1, "")</f>
        <v>Workplace Happiness: Science &amp; Practice (A)</v>
      </c>
      <c r="W166" s="132" t="str">
        <f>IF(COUNTIF('WH-B'!$A:$A, $C166), W$1, "")</f>
        <v/>
      </c>
      <c r="X166" s="132" t="str">
        <f>IF(COUNTIF(LETV!$A:$A, $C166), X$1, "")</f>
        <v/>
      </c>
      <c r="Y166" s="132" t="str">
        <f>IF(COUNTIF('Film&amp;Firm-A'!$A:$A, $C166), Y$1, "")</f>
        <v/>
      </c>
      <c r="Z166" s="132" t="str">
        <f>IF(COUNTIF('Film&amp;Firm-B'!$A:$A, $C166), Z$1, "")</f>
        <v/>
      </c>
      <c r="AA166" s="132" t="str">
        <f>IF(COUNTIF(SHRM!$A:$A, $C166), AA$1, "")</f>
        <v/>
      </c>
      <c r="AB166" s="132" t="str">
        <f>IF(COUNTIF('SCM-A'!$A:$A, $C166), AB$1, "")</f>
        <v/>
      </c>
      <c r="AC166" s="132" t="str">
        <f>IF(COUNTIF('SCM-B'!$A:$A, $C166), AC$1, "")</f>
        <v/>
      </c>
      <c r="AD166" s="132" t="str">
        <f>IF(COUNTIF(AIS!$A:$A, $C166), AD$1, "")</f>
        <v/>
      </c>
      <c r="AE166" s="132" t="str">
        <f>IF(COUNTIF(EB!$A:$A, $C166), AE$1, "")</f>
        <v/>
      </c>
      <c r="AF166" s="132" t="str">
        <f>IF(COUNTIF('AIAM-A'!$A:$A, $C166), AF$1, "")</f>
        <v>AI Applications in Marketing (A)</v>
      </c>
      <c r="AG166" s="132" t="str">
        <f>IF(COUNTIF('AIAM-B'!$A:$A, $C166), AG$1, "")</f>
        <v/>
      </c>
      <c r="AH166" s="132" t="str">
        <f>IF(COUNTIF('SA-A'!$A:$A, $C166), AH$1, "")</f>
        <v/>
      </c>
      <c r="AI166" s="132" t="str">
        <f>IF(COUNTIF('SA-B'!$A:$A, $C166), AI$1, "")</f>
        <v/>
      </c>
      <c r="AJ166" s="132" t="str">
        <f>IF(COUNTIF(CSM!$A:$A, $C166), AJ$1, "")</f>
        <v/>
      </c>
      <c r="AK166" s="132" t="str">
        <f>IF(COUNTIF(EM!$A:$A, $C166), AK$1, "")</f>
        <v>Entrepreneurial Marketing</v>
      </c>
      <c r="AL166" s="132" t="str">
        <f>IF(COUNTIF(I4TS!$A:$A, $C166), AL$1, "")</f>
        <v/>
      </c>
    </row>
    <row r="167" spans="1:38" ht="13">
      <c r="A167" s="131">
        <v>166</v>
      </c>
      <c r="B167" s="131" t="s">
        <v>734</v>
      </c>
      <c r="C167" s="131" t="s">
        <v>280</v>
      </c>
      <c r="D167" s="106" t="s">
        <v>826</v>
      </c>
      <c r="E167" s="106" t="s">
        <v>827</v>
      </c>
      <c r="F167" s="131">
        <f t="shared" ca="1" si="0"/>
        <v>5</v>
      </c>
      <c r="G167" s="106" t="str">
        <f ca="1">IFERROR(__xludf.DUMMYFUNCTION("INDEX(FILTER($P167:$AL167, $P167:$AL167 &lt;&gt; """"), 1)"),"Fintech (Digital Transformation in Finance) (B)")</f>
        <v>Fintech (Digital Transformation in Finance) (B)</v>
      </c>
      <c r="H167" s="106" t="str">
        <f ca="1">IFERROR(__xludf.DUMMYFUNCTION("INDEX(FILTER($P167:$AL167, $P167:$AL167 &lt;&gt; """"), 2)"),"Leadership Excellence Through Values : Wisdom from the Mahabharata")</f>
        <v>Leadership Excellence Through Values : Wisdom from the Mahabharata</v>
      </c>
      <c r="I167" s="106" t="str">
        <f ca="1">IFERROR(__xludf.DUMMYFUNCTION("INDEX(FILTER($P167:$AL167, $P167:$AL167 &lt;&gt; """"), 3)"),"Film &amp; the Firm: Visual Culture in Business Contexts (B)")</f>
        <v>Film &amp; the Firm: Visual Culture in Business Contexts (B)</v>
      </c>
      <c r="J167" s="106" t="str">
        <f ca="1">IFERROR(__xludf.DUMMYFUNCTION("IFERROR(INDEX(FILTER($P167:$AL167, $P167:$AL167 &lt;&gt; """"), 4),)"),"")</f>
        <v/>
      </c>
      <c r="K167" s="106" t="str">
        <f ca="1">IFERROR(__xludf.DUMMYFUNCTION("IFERROR(INDEX(FILTER($P167:$AL167, $P167:$AL167 &lt;&gt; """"), 5),)"),"")</f>
        <v/>
      </c>
      <c r="L167" s="107"/>
      <c r="M167" s="107"/>
      <c r="N167" s="107"/>
      <c r="O167" s="107"/>
      <c r="P167" s="132" t="str">
        <f>IF(COUNTIF('Fintech-A'!$A:$A, $C167), P$1, "")</f>
        <v/>
      </c>
      <c r="Q167" s="132" t="str">
        <f>IF(COUNTIF('Fintech-B'!$A:$A, $C167), Q$1, "")</f>
        <v>Fintech (Digital Transformation in Finance) (B)</v>
      </c>
      <c r="R167" s="132" t="str">
        <f>IF(COUNTIF('BEDM-A'!$A:$A, $C167), R$1, "")</f>
        <v/>
      </c>
      <c r="S167" s="132" t="str">
        <f>IF(COUNTIF('BEDM-B'!$A:$A, $C167), S$1, "")</f>
        <v/>
      </c>
      <c r="T167" s="132" t="str">
        <f>IF(COUNTIF('Art-A'!$A:$A, $C167), T$1, "")</f>
        <v/>
      </c>
      <c r="U167" s="132" t="str">
        <f>IF(COUNTIF('Art-B'!$A:$A, $C167), U$1, "")</f>
        <v/>
      </c>
      <c r="V167" s="132" t="str">
        <f>IF(COUNTIF('WH-A'!$A:$A, $C167), V$1, "")</f>
        <v/>
      </c>
      <c r="W167" s="132" t="str">
        <f>IF(COUNTIF('WH-B'!$A:$A, $C167), W$1, "")</f>
        <v/>
      </c>
      <c r="X167" s="132" t="str">
        <f>IF(COUNTIF(LETV!$A:$A, $C167), X$1, "")</f>
        <v>Leadership Excellence Through Values : Wisdom from the Mahabharata</v>
      </c>
      <c r="Y167" s="132" t="str">
        <f>IF(COUNTIF('Film&amp;Firm-A'!$A:$A, $C167), Y$1, "")</f>
        <v/>
      </c>
      <c r="Z167" s="132" t="str">
        <f>IF(COUNTIF('Film&amp;Firm-B'!$A:$A, $C167), Z$1, "")</f>
        <v>Film &amp; the Firm: Visual Culture in Business Contexts (B)</v>
      </c>
      <c r="AA167" s="132" t="str">
        <f>IF(COUNTIF(SHRM!$A:$A, $C167), AA$1, "")</f>
        <v/>
      </c>
      <c r="AB167" s="132" t="str">
        <f>IF(COUNTIF('SCM-A'!$A:$A, $C167), AB$1, "")</f>
        <v/>
      </c>
      <c r="AC167" s="132" t="str">
        <f>IF(COUNTIF('SCM-B'!$A:$A, $C167), AC$1, "")</f>
        <v/>
      </c>
      <c r="AD167" s="132" t="str">
        <f>IF(COUNTIF(AIS!$A:$A, $C167), AD$1, "")</f>
        <v/>
      </c>
      <c r="AE167" s="132" t="str">
        <f>IF(COUNTIF(EB!$A:$A, $C167), AE$1, "")</f>
        <v/>
      </c>
      <c r="AF167" s="132" t="str">
        <f>IF(COUNTIF('AIAM-A'!$A:$A, $C167), AF$1, "")</f>
        <v/>
      </c>
      <c r="AG167" s="132" t="str">
        <f>IF(COUNTIF('AIAM-B'!$A:$A, $C167), AG$1, "")</f>
        <v/>
      </c>
      <c r="AH167" s="132" t="str">
        <f>IF(COUNTIF('SA-A'!$A:$A, $C167), AH$1, "")</f>
        <v/>
      </c>
      <c r="AI167" s="132" t="str">
        <f>IF(COUNTIF('SA-B'!$A:$A, $C167), AI$1, "")</f>
        <v/>
      </c>
      <c r="AJ167" s="132" t="str">
        <f>IF(COUNTIF(CSM!$A:$A, $C167), AJ$1, "")</f>
        <v/>
      </c>
      <c r="AK167" s="132" t="str">
        <f>IF(COUNTIF(EM!$A:$A, $C167), AK$1, "")</f>
        <v/>
      </c>
      <c r="AL167" s="132" t="str">
        <f>IF(COUNTIF(I4TS!$A:$A, $C167), AL$1, "")</f>
        <v/>
      </c>
    </row>
    <row r="168" spans="1:38" ht="13">
      <c r="A168" s="131">
        <v>167</v>
      </c>
      <c r="B168" s="131" t="s">
        <v>734</v>
      </c>
      <c r="C168" s="131" t="s">
        <v>828</v>
      </c>
      <c r="D168" s="106" t="s">
        <v>829</v>
      </c>
      <c r="E168" s="106" t="s">
        <v>830</v>
      </c>
      <c r="F168" s="131">
        <f t="shared" ca="1" si="0"/>
        <v>5</v>
      </c>
      <c r="G168" s="106" t="str">
        <f ca="1">IFERROR(__xludf.DUMMYFUNCTION("INDEX(FILTER($P168:$AL168, $P168:$AL168 &lt;&gt; """"), 1)"),"Fintech (Digital Transformation in Finance) (A)")</f>
        <v>Fintech (Digital Transformation in Finance) (A)</v>
      </c>
      <c r="H168" s="106" t="str">
        <f ca="1">IFERROR(__xludf.DUMMYFUNCTION("INDEX(FILTER($P168:$AL168, $P168:$AL168 &lt;&gt; """"), 2)"),"The Art, Craft, and Science of Management: Learning through Classics and Best Collections (A)")</f>
        <v>The Art, Craft, and Science of Management: Learning through Classics and Best Collections (A)</v>
      </c>
      <c r="I168" s="106" t="str">
        <f ca="1">IFERROR(__xludf.DUMMYFUNCTION("INDEX(FILTER($P168:$AL168, $P168:$AL168 &lt;&gt; """"), 3)"),"AI AND  STRATEGY")</f>
        <v>AI AND  STRATEGY</v>
      </c>
      <c r="J168" s="106" t="str">
        <f ca="1">IFERROR(__xludf.DUMMYFUNCTION("IFERROR(INDEX(FILTER($P168:$AL168, $P168:$AL168 &lt;&gt; """"), 4),)"),"")</f>
        <v/>
      </c>
      <c r="K168" s="106" t="str">
        <f ca="1">IFERROR(__xludf.DUMMYFUNCTION("IFERROR(INDEX(FILTER($P168:$AL168, $P168:$AL168 &lt;&gt; """"), 5),)"),"")</f>
        <v/>
      </c>
      <c r="L168" s="107"/>
      <c r="M168" s="107"/>
      <c r="N168" s="107"/>
      <c r="O168" s="107"/>
      <c r="P168" s="132" t="str">
        <f>IF(COUNTIF('Fintech-A'!$A:$A, $C168), P$1, "")</f>
        <v>Fintech (Digital Transformation in Finance) (A)</v>
      </c>
      <c r="Q168" s="132" t="str">
        <f>IF(COUNTIF('Fintech-B'!$A:$A, $C168), Q$1, "")</f>
        <v/>
      </c>
      <c r="R168" s="132" t="str">
        <f>IF(COUNTIF('BEDM-A'!$A:$A, $C168), R$1, "")</f>
        <v/>
      </c>
      <c r="S168" s="132" t="str">
        <f>IF(COUNTIF('BEDM-B'!$A:$A, $C168), S$1, "")</f>
        <v/>
      </c>
      <c r="T168" s="132" t="str">
        <f>IF(COUNTIF('Art-A'!$A:$A, $C168), T$1, "")</f>
        <v>The Art, Craft, and Science of Management: Learning through Classics and Best Collections (A)</v>
      </c>
      <c r="U168" s="132" t="str">
        <f>IF(COUNTIF('Art-B'!$A:$A, $C168), U$1, "")</f>
        <v/>
      </c>
      <c r="V168" s="132" t="str">
        <f>IF(COUNTIF('WH-A'!$A:$A, $C168), V$1, "")</f>
        <v/>
      </c>
      <c r="W168" s="132" t="str">
        <f>IF(COUNTIF('WH-B'!$A:$A, $C168), W$1, "")</f>
        <v/>
      </c>
      <c r="X168" s="132" t="str">
        <f>IF(COUNTIF(LETV!$A:$A, $C168), X$1, "")</f>
        <v/>
      </c>
      <c r="Y168" s="132" t="str">
        <f>IF(COUNTIF('Film&amp;Firm-A'!$A:$A, $C168), Y$1, "")</f>
        <v/>
      </c>
      <c r="Z168" s="132" t="str">
        <f>IF(COUNTIF('Film&amp;Firm-B'!$A:$A, $C168), Z$1, "")</f>
        <v/>
      </c>
      <c r="AA168" s="132" t="str">
        <f>IF(COUNTIF(SHRM!$A:$A, $C168), AA$1, "")</f>
        <v/>
      </c>
      <c r="AB168" s="132" t="str">
        <f>IF(COUNTIF('SCM-A'!$A:$A, $C168), AB$1, "")</f>
        <v/>
      </c>
      <c r="AC168" s="132" t="str">
        <f>IF(COUNTIF('SCM-B'!$A:$A, $C168), AC$1, "")</f>
        <v/>
      </c>
      <c r="AD168" s="132" t="str">
        <f>IF(COUNTIF(AIS!$A:$A, $C168), AD$1, "")</f>
        <v>AI AND  STRATEGY</v>
      </c>
      <c r="AE168" s="132" t="str">
        <f>IF(COUNTIF(EB!$A:$A, $C168), AE$1, "")</f>
        <v/>
      </c>
      <c r="AF168" s="132" t="str">
        <f>IF(COUNTIF('AIAM-A'!$A:$A, $C168), AF$1, "")</f>
        <v/>
      </c>
      <c r="AG168" s="132" t="str">
        <f>IF(COUNTIF('AIAM-B'!$A:$A, $C168), AG$1, "")</f>
        <v/>
      </c>
      <c r="AH168" s="132" t="str">
        <f>IF(COUNTIF('SA-A'!$A:$A, $C168), AH$1, "")</f>
        <v/>
      </c>
      <c r="AI168" s="132" t="str">
        <f>IF(COUNTIF('SA-B'!$A:$A, $C168), AI$1, "")</f>
        <v/>
      </c>
      <c r="AJ168" s="132" t="str">
        <f>IF(COUNTIF(CSM!$A:$A, $C168), AJ$1, "")</f>
        <v/>
      </c>
      <c r="AK168" s="132" t="str">
        <f>IF(COUNTIF(EM!$A:$A, $C168), AK$1, "")</f>
        <v/>
      </c>
      <c r="AL168" s="132" t="str">
        <f>IF(COUNTIF(I4TS!$A:$A, $C168), AL$1, "")</f>
        <v/>
      </c>
    </row>
    <row r="169" spans="1:38" ht="13">
      <c r="A169" s="131">
        <v>168</v>
      </c>
      <c r="B169" s="131" t="s">
        <v>734</v>
      </c>
      <c r="C169" s="131" t="s">
        <v>831</v>
      </c>
      <c r="D169" s="106" t="s">
        <v>832</v>
      </c>
      <c r="E169" s="106" t="s">
        <v>833</v>
      </c>
      <c r="F169" s="131">
        <f t="shared" ca="1" si="0"/>
        <v>5</v>
      </c>
      <c r="G169" s="106" t="str">
        <f ca="1">IFERROR(__xludf.DUMMYFUNCTION("INDEX(FILTER($P169:$AL169, $P169:$AL169 &lt;&gt; """"), 1)"),"Behavioural Economics and Decision-Making (B)")</f>
        <v>Behavioural Economics and Decision-Making (B)</v>
      </c>
      <c r="H169" s="106" t="str">
        <f ca="1">IFERROR(__xludf.DUMMYFUNCTION("INDEX(FILTER($P169:$AL169, $P169:$AL169 &lt;&gt; """"), 2)"),"Employer Branding")</f>
        <v>Employer Branding</v>
      </c>
      <c r="I169" s="106" t="str">
        <f ca="1">IFERROR(__xludf.DUMMYFUNCTION("INDEX(FILTER($P169:$AL169, $P169:$AL169 &lt;&gt; """"), 3)"),"SPORTS ANALYTICS (A)")</f>
        <v>SPORTS ANALYTICS (A)</v>
      </c>
      <c r="J169" s="106" t="str">
        <f ca="1">IFERROR(__xludf.DUMMYFUNCTION("IFERROR(INDEX(FILTER($P169:$AL169, $P169:$AL169 &lt;&gt; """"), 4),)"),"")</f>
        <v/>
      </c>
      <c r="K169" s="106" t="str">
        <f ca="1">IFERROR(__xludf.DUMMYFUNCTION("IFERROR(INDEX(FILTER($P169:$AL169, $P169:$AL169 &lt;&gt; """"), 5),)"),"")</f>
        <v/>
      </c>
      <c r="L169" s="107"/>
      <c r="M169" s="107"/>
      <c r="N169" s="107"/>
      <c r="O169" s="107"/>
      <c r="P169" s="132" t="str">
        <f>IF(COUNTIF('Fintech-A'!$A:$A, $C169), P$1, "")</f>
        <v/>
      </c>
      <c r="Q169" s="132" t="str">
        <f>IF(COUNTIF('Fintech-B'!$A:$A, $C169), Q$1, "")</f>
        <v/>
      </c>
      <c r="R169" s="132" t="str">
        <f>IF(COUNTIF('BEDM-A'!$A:$A, $C169), R$1, "")</f>
        <v/>
      </c>
      <c r="S169" s="132" t="str">
        <f>IF(COUNTIF('BEDM-B'!$A:$A, $C169), S$1, "")</f>
        <v>Behavioural Economics and Decision-Making (B)</v>
      </c>
      <c r="T169" s="132" t="str">
        <f>IF(COUNTIF('Art-A'!$A:$A, $C169), T$1, "")</f>
        <v/>
      </c>
      <c r="U169" s="132" t="str">
        <f>IF(COUNTIF('Art-B'!$A:$A, $C169), U$1, "")</f>
        <v/>
      </c>
      <c r="V169" s="132" t="str">
        <f>IF(COUNTIF('WH-A'!$A:$A, $C169), V$1, "")</f>
        <v/>
      </c>
      <c r="W169" s="132" t="str">
        <f>IF(COUNTIF('WH-B'!$A:$A, $C169), W$1, "")</f>
        <v/>
      </c>
      <c r="X169" s="132" t="str">
        <f>IF(COUNTIF(LETV!$A:$A, $C169), X$1, "")</f>
        <v/>
      </c>
      <c r="Y169" s="132" t="str">
        <f>IF(COUNTIF('Film&amp;Firm-A'!$A:$A, $C169), Y$1, "")</f>
        <v/>
      </c>
      <c r="Z169" s="132" t="str">
        <f>IF(COUNTIF('Film&amp;Firm-B'!$A:$A, $C169), Z$1, "")</f>
        <v/>
      </c>
      <c r="AA169" s="132" t="str">
        <f>IF(COUNTIF(SHRM!$A:$A, $C169), AA$1, "")</f>
        <v/>
      </c>
      <c r="AB169" s="132" t="str">
        <f>IF(COUNTIF('SCM-A'!$A:$A, $C169), AB$1, "")</f>
        <v/>
      </c>
      <c r="AC169" s="132" t="str">
        <f>IF(COUNTIF('SCM-B'!$A:$A, $C169), AC$1, "")</f>
        <v/>
      </c>
      <c r="AD169" s="132" t="str">
        <f>IF(COUNTIF(AIS!$A:$A, $C169), AD$1, "")</f>
        <v/>
      </c>
      <c r="AE169" s="132" t="str">
        <f>IF(COUNTIF(EB!$A:$A, $C169), AE$1, "")</f>
        <v>Employer Branding</v>
      </c>
      <c r="AF169" s="132" t="str">
        <f>IF(COUNTIF('AIAM-A'!$A:$A, $C169), AF$1, "")</f>
        <v/>
      </c>
      <c r="AG169" s="132" t="str">
        <f>IF(COUNTIF('AIAM-B'!$A:$A, $C169), AG$1, "")</f>
        <v/>
      </c>
      <c r="AH169" s="132" t="str">
        <f>IF(COUNTIF('SA-A'!$A:$A, $C169), AH$1, "")</f>
        <v>SPORTS ANALYTICS (A)</v>
      </c>
      <c r="AI169" s="132" t="str">
        <f>IF(COUNTIF('SA-B'!$A:$A, $C169), AI$1, "")</f>
        <v/>
      </c>
      <c r="AJ169" s="132" t="str">
        <f>IF(COUNTIF(CSM!$A:$A, $C169), AJ$1, "")</f>
        <v/>
      </c>
      <c r="AK169" s="132" t="str">
        <f>IF(COUNTIF(EM!$A:$A, $C169), AK$1, "")</f>
        <v/>
      </c>
      <c r="AL169" s="132" t="str">
        <f>IF(COUNTIF(I4TS!$A:$A, $C169), AL$1, "")</f>
        <v/>
      </c>
    </row>
    <row r="170" spans="1:38" ht="13">
      <c r="A170" s="131">
        <v>169</v>
      </c>
      <c r="B170" s="131" t="s">
        <v>734</v>
      </c>
      <c r="C170" s="131" t="s">
        <v>282</v>
      </c>
      <c r="D170" s="106" t="s">
        <v>834</v>
      </c>
      <c r="E170" s="106" t="s">
        <v>835</v>
      </c>
      <c r="F170" s="131">
        <f t="shared" ca="1" si="0"/>
        <v>5</v>
      </c>
      <c r="G170" s="106" t="str">
        <f ca="1">IFERROR(__xludf.DUMMYFUNCTION("INDEX(FILTER($P170:$AL170, $P170:$AL170 &lt;&gt; """"), 1)"),"The Art, Craft, and Science of Management: Learning through Classics and Best Collections (B)")</f>
        <v>The Art, Craft, and Science of Management: Learning through Classics and Best Collections (B)</v>
      </c>
      <c r="H170" s="106" t="str">
        <f ca="1">IFERROR(__xludf.DUMMYFUNCTION("INDEX(FILTER($P170:$AL170, $P170:$AL170 &lt;&gt; """"), 2)"),"Workplace Happiness: Science &amp; Practice (A)")</f>
        <v>Workplace Happiness: Science &amp; Practice (A)</v>
      </c>
      <c r="I170" s="106" t="str">
        <f ca="1">IFERROR(__xludf.DUMMYFUNCTION("INDEX(FILTER($P170:$AL170, $P170:$AL170 &lt;&gt; """"), 3)"),"Strategic Career Management (B)")</f>
        <v>Strategic Career Management (B)</v>
      </c>
      <c r="J170" s="106" t="str">
        <f ca="1">IFERROR(__xludf.DUMMYFUNCTION("IFERROR(INDEX(FILTER($P170:$AL170, $P170:$AL170 &lt;&gt; """"), 4),)"),"")</f>
        <v/>
      </c>
      <c r="K170" s="106" t="str">
        <f ca="1">IFERROR(__xludf.DUMMYFUNCTION("IFERROR(INDEX(FILTER($P170:$AL170, $P170:$AL170 &lt;&gt; """"), 5),)"),"")</f>
        <v/>
      </c>
      <c r="L170" s="107"/>
      <c r="M170" s="107"/>
      <c r="N170" s="107"/>
      <c r="O170" s="107"/>
      <c r="P170" s="132" t="str">
        <f>IF(COUNTIF('Fintech-A'!$A:$A, $C170), P$1, "")</f>
        <v/>
      </c>
      <c r="Q170" s="132" t="str">
        <f>IF(COUNTIF('Fintech-B'!$A:$A, $C170), Q$1, "")</f>
        <v/>
      </c>
      <c r="R170" s="132" t="str">
        <f>IF(COUNTIF('BEDM-A'!$A:$A, $C170), R$1, "")</f>
        <v/>
      </c>
      <c r="S170" s="132" t="str">
        <f>IF(COUNTIF('BEDM-B'!$A:$A, $C170), S$1, "")</f>
        <v/>
      </c>
      <c r="T170" s="132" t="str">
        <f>IF(COUNTIF('Art-A'!$A:$A, $C170), T$1, "")</f>
        <v/>
      </c>
      <c r="U170" s="132" t="str">
        <f>IF(COUNTIF('Art-B'!$A:$A, $C170), U$1, "")</f>
        <v>The Art, Craft, and Science of Management: Learning through Classics and Best Collections (B)</v>
      </c>
      <c r="V170" s="132" t="str">
        <f>IF(COUNTIF('WH-A'!$A:$A, $C170), V$1, "")</f>
        <v>Workplace Happiness: Science &amp; Practice (A)</v>
      </c>
      <c r="W170" s="132" t="str">
        <f>IF(COUNTIF('WH-B'!$A:$A, $C170), W$1, "")</f>
        <v/>
      </c>
      <c r="X170" s="132" t="str">
        <f>IF(COUNTIF(LETV!$A:$A, $C170), X$1, "")</f>
        <v/>
      </c>
      <c r="Y170" s="132" t="str">
        <f>IF(COUNTIF('Film&amp;Firm-A'!$A:$A, $C170), Y$1, "")</f>
        <v/>
      </c>
      <c r="Z170" s="132" t="str">
        <f>IF(COUNTIF('Film&amp;Firm-B'!$A:$A, $C170), Z$1, "")</f>
        <v/>
      </c>
      <c r="AA170" s="132" t="str">
        <f>IF(COUNTIF(SHRM!$A:$A, $C170), AA$1, "")</f>
        <v/>
      </c>
      <c r="AB170" s="132" t="str">
        <f>IF(COUNTIF('SCM-A'!$A:$A, $C170), AB$1, "")</f>
        <v/>
      </c>
      <c r="AC170" s="132" t="str">
        <f>IF(COUNTIF('SCM-B'!$A:$A, $C170), AC$1, "")</f>
        <v>Strategic Career Management (B)</v>
      </c>
      <c r="AD170" s="132" t="str">
        <f>IF(COUNTIF(AIS!$A:$A, $C170), AD$1, "")</f>
        <v/>
      </c>
      <c r="AE170" s="132" t="str">
        <f>IF(COUNTIF(EB!$A:$A, $C170), AE$1, "")</f>
        <v/>
      </c>
      <c r="AF170" s="132" t="str">
        <f>IF(COUNTIF('AIAM-A'!$A:$A, $C170), AF$1, "")</f>
        <v/>
      </c>
      <c r="AG170" s="132" t="str">
        <f>IF(COUNTIF('AIAM-B'!$A:$A, $C170), AG$1, "")</f>
        <v/>
      </c>
      <c r="AH170" s="132" t="str">
        <f>IF(COUNTIF('SA-A'!$A:$A, $C170), AH$1, "")</f>
        <v/>
      </c>
      <c r="AI170" s="132" t="str">
        <f>IF(COUNTIF('SA-B'!$A:$A, $C170), AI$1, "")</f>
        <v/>
      </c>
      <c r="AJ170" s="132" t="str">
        <f>IF(COUNTIF(CSM!$A:$A, $C170), AJ$1, "")</f>
        <v/>
      </c>
      <c r="AK170" s="132" t="str">
        <f>IF(COUNTIF(EM!$A:$A, $C170), AK$1, "")</f>
        <v/>
      </c>
      <c r="AL170" s="132" t="str">
        <f>IF(COUNTIF(I4TS!$A:$A, $C170), AL$1, "")</f>
        <v/>
      </c>
    </row>
    <row r="171" spans="1:38" ht="13">
      <c r="A171" s="131">
        <v>170</v>
      </c>
      <c r="B171" s="131" t="s">
        <v>734</v>
      </c>
      <c r="C171" s="131" t="s">
        <v>836</v>
      </c>
      <c r="D171" s="106" t="s">
        <v>837</v>
      </c>
      <c r="E171" s="106" t="s">
        <v>838</v>
      </c>
      <c r="F171" s="131">
        <f t="shared" ca="1" si="0"/>
        <v>5</v>
      </c>
      <c r="G171" s="106" t="str">
        <f ca="1">IFERROR(__xludf.DUMMYFUNCTION("INDEX(FILTER($P171:$AL171, $P171:$AL171 &lt;&gt; """"), 1)"),"Fintech (Digital Transformation in Finance) (A)")</f>
        <v>Fintech (Digital Transformation in Finance) (A)</v>
      </c>
      <c r="H171" s="106" t="str">
        <f ca="1">IFERROR(__xludf.DUMMYFUNCTION("INDEX(FILTER($P171:$AL171, $P171:$AL171 &lt;&gt; """"), 2)"),"Workplace Happiness: Science &amp; Practice (B)")</f>
        <v>Workplace Happiness: Science &amp; Practice (B)</v>
      </c>
      <c r="I171" s="106" t="str">
        <f ca="1">IFERROR(__xludf.DUMMYFUNCTION("INDEX(FILTER($P171:$AL171, $P171:$AL171 &lt;&gt; """"), 3)"),"Film &amp; the Firm: Visual Culture in Business Contexts (A)")</f>
        <v>Film &amp; the Firm: Visual Culture in Business Contexts (A)</v>
      </c>
      <c r="J171" s="106" t="str">
        <f ca="1">IFERROR(__xludf.DUMMYFUNCTION("IFERROR(INDEX(FILTER($P171:$AL171, $P171:$AL171 &lt;&gt; """"), 4),)"),"SPORTS ANALYTICS (A)")</f>
        <v>SPORTS ANALYTICS (A)</v>
      </c>
      <c r="K171" s="106" t="str">
        <f ca="1">IFERROR(__xludf.DUMMYFUNCTION("IFERROR(INDEX(FILTER($P171:$AL171, $P171:$AL171 &lt;&gt; """"), 5),)"),"Industry 4.0 in Transport Sector")</f>
        <v>Industry 4.0 in Transport Sector</v>
      </c>
      <c r="L171" s="107"/>
      <c r="M171" s="107"/>
      <c r="N171" s="107"/>
      <c r="O171" s="107"/>
      <c r="P171" s="132" t="str">
        <f>IF(COUNTIF('Fintech-A'!$A:$A, $C171), P$1, "")</f>
        <v>Fintech (Digital Transformation in Finance) (A)</v>
      </c>
      <c r="Q171" s="132" t="str">
        <f>IF(COUNTIF('Fintech-B'!$A:$A, $C171), Q$1, "")</f>
        <v/>
      </c>
      <c r="R171" s="132" t="str">
        <f>IF(COUNTIF('BEDM-A'!$A:$A, $C171), R$1, "")</f>
        <v/>
      </c>
      <c r="S171" s="132" t="str">
        <f>IF(COUNTIF('BEDM-B'!$A:$A, $C171), S$1, "")</f>
        <v/>
      </c>
      <c r="T171" s="132" t="str">
        <f>IF(COUNTIF('Art-A'!$A:$A, $C171), T$1, "")</f>
        <v/>
      </c>
      <c r="U171" s="132" t="str">
        <f>IF(COUNTIF('Art-B'!$A:$A, $C171), U$1, "")</f>
        <v/>
      </c>
      <c r="V171" s="132" t="str">
        <f>IF(COUNTIF('WH-A'!$A:$A, $C171), V$1, "")</f>
        <v/>
      </c>
      <c r="W171" s="132" t="str">
        <f>IF(COUNTIF('WH-B'!$A:$A, $C171), W$1, "")</f>
        <v>Workplace Happiness: Science &amp; Practice (B)</v>
      </c>
      <c r="X171" s="132" t="str">
        <f>IF(COUNTIF(LETV!$A:$A, $C171), X$1, "")</f>
        <v/>
      </c>
      <c r="Y171" s="132" t="str">
        <f>IF(COUNTIF('Film&amp;Firm-A'!$A:$A, $C171), Y$1, "")</f>
        <v>Film &amp; the Firm: Visual Culture in Business Contexts (A)</v>
      </c>
      <c r="Z171" s="132" t="str">
        <f>IF(COUNTIF('Film&amp;Firm-B'!$A:$A, $C171), Z$1, "")</f>
        <v/>
      </c>
      <c r="AA171" s="132" t="str">
        <f>IF(COUNTIF(SHRM!$A:$A, $C171), AA$1, "")</f>
        <v/>
      </c>
      <c r="AB171" s="132" t="str">
        <f>IF(COUNTIF('SCM-A'!$A:$A, $C171), AB$1, "")</f>
        <v/>
      </c>
      <c r="AC171" s="132" t="str">
        <f>IF(COUNTIF('SCM-B'!$A:$A, $C171), AC$1, "")</f>
        <v/>
      </c>
      <c r="AD171" s="132" t="str">
        <f>IF(COUNTIF(AIS!$A:$A, $C171), AD$1, "")</f>
        <v/>
      </c>
      <c r="AE171" s="132" t="str">
        <f>IF(COUNTIF(EB!$A:$A, $C171), AE$1, "")</f>
        <v/>
      </c>
      <c r="AF171" s="132" t="str">
        <f>IF(COUNTIF('AIAM-A'!$A:$A, $C171), AF$1, "")</f>
        <v/>
      </c>
      <c r="AG171" s="132" t="str">
        <f>IF(COUNTIF('AIAM-B'!$A:$A, $C171), AG$1, "")</f>
        <v/>
      </c>
      <c r="AH171" s="132" t="str">
        <f>IF(COUNTIF('SA-A'!$A:$A, $C171), AH$1, "")</f>
        <v>SPORTS ANALYTICS (A)</v>
      </c>
      <c r="AI171" s="132" t="str">
        <f>IF(COUNTIF('SA-B'!$A:$A, $C171), AI$1, "")</f>
        <v/>
      </c>
      <c r="AJ171" s="132" t="str">
        <f>IF(COUNTIF(CSM!$A:$A, $C171), AJ$1, "")</f>
        <v/>
      </c>
      <c r="AK171" s="132" t="str">
        <f>IF(COUNTIF(EM!$A:$A, $C171), AK$1, "")</f>
        <v/>
      </c>
      <c r="AL171" s="132" t="str">
        <f>IF(COUNTIF(I4TS!$A:$A, $C171), AL$1, "")</f>
        <v>Industry 4.0 in Transport Sector</v>
      </c>
    </row>
    <row r="172" spans="1:38" ht="13">
      <c r="A172" s="131">
        <v>171</v>
      </c>
      <c r="B172" s="131" t="s">
        <v>734</v>
      </c>
      <c r="C172" s="131" t="s">
        <v>839</v>
      </c>
      <c r="D172" s="106" t="s">
        <v>840</v>
      </c>
      <c r="E172" s="106" t="s">
        <v>841</v>
      </c>
      <c r="F172" s="131">
        <f t="shared" ca="1" si="0"/>
        <v>5</v>
      </c>
      <c r="G172" s="106" t="str">
        <f ca="1">IFERROR(__xludf.DUMMYFUNCTION("INDEX(FILTER($P172:$AL172, $P172:$AL172 &lt;&gt; """"), 1)"),"Fintech (Digital Transformation in Finance) (A)")</f>
        <v>Fintech (Digital Transformation in Finance) (A)</v>
      </c>
      <c r="H172" s="106" t="str">
        <f ca="1">IFERROR(__xludf.DUMMYFUNCTION("INDEX(FILTER($P172:$AL172, $P172:$AL172 &lt;&gt; """"), 2)"),"AI AND  STRATEGY")</f>
        <v>AI AND  STRATEGY</v>
      </c>
      <c r="I172" s="106" t="str">
        <f ca="1">IFERROR(__xludf.DUMMYFUNCTION("INDEX(FILTER($P172:$AL172, $P172:$AL172 &lt;&gt; """"), 3)"),"AI Applications in Marketing (A)")</f>
        <v>AI Applications in Marketing (A)</v>
      </c>
      <c r="J172" s="106" t="str">
        <f ca="1">IFERROR(__xludf.DUMMYFUNCTION("IFERROR(INDEX(FILTER($P172:$AL172, $P172:$AL172 &lt;&gt; """"), 4),)"),"Customer Success Management")</f>
        <v>Customer Success Management</v>
      </c>
      <c r="K172" s="106" t="str">
        <f ca="1">IFERROR(__xludf.DUMMYFUNCTION("IFERROR(INDEX(FILTER($P172:$AL172, $P172:$AL172 &lt;&gt; """"), 5),)"),"Entrepreneurial Marketing")</f>
        <v>Entrepreneurial Marketing</v>
      </c>
      <c r="L172" s="107"/>
      <c r="M172" s="107"/>
      <c r="N172" s="107"/>
      <c r="O172" s="107"/>
      <c r="P172" s="132" t="str">
        <f>IF(COUNTIF('Fintech-A'!$A:$A, $C172), P$1, "")</f>
        <v>Fintech (Digital Transformation in Finance) (A)</v>
      </c>
      <c r="Q172" s="132" t="str">
        <f>IF(COUNTIF('Fintech-B'!$A:$A, $C172), Q$1, "")</f>
        <v/>
      </c>
      <c r="R172" s="132" t="str">
        <f>IF(COUNTIF('BEDM-A'!$A:$A, $C172), R$1, "")</f>
        <v/>
      </c>
      <c r="S172" s="132" t="str">
        <f>IF(COUNTIF('BEDM-B'!$A:$A, $C172), S$1, "")</f>
        <v/>
      </c>
      <c r="T172" s="132" t="str">
        <f>IF(COUNTIF('Art-A'!$A:$A, $C172), T$1, "")</f>
        <v/>
      </c>
      <c r="U172" s="132" t="str">
        <f>IF(COUNTIF('Art-B'!$A:$A, $C172), U$1, "")</f>
        <v/>
      </c>
      <c r="V172" s="132" t="str">
        <f>IF(COUNTIF('WH-A'!$A:$A, $C172), V$1, "")</f>
        <v/>
      </c>
      <c r="W172" s="132" t="str">
        <f>IF(COUNTIF('WH-B'!$A:$A, $C172), W$1, "")</f>
        <v/>
      </c>
      <c r="X172" s="132" t="str">
        <f>IF(COUNTIF(LETV!$A:$A, $C172), X$1, "")</f>
        <v/>
      </c>
      <c r="Y172" s="132" t="str">
        <f>IF(COUNTIF('Film&amp;Firm-A'!$A:$A, $C172), Y$1, "")</f>
        <v/>
      </c>
      <c r="Z172" s="132" t="str">
        <f>IF(COUNTIF('Film&amp;Firm-B'!$A:$A, $C172), Z$1, "")</f>
        <v/>
      </c>
      <c r="AA172" s="132" t="str">
        <f>IF(COUNTIF(SHRM!$A:$A, $C172), AA$1, "")</f>
        <v/>
      </c>
      <c r="AB172" s="132" t="str">
        <f>IF(COUNTIF('SCM-A'!$A:$A, $C172), AB$1, "")</f>
        <v/>
      </c>
      <c r="AC172" s="132" t="str">
        <f>IF(COUNTIF('SCM-B'!$A:$A, $C172), AC$1, "")</f>
        <v/>
      </c>
      <c r="AD172" s="132" t="str">
        <f>IF(COUNTIF(AIS!$A:$A, $C172), AD$1, "")</f>
        <v>AI AND  STRATEGY</v>
      </c>
      <c r="AE172" s="132" t="str">
        <f>IF(COUNTIF(EB!$A:$A, $C172), AE$1, "")</f>
        <v/>
      </c>
      <c r="AF172" s="132" t="str">
        <f>IF(COUNTIF('AIAM-A'!$A:$A, $C172), AF$1, "")</f>
        <v>AI Applications in Marketing (A)</v>
      </c>
      <c r="AG172" s="132" t="str">
        <f>IF(COUNTIF('AIAM-B'!$A:$A, $C172), AG$1, "")</f>
        <v/>
      </c>
      <c r="AH172" s="132" t="str">
        <f>IF(COUNTIF('SA-A'!$A:$A, $C172), AH$1, "")</f>
        <v/>
      </c>
      <c r="AI172" s="132" t="str">
        <f>IF(COUNTIF('SA-B'!$A:$A, $C172), AI$1, "")</f>
        <v/>
      </c>
      <c r="AJ172" s="132" t="str">
        <f>IF(COUNTIF(CSM!$A:$A, $C172), AJ$1, "")</f>
        <v>Customer Success Management</v>
      </c>
      <c r="AK172" s="132" t="str">
        <f>IF(COUNTIF(EM!$A:$A, $C172), AK$1, "")</f>
        <v>Entrepreneurial Marketing</v>
      </c>
      <c r="AL172" s="132" t="str">
        <f>IF(COUNTIF(I4TS!$A:$A, $C172), AL$1, "")</f>
        <v/>
      </c>
    </row>
    <row r="173" spans="1:38" ht="13">
      <c r="A173" s="131">
        <v>172</v>
      </c>
      <c r="B173" s="131" t="s">
        <v>734</v>
      </c>
      <c r="C173" s="131" t="s">
        <v>842</v>
      </c>
      <c r="D173" s="106" t="s">
        <v>843</v>
      </c>
      <c r="E173" s="106" t="s">
        <v>844</v>
      </c>
      <c r="F173" s="131">
        <f t="shared" ca="1" si="0"/>
        <v>5</v>
      </c>
      <c r="G173" s="106" t="str">
        <f ca="1">IFERROR(__xludf.DUMMYFUNCTION("INDEX(FILTER($P173:$AL173, $P173:$AL173 &lt;&gt; """"), 1)"),"Behavioural Economics and Decision-Making (B)")</f>
        <v>Behavioural Economics and Decision-Making (B)</v>
      </c>
      <c r="H173" s="106" t="str">
        <f ca="1">IFERROR(__xludf.DUMMYFUNCTION("INDEX(FILTER($P173:$AL173, $P173:$AL173 &lt;&gt; """"), 2)"),"Leadership Excellence Through Values : Wisdom from the Mahabharata")</f>
        <v>Leadership Excellence Through Values : Wisdom from the Mahabharata</v>
      </c>
      <c r="I173" s="106" t="str">
        <f ca="1">IFERROR(__xludf.DUMMYFUNCTION("INDEX(FILTER($P173:$AL173, $P173:$AL173 &lt;&gt; """"), 3)"),"Film &amp; the Firm: Visual Culture in Business Contexts (A)")</f>
        <v>Film &amp; the Firm: Visual Culture in Business Contexts (A)</v>
      </c>
      <c r="J173" s="106" t="str">
        <f ca="1">IFERROR(__xludf.DUMMYFUNCTION("IFERROR(INDEX(FILTER($P173:$AL173, $P173:$AL173 &lt;&gt; """"), 4),)"),"Employer Branding")</f>
        <v>Employer Branding</v>
      </c>
      <c r="K173" s="106" t="str">
        <f ca="1">IFERROR(__xludf.DUMMYFUNCTION("IFERROR(INDEX(FILTER($P173:$AL173, $P173:$AL173 &lt;&gt; """"), 5),)"),"Entrepreneurial Marketing")</f>
        <v>Entrepreneurial Marketing</v>
      </c>
      <c r="L173" s="107"/>
      <c r="M173" s="107"/>
      <c r="N173" s="107"/>
      <c r="O173" s="107"/>
      <c r="P173" s="132" t="str">
        <f>IF(COUNTIF('Fintech-A'!$A:$A, $C173), P$1, "")</f>
        <v/>
      </c>
      <c r="Q173" s="132" t="str">
        <f>IF(COUNTIF('Fintech-B'!$A:$A, $C173), Q$1, "")</f>
        <v/>
      </c>
      <c r="R173" s="132" t="str">
        <f>IF(COUNTIF('BEDM-A'!$A:$A, $C173), R$1, "")</f>
        <v/>
      </c>
      <c r="S173" s="132" t="str">
        <f>IF(COUNTIF('BEDM-B'!$A:$A, $C173), S$1, "")</f>
        <v>Behavioural Economics and Decision-Making (B)</v>
      </c>
      <c r="T173" s="132" t="str">
        <f>IF(COUNTIF('Art-A'!$A:$A, $C173), T$1, "")</f>
        <v/>
      </c>
      <c r="U173" s="132" t="str">
        <f>IF(COUNTIF('Art-B'!$A:$A, $C173), U$1, "")</f>
        <v/>
      </c>
      <c r="V173" s="132" t="str">
        <f>IF(COUNTIF('WH-A'!$A:$A, $C173), V$1, "")</f>
        <v/>
      </c>
      <c r="W173" s="132" t="str">
        <f>IF(COUNTIF('WH-B'!$A:$A, $C173), W$1, "")</f>
        <v/>
      </c>
      <c r="X173" s="132" t="str">
        <f>IF(COUNTIF(LETV!$A:$A, $C173), X$1, "")</f>
        <v>Leadership Excellence Through Values : Wisdom from the Mahabharata</v>
      </c>
      <c r="Y173" s="132" t="str">
        <f>IF(COUNTIF('Film&amp;Firm-A'!$A:$A, $C173), Y$1, "")</f>
        <v>Film &amp; the Firm: Visual Culture in Business Contexts (A)</v>
      </c>
      <c r="Z173" s="132" t="str">
        <f>IF(COUNTIF('Film&amp;Firm-B'!$A:$A, $C173), Z$1, "")</f>
        <v/>
      </c>
      <c r="AA173" s="132" t="str">
        <f>IF(COUNTIF(SHRM!$A:$A, $C173), AA$1, "")</f>
        <v/>
      </c>
      <c r="AB173" s="132" t="str">
        <f>IF(COUNTIF('SCM-A'!$A:$A, $C173), AB$1, "")</f>
        <v/>
      </c>
      <c r="AC173" s="132" t="str">
        <f>IF(COUNTIF('SCM-B'!$A:$A, $C173), AC$1, "")</f>
        <v/>
      </c>
      <c r="AD173" s="132" t="str">
        <f>IF(COUNTIF(AIS!$A:$A, $C173), AD$1, "")</f>
        <v/>
      </c>
      <c r="AE173" s="132" t="str">
        <f>IF(COUNTIF(EB!$A:$A, $C173), AE$1, "")</f>
        <v>Employer Branding</v>
      </c>
      <c r="AF173" s="132" t="str">
        <f>IF(COUNTIF('AIAM-A'!$A:$A, $C173), AF$1, "")</f>
        <v/>
      </c>
      <c r="AG173" s="132" t="str">
        <f>IF(COUNTIF('AIAM-B'!$A:$A, $C173), AG$1, "")</f>
        <v/>
      </c>
      <c r="AH173" s="132" t="str">
        <f>IF(COUNTIF('SA-A'!$A:$A, $C173), AH$1, "")</f>
        <v/>
      </c>
      <c r="AI173" s="132" t="str">
        <f>IF(COUNTIF('SA-B'!$A:$A, $C173), AI$1, "")</f>
        <v/>
      </c>
      <c r="AJ173" s="132" t="str">
        <f>IF(COUNTIF(CSM!$A:$A, $C173), AJ$1, "")</f>
        <v/>
      </c>
      <c r="AK173" s="132" t="str">
        <f>IF(COUNTIF(EM!$A:$A, $C173), AK$1, "")</f>
        <v>Entrepreneurial Marketing</v>
      </c>
      <c r="AL173" s="132" t="str">
        <f>IF(COUNTIF(I4TS!$A:$A, $C173), AL$1, "")</f>
        <v/>
      </c>
    </row>
    <row r="174" spans="1:38" ht="13">
      <c r="A174" s="131">
        <v>173</v>
      </c>
      <c r="B174" s="131" t="s">
        <v>734</v>
      </c>
      <c r="C174" s="131" t="s">
        <v>845</v>
      </c>
      <c r="D174" s="106" t="s">
        <v>846</v>
      </c>
      <c r="E174" s="106" t="s">
        <v>847</v>
      </c>
      <c r="F174" s="131">
        <f t="shared" ca="1" si="0"/>
        <v>5</v>
      </c>
      <c r="G174" s="106" t="str">
        <f ca="1">IFERROR(__xludf.DUMMYFUNCTION("INDEX(FILTER($P174:$AL174, $P174:$AL174 &lt;&gt; """"), 1)"),"Fintech (Digital Transformation in Finance) (A)")</f>
        <v>Fintech (Digital Transformation in Finance) (A)</v>
      </c>
      <c r="H174" s="106" t="str">
        <f ca="1">IFERROR(__xludf.DUMMYFUNCTION("INDEX(FILTER($P174:$AL174, $P174:$AL174 &lt;&gt; """"), 2)"),"Film &amp; the Firm: Visual Culture in Business Contexts (A)")</f>
        <v>Film &amp; the Firm: Visual Culture in Business Contexts (A)</v>
      </c>
      <c r="I174" s="106" t="str">
        <f ca="1">IFERROR(__xludf.DUMMYFUNCTION("INDEX(FILTER($P174:$AL174, $P174:$AL174 &lt;&gt; """"), 3)"),"AI AND  STRATEGY")</f>
        <v>AI AND  STRATEGY</v>
      </c>
      <c r="J174" s="106" t="str">
        <f ca="1">IFERROR(__xludf.DUMMYFUNCTION("IFERROR(INDEX(FILTER($P174:$AL174, $P174:$AL174 &lt;&gt; """"), 4),)"),"")</f>
        <v/>
      </c>
      <c r="K174" s="106" t="str">
        <f ca="1">IFERROR(__xludf.DUMMYFUNCTION("IFERROR(INDEX(FILTER($P174:$AL174, $P174:$AL174 &lt;&gt; """"), 5),)"),"")</f>
        <v/>
      </c>
      <c r="L174" s="107"/>
      <c r="M174" s="107"/>
      <c r="N174" s="107"/>
      <c r="O174" s="107"/>
      <c r="P174" s="132" t="str">
        <f>IF(COUNTIF('Fintech-A'!$A:$A, $C174), P$1, "")</f>
        <v>Fintech (Digital Transformation in Finance) (A)</v>
      </c>
      <c r="Q174" s="132" t="str">
        <f>IF(COUNTIF('Fintech-B'!$A:$A, $C174), Q$1, "")</f>
        <v/>
      </c>
      <c r="R174" s="132" t="str">
        <f>IF(COUNTIF('BEDM-A'!$A:$A, $C174), R$1, "")</f>
        <v/>
      </c>
      <c r="S174" s="132" t="str">
        <f>IF(COUNTIF('BEDM-B'!$A:$A, $C174), S$1, "")</f>
        <v/>
      </c>
      <c r="T174" s="132" t="str">
        <f>IF(COUNTIF('Art-A'!$A:$A, $C174), T$1, "")</f>
        <v/>
      </c>
      <c r="U174" s="132" t="str">
        <f>IF(COUNTIF('Art-B'!$A:$A, $C174), U$1, "")</f>
        <v/>
      </c>
      <c r="V174" s="132" t="str">
        <f>IF(COUNTIF('WH-A'!$A:$A, $C174), V$1, "")</f>
        <v/>
      </c>
      <c r="W174" s="132" t="str">
        <f>IF(COUNTIF('WH-B'!$A:$A, $C174), W$1, "")</f>
        <v/>
      </c>
      <c r="X174" s="132" t="str">
        <f>IF(COUNTIF(LETV!$A:$A, $C174), X$1, "")</f>
        <v/>
      </c>
      <c r="Y174" s="132" t="str">
        <f>IF(COUNTIF('Film&amp;Firm-A'!$A:$A, $C174), Y$1, "")</f>
        <v>Film &amp; the Firm: Visual Culture in Business Contexts (A)</v>
      </c>
      <c r="Z174" s="132" t="str">
        <f>IF(COUNTIF('Film&amp;Firm-B'!$A:$A, $C174), Z$1, "")</f>
        <v/>
      </c>
      <c r="AA174" s="132" t="str">
        <f>IF(COUNTIF(SHRM!$A:$A, $C174), AA$1, "")</f>
        <v/>
      </c>
      <c r="AB174" s="132" t="str">
        <f>IF(COUNTIF('SCM-A'!$A:$A, $C174), AB$1, "")</f>
        <v/>
      </c>
      <c r="AC174" s="132" t="str">
        <f>IF(COUNTIF('SCM-B'!$A:$A, $C174), AC$1, "")</f>
        <v/>
      </c>
      <c r="AD174" s="132" t="str">
        <f>IF(COUNTIF(AIS!$A:$A, $C174), AD$1, "")</f>
        <v>AI AND  STRATEGY</v>
      </c>
      <c r="AE174" s="132" t="str">
        <f>IF(COUNTIF(EB!$A:$A, $C174), AE$1, "")</f>
        <v/>
      </c>
      <c r="AF174" s="132" t="str">
        <f>IF(COUNTIF('AIAM-A'!$A:$A, $C174), AF$1, "")</f>
        <v/>
      </c>
      <c r="AG174" s="132" t="str">
        <f>IF(COUNTIF('AIAM-B'!$A:$A, $C174), AG$1, "")</f>
        <v/>
      </c>
      <c r="AH174" s="132" t="str">
        <f>IF(COUNTIF('SA-A'!$A:$A, $C174), AH$1, "")</f>
        <v/>
      </c>
      <c r="AI174" s="132" t="str">
        <f>IF(COUNTIF('SA-B'!$A:$A, $C174), AI$1, "")</f>
        <v/>
      </c>
      <c r="AJ174" s="132" t="str">
        <f>IF(COUNTIF(CSM!$A:$A, $C174), AJ$1, "")</f>
        <v/>
      </c>
      <c r="AK174" s="132" t="str">
        <f>IF(COUNTIF(EM!$A:$A, $C174), AK$1, "")</f>
        <v/>
      </c>
      <c r="AL174" s="132" t="str">
        <f>IF(COUNTIF(I4TS!$A:$A, $C174), AL$1, "")</f>
        <v/>
      </c>
    </row>
    <row r="175" spans="1:38" ht="13">
      <c r="A175" s="131">
        <v>174</v>
      </c>
      <c r="B175" s="131" t="s">
        <v>734</v>
      </c>
      <c r="C175" s="131" t="s">
        <v>848</v>
      </c>
      <c r="D175" s="106" t="s">
        <v>849</v>
      </c>
      <c r="E175" s="106" t="s">
        <v>850</v>
      </c>
      <c r="F175" s="131">
        <f t="shared" ca="1" si="0"/>
        <v>5</v>
      </c>
      <c r="G175" s="106" t="str">
        <f ca="1">IFERROR(__xludf.DUMMYFUNCTION("INDEX(FILTER($P175:$AL175, $P175:$AL175 &lt;&gt; """"), 1)"),"Fintech (Digital Transformation in Finance) (A)")</f>
        <v>Fintech (Digital Transformation in Finance) (A)</v>
      </c>
      <c r="H175" s="106" t="str">
        <f ca="1">IFERROR(__xludf.DUMMYFUNCTION("INDEX(FILTER($P175:$AL175, $P175:$AL175 &lt;&gt; """"), 2)"),"Behavioural Economics and Decision-Making (A)")</f>
        <v>Behavioural Economics and Decision-Making (A)</v>
      </c>
      <c r="I175" s="106" t="str">
        <f ca="1">IFERROR(__xludf.DUMMYFUNCTION("INDEX(FILTER($P175:$AL175, $P175:$AL175 &lt;&gt; """"), 3)"),"Film &amp; the Firm: Visual Culture in Business Contexts (B)")</f>
        <v>Film &amp; the Firm: Visual Culture in Business Contexts (B)</v>
      </c>
      <c r="J175" s="106" t="str">
        <f ca="1">IFERROR(__xludf.DUMMYFUNCTION("IFERROR(INDEX(FILTER($P175:$AL175, $P175:$AL175 &lt;&gt; """"), 4),)"),"")</f>
        <v/>
      </c>
      <c r="K175" s="106" t="str">
        <f ca="1">IFERROR(__xludf.DUMMYFUNCTION("IFERROR(INDEX(FILTER($P175:$AL175, $P175:$AL175 &lt;&gt; """"), 5),)"),"")</f>
        <v/>
      </c>
      <c r="L175" s="107"/>
      <c r="M175" s="107"/>
      <c r="N175" s="107"/>
      <c r="O175" s="107"/>
      <c r="P175" s="132" t="str">
        <f>IF(COUNTIF('Fintech-A'!$A:$A, $C175), P$1, "")</f>
        <v>Fintech (Digital Transformation in Finance) (A)</v>
      </c>
      <c r="Q175" s="132" t="str">
        <f>IF(COUNTIF('Fintech-B'!$A:$A, $C175), Q$1, "")</f>
        <v/>
      </c>
      <c r="R175" s="132" t="str">
        <f>IF(COUNTIF('BEDM-A'!$A:$A, $C175), R$1, "")</f>
        <v>Behavioural Economics and Decision-Making (A)</v>
      </c>
      <c r="S175" s="132" t="str">
        <f>IF(COUNTIF('BEDM-B'!$A:$A, $C175), S$1, "")</f>
        <v/>
      </c>
      <c r="T175" s="132" t="str">
        <f>IF(COUNTIF('Art-A'!$A:$A, $C175), T$1, "")</f>
        <v/>
      </c>
      <c r="U175" s="132" t="str">
        <f>IF(COUNTIF('Art-B'!$A:$A, $C175), U$1, "")</f>
        <v/>
      </c>
      <c r="V175" s="132" t="str">
        <f>IF(COUNTIF('WH-A'!$A:$A, $C175), V$1, "")</f>
        <v/>
      </c>
      <c r="W175" s="132" t="str">
        <f>IF(COUNTIF('WH-B'!$A:$A, $C175), W$1, "")</f>
        <v/>
      </c>
      <c r="X175" s="132" t="str">
        <f>IF(COUNTIF(LETV!$A:$A, $C175), X$1, "")</f>
        <v/>
      </c>
      <c r="Y175" s="132" t="str">
        <f>IF(COUNTIF('Film&amp;Firm-A'!$A:$A, $C175), Y$1, "")</f>
        <v/>
      </c>
      <c r="Z175" s="132" t="str">
        <f>IF(COUNTIF('Film&amp;Firm-B'!$A:$A, $C175), Z$1, "")</f>
        <v>Film &amp; the Firm: Visual Culture in Business Contexts (B)</v>
      </c>
      <c r="AA175" s="132" t="str">
        <f>IF(COUNTIF(SHRM!$A:$A, $C175), AA$1, "")</f>
        <v/>
      </c>
      <c r="AB175" s="132" t="str">
        <f>IF(COUNTIF('SCM-A'!$A:$A, $C175), AB$1, "")</f>
        <v/>
      </c>
      <c r="AC175" s="132" t="str">
        <f>IF(COUNTIF('SCM-B'!$A:$A, $C175), AC$1, "")</f>
        <v/>
      </c>
      <c r="AD175" s="132" t="str">
        <f>IF(COUNTIF(AIS!$A:$A, $C175), AD$1, "")</f>
        <v/>
      </c>
      <c r="AE175" s="132" t="str">
        <f>IF(COUNTIF(EB!$A:$A, $C175), AE$1, "")</f>
        <v/>
      </c>
      <c r="AF175" s="132" t="str">
        <f>IF(COUNTIF('AIAM-A'!$A:$A, $C175), AF$1, "")</f>
        <v/>
      </c>
      <c r="AG175" s="132" t="str">
        <f>IF(COUNTIF('AIAM-B'!$A:$A, $C175), AG$1, "")</f>
        <v/>
      </c>
      <c r="AH175" s="132" t="str">
        <f>IF(COUNTIF('SA-A'!$A:$A, $C175), AH$1, "")</f>
        <v/>
      </c>
      <c r="AI175" s="132" t="str">
        <f>IF(COUNTIF('SA-B'!$A:$A, $C175), AI$1, "")</f>
        <v/>
      </c>
      <c r="AJ175" s="132" t="str">
        <f>IF(COUNTIF(CSM!$A:$A, $C175), AJ$1, "")</f>
        <v/>
      </c>
      <c r="AK175" s="132" t="str">
        <f>IF(COUNTIF(EM!$A:$A, $C175), AK$1, "")</f>
        <v/>
      </c>
      <c r="AL175" s="132" t="str">
        <f>IF(COUNTIF(I4TS!$A:$A, $C175), AL$1, "")</f>
        <v/>
      </c>
    </row>
    <row r="176" spans="1:38" ht="13">
      <c r="A176" s="131">
        <v>175</v>
      </c>
      <c r="B176" s="131" t="s">
        <v>734</v>
      </c>
      <c r="C176" s="131" t="s">
        <v>851</v>
      </c>
      <c r="D176" s="106" t="s">
        <v>852</v>
      </c>
      <c r="E176" s="106" t="s">
        <v>853</v>
      </c>
      <c r="F176" s="131">
        <f t="shared" ca="1" si="0"/>
        <v>5</v>
      </c>
      <c r="G176" s="106" t="str">
        <f ca="1">IFERROR(__xludf.DUMMYFUNCTION("INDEX(FILTER($P176:$AL176, $P176:$AL176 &lt;&gt; """"), 1)"),"Workplace Happiness: Science &amp; Practice (A)")</f>
        <v>Workplace Happiness: Science &amp; Practice (A)</v>
      </c>
      <c r="H176" s="106" t="str">
        <f ca="1">IFERROR(__xludf.DUMMYFUNCTION("INDEX(FILTER($P176:$AL176, $P176:$AL176 &lt;&gt; """"), 2)"),"Employer Branding")</f>
        <v>Employer Branding</v>
      </c>
      <c r="I176" s="106" t="str">
        <f ca="1">IFERROR(__xludf.DUMMYFUNCTION("INDEX(FILTER($P176:$AL176, $P176:$AL176 &lt;&gt; """"), 3)"),"SPORTS ANALYTICS (B)")</f>
        <v>SPORTS ANALYTICS (B)</v>
      </c>
      <c r="J176" s="106" t="str">
        <f ca="1">IFERROR(__xludf.DUMMYFUNCTION("IFERROR(INDEX(FILTER($P176:$AL176, $P176:$AL176 &lt;&gt; """"), 4),)"),"")</f>
        <v/>
      </c>
      <c r="K176" s="106" t="str">
        <f ca="1">IFERROR(__xludf.DUMMYFUNCTION("IFERROR(INDEX(FILTER($P176:$AL176, $P176:$AL176 &lt;&gt; """"), 5),)"),"")</f>
        <v/>
      </c>
      <c r="L176" s="107"/>
      <c r="M176" s="107"/>
      <c r="N176" s="107"/>
      <c r="O176" s="107"/>
      <c r="P176" s="132" t="str">
        <f>IF(COUNTIF('Fintech-A'!$A:$A, $C176), P$1, "")</f>
        <v/>
      </c>
      <c r="Q176" s="132" t="str">
        <f>IF(COUNTIF('Fintech-B'!$A:$A, $C176), Q$1, "")</f>
        <v/>
      </c>
      <c r="R176" s="132" t="str">
        <f>IF(COUNTIF('BEDM-A'!$A:$A, $C176), R$1, "")</f>
        <v/>
      </c>
      <c r="S176" s="132" t="str">
        <f>IF(COUNTIF('BEDM-B'!$A:$A, $C176), S$1, "")</f>
        <v/>
      </c>
      <c r="T176" s="132" t="str">
        <f>IF(COUNTIF('Art-A'!$A:$A, $C176), T$1, "")</f>
        <v/>
      </c>
      <c r="U176" s="132" t="str">
        <f>IF(COUNTIF('Art-B'!$A:$A, $C176), U$1, "")</f>
        <v/>
      </c>
      <c r="V176" s="132" t="str">
        <f>IF(COUNTIF('WH-A'!$A:$A, $C176), V$1, "")</f>
        <v>Workplace Happiness: Science &amp; Practice (A)</v>
      </c>
      <c r="W176" s="132" t="str">
        <f>IF(COUNTIF('WH-B'!$A:$A, $C176), W$1, "")</f>
        <v/>
      </c>
      <c r="X176" s="132" t="str">
        <f>IF(COUNTIF(LETV!$A:$A, $C176), X$1, "")</f>
        <v/>
      </c>
      <c r="Y176" s="132" t="str">
        <f>IF(COUNTIF('Film&amp;Firm-A'!$A:$A, $C176), Y$1, "")</f>
        <v/>
      </c>
      <c r="Z176" s="132" t="str">
        <f>IF(COUNTIF('Film&amp;Firm-B'!$A:$A, $C176), Z$1, "")</f>
        <v/>
      </c>
      <c r="AA176" s="132" t="str">
        <f>IF(COUNTIF(SHRM!$A:$A, $C176), AA$1, "")</f>
        <v/>
      </c>
      <c r="AB176" s="132" t="str">
        <f>IF(COUNTIF('SCM-A'!$A:$A, $C176), AB$1, "")</f>
        <v/>
      </c>
      <c r="AC176" s="132" t="str">
        <f>IF(COUNTIF('SCM-B'!$A:$A, $C176), AC$1, "")</f>
        <v/>
      </c>
      <c r="AD176" s="132" t="str">
        <f>IF(COUNTIF(AIS!$A:$A, $C176), AD$1, "")</f>
        <v/>
      </c>
      <c r="AE176" s="132" t="str">
        <f>IF(COUNTIF(EB!$A:$A, $C176), AE$1, "")</f>
        <v>Employer Branding</v>
      </c>
      <c r="AF176" s="132" t="str">
        <f>IF(COUNTIF('AIAM-A'!$A:$A, $C176), AF$1, "")</f>
        <v/>
      </c>
      <c r="AG176" s="132" t="str">
        <f>IF(COUNTIF('AIAM-B'!$A:$A, $C176), AG$1, "")</f>
        <v/>
      </c>
      <c r="AH176" s="132" t="str">
        <f>IF(COUNTIF('SA-A'!$A:$A, $C176), AH$1, "")</f>
        <v/>
      </c>
      <c r="AI176" s="132" t="str">
        <f>IF(COUNTIF('SA-B'!$A:$A, $C176), AI$1, "")</f>
        <v>SPORTS ANALYTICS (B)</v>
      </c>
      <c r="AJ176" s="132" t="str">
        <f>IF(COUNTIF(CSM!$A:$A, $C176), AJ$1, "")</f>
        <v/>
      </c>
      <c r="AK176" s="132" t="str">
        <f>IF(COUNTIF(EM!$A:$A, $C176), AK$1, "")</f>
        <v/>
      </c>
      <c r="AL176" s="132" t="str">
        <f>IF(COUNTIF(I4TS!$A:$A, $C176), AL$1, "")</f>
        <v/>
      </c>
    </row>
    <row r="177" spans="1:38" ht="13">
      <c r="A177" s="131">
        <v>176</v>
      </c>
      <c r="B177" s="131" t="s">
        <v>734</v>
      </c>
      <c r="C177" s="131" t="s">
        <v>283</v>
      </c>
      <c r="D177" s="106" t="s">
        <v>854</v>
      </c>
      <c r="E177" s="106" t="s">
        <v>855</v>
      </c>
      <c r="F177" s="131">
        <f t="shared" ca="1" si="0"/>
        <v>5</v>
      </c>
      <c r="G177" s="106" t="str">
        <f ca="1">IFERROR(__xludf.DUMMYFUNCTION("INDEX(FILTER($P177:$AL177, $P177:$AL177 &lt;&gt; """"), 1)"),"Strategic Career Management (B)")</f>
        <v>Strategic Career Management (B)</v>
      </c>
      <c r="H177" s="106" t="str">
        <f ca="1">IFERROR(__xludf.DUMMYFUNCTION("INDEX(FILTER($P177:$AL177, $P177:$AL177 &lt;&gt; """"), 2)"),"Employer Branding")</f>
        <v>Employer Branding</v>
      </c>
      <c r="I177" s="106" t="str">
        <f ca="1">IFERROR(__xludf.DUMMYFUNCTION("INDEX(FILTER($P177:$AL177, $P177:$AL177 &lt;&gt; """"), 3)"),"SPORTS ANALYTICS (A)")</f>
        <v>SPORTS ANALYTICS (A)</v>
      </c>
      <c r="J177" s="106" t="str">
        <f ca="1">IFERROR(__xludf.DUMMYFUNCTION("IFERROR(INDEX(FILTER($P177:$AL177, $P177:$AL177 &lt;&gt; """"), 4),)"),"")</f>
        <v/>
      </c>
      <c r="K177" s="106" t="str">
        <f ca="1">IFERROR(__xludf.DUMMYFUNCTION("IFERROR(INDEX(FILTER($P177:$AL177, $P177:$AL177 &lt;&gt; """"), 5),)"),"")</f>
        <v/>
      </c>
      <c r="L177" s="107"/>
      <c r="M177" s="107"/>
      <c r="N177" s="107"/>
      <c r="O177" s="107"/>
      <c r="P177" s="132" t="str">
        <f>IF(COUNTIF('Fintech-A'!$A:$A, $C177), P$1, "")</f>
        <v/>
      </c>
      <c r="Q177" s="132" t="str">
        <f>IF(COUNTIF('Fintech-B'!$A:$A, $C177), Q$1, "")</f>
        <v/>
      </c>
      <c r="R177" s="132" t="str">
        <f>IF(COUNTIF('BEDM-A'!$A:$A, $C177), R$1, "")</f>
        <v/>
      </c>
      <c r="S177" s="132" t="str">
        <f>IF(COUNTIF('BEDM-B'!$A:$A, $C177), S$1, "")</f>
        <v/>
      </c>
      <c r="T177" s="132" t="str">
        <f>IF(COUNTIF('Art-A'!$A:$A, $C177), T$1, "")</f>
        <v/>
      </c>
      <c r="U177" s="132" t="str">
        <f>IF(COUNTIF('Art-B'!$A:$A, $C177), U$1, "")</f>
        <v/>
      </c>
      <c r="V177" s="132" t="str">
        <f>IF(COUNTIF('WH-A'!$A:$A, $C177), V$1, "")</f>
        <v/>
      </c>
      <c r="W177" s="132" t="str">
        <f>IF(COUNTIF('WH-B'!$A:$A, $C177), W$1, "")</f>
        <v/>
      </c>
      <c r="X177" s="132" t="str">
        <f>IF(COUNTIF(LETV!$A:$A, $C177), X$1, "")</f>
        <v/>
      </c>
      <c r="Y177" s="132" t="str">
        <f>IF(COUNTIF('Film&amp;Firm-A'!$A:$A, $C177), Y$1, "")</f>
        <v/>
      </c>
      <c r="Z177" s="132" t="str">
        <f>IF(COUNTIF('Film&amp;Firm-B'!$A:$A, $C177), Z$1, "")</f>
        <v/>
      </c>
      <c r="AA177" s="132" t="str">
        <f>IF(COUNTIF(SHRM!$A:$A, $C177), AA$1, "")</f>
        <v/>
      </c>
      <c r="AB177" s="132" t="str">
        <f>IF(COUNTIF('SCM-A'!$A:$A, $C177), AB$1, "")</f>
        <v/>
      </c>
      <c r="AC177" s="132" t="str">
        <f>IF(COUNTIF('SCM-B'!$A:$A, $C177), AC$1, "")</f>
        <v>Strategic Career Management (B)</v>
      </c>
      <c r="AD177" s="132" t="str">
        <f>IF(COUNTIF(AIS!$A:$A, $C177), AD$1, "")</f>
        <v/>
      </c>
      <c r="AE177" s="132" t="str">
        <f>IF(COUNTIF(EB!$A:$A, $C177), AE$1, "")</f>
        <v>Employer Branding</v>
      </c>
      <c r="AF177" s="132" t="str">
        <f>IF(COUNTIF('AIAM-A'!$A:$A, $C177), AF$1, "")</f>
        <v/>
      </c>
      <c r="AG177" s="132" t="str">
        <f>IF(COUNTIF('AIAM-B'!$A:$A, $C177), AG$1, "")</f>
        <v/>
      </c>
      <c r="AH177" s="132" t="str">
        <f>IF(COUNTIF('SA-A'!$A:$A, $C177), AH$1, "")</f>
        <v>SPORTS ANALYTICS (A)</v>
      </c>
      <c r="AI177" s="132" t="str">
        <f>IF(COUNTIF('SA-B'!$A:$A, $C177), AI$1, "")</f>
        <v/>
      </c>
      <c r="AJ177" s="132" t="str">
        <f>IF(COUNTIF(CSM!$A:$A, $C177), AJ$1, "")</f>
        <v/>
      </c>
      <c r="AK177" s="132" t="str">
        <f>IF(COUNTIF(EM!$A:$A, $C177), AK$1, "")</f>
        <v/>
      </c>
      <c r="AL177" s="132" t="str">
        <f>IF(COUNTIF(I4TS!$A:$A, $C177), AL$1, "")</f>
        <v/>
      </c>
    </row>
    <row r="178" spans="1:38" ht="13">
      <c r="A178" s="131">
        <v>177</v>
      </c>
      <c r="B178" s="131" t="s">
        <v>734</v>
      </c>
      <c r="C178" s="131" t="s">
        <v>856</v>
      </c>
      <c r="D178" s="106" t="s">
        <v>857</v>
      </c>
      <c r="E178" s="106" t="s">
        <v>858</v>
      </c>
      <c r="F178" s="131">
        <f t="shared" ca="1" si="0"/>
        <v>5</v>
      </c>
      <c r="G178" s="106" t="str">
        <f ca="1">IFERROR(__xludf.DUMMYFUNCTION("INDEX(FILTER($P178:$AL178, $P178:$AL178 &lt;&gt; """"), 1)"),"Film &amp; the Firm: Visual Culture in Business Contexts (A)")</f>
        <v>Film &amp; the Firm: Visual Culture in Business Contexts (A)</v>
      </c>
      <c r="H178" s="106" t="str">
        <f ca="1">IFERROR(__xludf.DUMMYFUNCTION("INDEX(FILTER($P178:$AL178, $P178:$AL178 &lt;&gt; """"), 2)"),"Employer Branding")</f>
        <v>Employer Branding</v>
      </c>
      <c r="I178" s="106" t="str">
        <f ca="1">IFERROR(__xludf.DUMMYFUNCTION("INDEX(FILTER($P178:$AL178, $P178:$AL178 &lt;&gt; """"), 3)"),"AI Applications in Marketing (A)")</f>
        <v>AI Applications in Marketing (A)</v>
      </c>
      <c r="J178" s="106" t="str">
        <f ca="1">IFERROR(__xludf.DUMMYFUNCTION("IFERROR(INDEX(FILTER($P178:$AL178, $P178:$AL178 &lt;&gt; """"), 4),)"),"")</f>
        <v/>
      </c>
      <c r="K178" s="106" t="str">
        <f ca="1">IFERROR(__xludf.DUMMYFUNCTION("IFERROR(INDEX(FILTER($P178:$AL178, $P178:$AL178 &lt;&gt; """"), 5),)"),"")</f>
        <v/>
      </c>
      <c r="L178" s="107"/>
      <c r="M178" s="107"/>
      <c r="N178" s="107"/>
      <c r="O178" s="107"/>
      <c r="P178" s="132" t="str">
        <f>IF(COUNTIF('Fintech-A'!$A:$A, $C178), P$1, "")</f>
        <v/>
      </c>
      <c r="Q178" s="132" t="str">
        <f>IF(COUNTIF('Fintech-B'!$A:$A, $C178), Q$1, "")</f>
        <v/>
      </c>
      <c r="R178" s="132" t="str">
        <f>IF(COUNTIF('BEDM-A'!$A:$A, $C178), R$1, "")</f>
        <v/>
      </c>
      <c r="S178" s="132" t="str">
        <f>IF(COUNTIF('BEDM-B'!$A:$A, $C178), S$1, "")</f>
        <v/>
      </c>
      <c r="T178" s="132" t="str">
        <f>IF(COUNTIF('Art-A'!$A:$A, $C178), T$1, "")</f>
        <v/>
      </c>
      <c r="U178" s="132" t="str">
        <f>IF(COUNTIF('Art-B'!$A:$A, $C178), U$1, "")</f>
        <v/>
      </c>
      <c r="V178" s="132" t="str">
        <f>IF(COUNTIF('WH-A'!$A:$A, $C178), V$1, "")</f>
        <v/>
      </c>
      <c r="W178" s="132" t="str">
        <f>IF(COUNTIF('WH-B'!$A:$A, $C178), W$1, "")</f>
        <v/>
      </c>
      <c r="X178" s="132" t="str">
        <f>IF(COUNTIF(LETV!$A:$A, $C178), X$1, "")</f>
        <v/>
      </c>
      <c r="Y178" s="132" t="str">
        <f>IF(COUNTIF('Film&amp;Firm-A'!$A:$A, $C178), Y$1, "")</f>
        <v>Film &amp; the Firm: Visual Culture in Business Contexts (A)</v>
      </c>
      <c r="Z178" s="132" t="str">
        <f>IF(COUNTIF('Film&amp;Firm-B'!$A:$A, $C178), Z$1, "")</f>
        <v/>
      </c>
      <c r="AA178" s="132" t="str">
        <f>IF(COUNTIF(SHRM!$A:$A, $C178), AA$1, "")</f>
        <v/>
      </c>
      <c r="AB178" s="132" t="str">
        <f>IF(COUNTIF('SCM-A'!$A:$A, $C178), AB$1, "")</f>
        <v/>
      </c>
      <c r="AC178" s="132" t="str">
        <f>IF(COUNTIF('SCM-B'!$A:$A, $C178), AC$1, "")</f>
        <v/>
      </c>
      <c r="AD178" s="132" t="str">
        <f>IF(COUNTIF(AIS!$A:$A, $C178), AD$1, "")</f>
        <v/>
      </c>
      <c r="AE178" s="132" t="str">
        <f>IF(COUNTIF(EB!$A:$A, $C178), AE$1, "")</f>
        <v>Employer Branding</v>
      </c>
      <c r="AF178" s="132" t="str">
        <f>IF(COUNTIF('AIAM-A'!$A:$A, $C178), AF$1, "")</f>
        <v>AI Applications in Marketing (A)</v>
      </c>
      <c r="AG178" s="132" t="str">
        <f>IF(COUNTIF('AIAM-B'!$A:$A, $C178), AG$1, "")</f>
        <v/>
      </c>
      <c r="AH178" s="132" t="str">
        <f>IF(COUNTIF('SA-A'!$A:$A, $C178), AH$1, "")</f>
        <v/>
      </c>
      <c r="AI178" s="132" t="str">
        <f>IF(COUNTIF('SA-B'!$A:$A, $C178), AI$1, "")</f>
        <v/>
      </c>
      <c r="AJ178" s="132" t="str">
        <f>IF(COUNTIF(CSM!$A:$A, $C178), AJ$1, "")</f>
        <v/>
      </c>
      <c r="AK178" s="132" t="str">
        <f>IF(COUNTIF(EM!$A:$A, $C178), AK$1, "")</f>
        <v/>
      </c>
      <c r="AL178" s="132" t="str">
        <f>IF(COUNTIF(I4TS!$A:$A, $C178), AL$1, "")</f>
        <v/>
      </c>
    </row>
    <row r="179" spans="1:38" ht="13">
      <c r="A179" s="131">
        <v>178</v>
      </c>
      <c r="B179" s="131" t="s">
        <v>734</v>
      </c>
      <c r="C179" s="131" t="s">
        <v>859</v>
      </c>
      <c r="D179" s="106" t="s">
        <v>860</v>
      </c>
      <c r="E179" s="106" t="s">
        <v>861</v>
      </c>
      <c r="F179" s="131">
        <f t="shared" ca="1" si="0"/>
        <v>5</v>
      </c>
      <c r="G179" s="106" t="str">
        <f ca="1">IFERROR(__xludf.DUMMYFUNCTION("INDEX(FILTER($P179:$AL179, $P179:$AL179 &lt;&gt; """"), 1)"),"Workplace Happiness: Science &amp; Practice (A)")</f>
        <v>Workplace Happiness: Science &amp; Practice (A)</v>
      </c>
      <c r="H179" s="106" t="str">
        <f ca="1">IFERROR(__xludf.DUMMYFUNCTION("INDEX(FILTER($P179:$AL179, $P179:$AL179 &lt;&gt; """"), 2)"),"Strategic Career Management (B)")</f>
        <v>Strategic Career Management (B)</v>
      </c>
      <c r="I179" s="106" t="str">
        <f ca="1">IFERROR(__xludf.DUMMYFUNCTION("INDEX(FILTER($P179:$AL179, $P179:$AL179 &lt;&gt; """"), 3)"),"AI Applications in Marketing (A)")</f>
        <v>AI Applications in Marketing (A)</v>
      </c>
      <c r="J179" s="106" t="str">
        <f ca="1">IFERROR(__xludf.DUMMYFUNCTION("IFERROR(INDEX(FILTER($P179:$AL179, $P179:$AL179 &lt;&gt; """"), 4),)"),"")</f>
        <v/>
      </c>
      <c r="K179" s="106" t="str">
        <f ca="1">IFERROR(__xludf.DUMMYFUNCTION("IFERROR(INDEX(FILTER($P179:$AL179, $P179:$AL179 &lt;&gt; """"), 5),)"),"")</f>
        <v/>
      </c>
      <c r="L179" s="107"/>
      <c r="M179" s="107"/>
      <c r="N179" s="107"/>
      <c r="O179" s="107"/>
      <c r="P179" s="132" t="str">
        <f>IF(COUNTIF('Fintech-A'!$A:$A, $C179), P$1, "")</f>
        <v/>
      </c>
      <c r="Q179" s="132" t="str">
        <f>IF(COUNTIF('Fintech-B'!$A:$A, $C179), Q$1, "")</f>
        <v/>
      </c>
      <c r="R179" s="132" t="str">
        <f>IF(COUNTIF('BEDM-A'!$A:$A, $C179), R$1, "")</f>
        <v/>
      </c>
      <c r="S179" s="132" t="str">
        <f>IF(COUNTIF('BEDM-B'!$A:$A, $C179), S$1, "")</f>
        <v/>
      </c>
      <c r="T179" s="132" t="str">
        <f>IF(COUNTIF('Art-A'!$A:$A, $C179), T$1, "")</f>
        <v/>
      </c>
      <c r="U179" s="132" t="str">
        <f>IF(COUNTIF('Art-B'!$A:$A, $C179), U$1, "")</f>
        <v/>
      </c>
      <c r="V179" s="132" t="str">
        <f>IF(COUNTIF('WH-A'!$A:$A, $C179), V$1, "")</f>
        <v>Workplace Happiness: Science &amp; Practice (A)</v>
      </c>
      <c r="W179" s="132" t="str">
        <f>IF(COUNTIF('WH-B'!$A:$A, $C179), W$1, "")</f>
        <v/>
      </c>
      <c r="X179" s="132" t="str">
        <f>IF(COUNTIF(LETV!$A:$A, $C179), X$1, "")</f>
        <v/>
      </c>
      <c r="Y179" s="132" t="str">
        <f>IF(COUNTIF('Film&amp;Firm-A'!$A:$A, $C179), Y$1, "")</f>
        <v/>
      </c>
      <c r="Z179" s="132" t="str">
        <f>IF(COUNTIF('Film&amp;Firm-B'!$A:$A, $C179), Z$1, "")</f>
        <v/>
      </c>
      <c r="AA179" s="132" t="str">
        <f>IF(COUNTIF(SHRM!$A:$A, $C179), AA$1, "")</f>
        <v/>
      </c>
      <c r="AB179" s="132" t="str">
        <f>IF(COUNTIF('SCM-A'!$A:$A, $C179), AB$1, "")</f>
        <v/>
      </c>
      <c r="AC179" s="132" t="str">
        <f>IF(COUNTIF('SCM-B'!$A:$A, $C179), AC$1, "")</f>
        <v>Strategic Career Management (B)</v>
      </c>
      <c r="AD179" s="132" t="str">
        <f>IF(COUNTIF(AIS!$A:$A, $C179), AD$1, "")</f>
        <v/>
      </c>
      <c r="AE179" s="132" t="str">
        <f>IF(COUNTIF(EB!$A:$A, $C179), AE$1, "")</f>
        <v/>
      </c>
      <c r="AF179" s="132" t="str">
        <f>IF(COUNTIF('AIAM-A'!$A:$A, $C179), AF$1, "")</f>
        <v>AI Applications in Marketing (A)</v>
      </c>
      <c r="AG179" s="132" t="str">
        <f>IF(COUNTIF('AIAM-B'!$A:$A, $C179), AG$1, "")</f>
        <v/>
      </c>
      <c r="AH179" s="132" t="str">
        <f>IF(COUNTIF('SA-A'!$A:$A, $C179), AH$1, "")</f>
        <v/>
      </c>
      <c r="AI179" s="132" t="str">
        <f>IF(COUNTIF('SA-B'!$A:$A, $C179), AI$1, "")</f>
        <v/>
      </c>
      <c r="AJ179" s="132" t="str">
        <f>IF(COUNTIF(CSM!$A:$A, $C179), AJ$1, "")</f>
        <v/>
      </c>
      <c r="AK179" s="132" t="str">
        <f>IF(COUNTIF(EM!$A:$A, $C179), AK$1, "")</f>
        <v/>
      </c>
      <c r="AL179" s="132" t="str">
        <f>IF(COUNTIF(I4TS!$A:$A, $C179), AL$1, "")</f>
        <v/>
      </c>
    </row>
    <row r="180" spans="1:38" ht="13">
      <c r="A180" s="131">
        <v>179</v>
      </c>
      <c r="B180" s="131" t="s">
        <v>734</v>
      </c>
      <c r="C180" s="131" t="s">
        <v>862</v>
      </c>
      <c r="D180" s="106" t="s">
        <v>863</v>
      </c>
      <c r="E180" s="106" t="s">
        <v>864</v>
      </c>
      <c r="F180" s="131">
        <f t="shared" ca="1" si="0"/>
        <v>5</v>
      </c>
      <c r="G180" s="106" t="str">
        <f ca="1">IFERROR(__xludf.DUMMYFUNCTION("INDEX(FILTER($P180:$AL180, $P180:$AL180 &lt;&gt; """"), 1)"),"Fintech (Digital Transformation in Finance) (A)")</f>
        <v>Fintech (Digital Transformation in Finance) (A)</v>
      </c>
      <c r="H180" s="106" t="str">
        <f ca="1">IFERROR(__xludf.DUMMYFUNCTION("INDEX(FILTER($P180:$AL180, $P180:$AL180 &lt;&gt; """"), 2)"),"Employer Branding")</f>
        <v>Employer Branding</v>
      </c>
      <c r="I180" s="106" t="str">
        <f ca="1">IFERROR(__xludf.DUMMYFUNCTION("INDEX(FILTER($P180:$AL180, $P180:$AL180 &lt;&gt; """"), 3)"),"AI Applications in Marketing (A)")</f>
        <v>AI Applications in Marketing (A)</v>
      </c>
      <c r="J180" s="106" t="str">
        <f ca="1">IFERROR(__xludf.DUMMYFUNCTION("IFERROR(INDEX(FILTER($P180:$AL180, $P180:$AL180 &lt;&gt; """"), 4),)"),"Customer Success Management")</f>
        <v>Customer Success Management</v>
      </c>
      <c r="K180" s="106" t="str">
        <f ca="1">IFERROR(__xludf.DUMMYFUNCTION("IFERROR(INDEX(FILTER($P180:$AL180, $P180:$AL180 &lt;&gt; """"), 5),)"),"Entrepreneurial Marketing")</f>
        <v>Entrepreneurial Marketing</v>
      </c>
      <c r="L180" s="107"/>
      <c r="M180" s="107"/>
      <c r="N180" s="107"/>
      <c r="O180" s="107"/>
      <c r="P180" s="132" t="str">
        <f>IF(COUNTIF('Fintech-A'!$A:$A, $C180), P$1, "")</f>
        <v>Fintech (Digital Transformation in Finance) (A)</v>
      </c>
      <c r="Q180" s="132" t="str">
        <f>IF(COUNTIF('Fintech-B'!$A:$A, $C180), Q$1, "")</f>
        <v/>
      </c>
      <c r="R180" s="132" t="str">
        <f>IF(COUNTIF('BEDM-A'!$A:$A, $C180), R$1, "")</f>
        <v/>
      </c>
      <c r="S180" s="132" t="str">
        <f>IF(COUNTIF('BEDM-B'!$A:$A, $C180), S$1, "")</f>
        <v/>
      </c>
      <c r="T180" s="132" t="str">
        <f>IF(COUNTIF('Art-A'!$A:$A, $C180), T$1, "")</f>
        <v/>
      </c>
      <c r="U180" s="132" t="str">
        <f>IF(COUNTIF('Art-B'!$A:$A, $C180), U$1, "")</f>
        <v/>
      </c>
      <c r="V180" s="132" t="str">
        <f>IF(COUNTIF('WH-A'!$A:$A, $C180), V$1, "")</f>
        <v/>
      </c>
      <c r="W180" s="132" t="str">
        <f>IF(COUNTIF('WH-B'!$A:$A, $C180), W$1, "")</f>
        <v/>
      </c>
      <c r="X180" s="132" t="str">
        <f>IF(COUNTIF(LETV!$A:$A, $C180), X$1, "")</f>
        <v/>
      </c>
      <c r="Y180" s="132" t="str">
        <f>IF(COUNTIF('Film&amp;Firm-A'!$A:$A, $C180), Y$1, "")</f>
        <v/>
      </c>
      <c r="Z180" s="132" t="str">
        <f>IF(COUNTIF('Film&amp;Firm-B'!$A:$A, $C180), Z$1, "")</f>
        <v/>
      </c>
      <c r="AA180" s="132" t="str">
        <f>IF(COUNTIF(SHRM!$A:$A, $C180), AA$1, "")</f>
        <v/>
      </c>
      <c r="AB180" s="132" t="str">
        <f>IF(COUNTIF('SCM-A'!$A:$A, $C180), AB$1, "")</f>
        <v/>
      </c>
      <c r="AC180" s="132" t="str">
        <f>IF(COUNTIF('SCM-B'!$A:$A, $C180), AC$1, "")</f>
        <v/>
      </c>
      <c r="AD180" s="132" t="str">
        <f>IF(COUNTIF(AIS!$A:$A, $C180), AD$1, "")</f>
        <v/>
      </c>
      <c r="AE180" s="132" t="str">
        <f>IF(COUNTIF(EB!$A:$A, $C180), AE$1, "")</f>
        <v>Employer Branding</v>
      </c>
      <c r="AF180" s="132" t="str">
        <f>IF(COUNTIF('AIAM-A'!$A:$A, $C180), AF$1, "")</f>
        <v>AI Applications in Marketing (A)</v>
      </c>
      <c r="AG180" s="132" t="str">
        <f>IF(COUNTIF('AIAM-B'!$A:$A, $C180), AG$1, "")</f>
        <v/>
      </c>
      <c r="AH180" s="132" t="str">
        <f>IF(COUNTIF('SA-A'!$A:$A, $C180), AH$1, "")</f>
        <v/>
      </c>
      <c r="AI180" s="132" t="str">
        <f>IF(COUNTIF('SA-B'!$A:$A, $C180), AI$1, "")</f>
        <v/>
      </c>
      <c r="AJ180" s="132" t="str">
        <f>IF(COUNTIF(CSM!$A:$A, $C180), AJ$1, "")</f>
        <v>Customer Success Management</v>
      </c>
      <c r="AK180" s="132" t="str">
        <f>IF(COUNTIF(EM!$A:$A, $C180), AK$1, "")</f>
        <v>Entrepreneurial Marketing</v>
      </c>
      <c r="AL180" s="132" t="str">
        <f>IF(COUNTIF(I4TS!$A:$A, $C180), AL$1, "")</f>
        <v/>
      </c>
    </row>
    <row r="181" spans="1:38" ht="13">
      <c r="A181" s="131">
        <v>180</v>
      </c>
      <c r="B181" s="131" t="s">
        <v>734</v>
      </c>
      <c r="C181" s="131" t="s">
        <v>865</v>
      </c>
      <c r="D181" s="106" t="s">
        <v>866</v>
      </c>
      <c r="E181" s="106" t="s">
        <v>867</v>
      </c>
      <c r="F181" s="131">
        <f t="shared" ca="1" si="0"/>
        <v>5</v>
      </c>
      <c r="G181" s="106" t="str">
        <f ca="1">IFERROR(__xludf.DUMMYFUNCTION("INDEX(FILTER($P181:$AL181, $P181:$AL181 &lt;&gt; """"), 1)"),"Fintech (Digital Transformation in Finance) (B)")</f>
        <v>Fintech (Digital Transformation in Finance) (B)</v>
      </c>
      <c r="H181" s="106" t="str">
        <f ca="1">IFERROR(__xludf.DUMMYFUNCTION("INDEX(FILTER($P181:$AL181, $P181:$AL181 &lt;&gt; """"), 2)"),"Behavioural Economics and Decision-Making (B)")</f>
        <v>Behavioural Economics and Decision-Making (B)</v>
      </c>
      <c r="I181" s="106" t="str">
        <f ca="1">IFERROR(__xludf.DUMMYFUNCTION("INDEX(FILTER($P181:$AL181, $P181:$AL181 &lt;&gt; """"), 3)"),"Film &amp; the Firm: Visual Culture in Business Contexts (A)")</f>
        <v>Film &amp; the Firm: Visual Culture in Business Contexts (A)</v>
      </c>
      <c r="J181" s="106" t="str">
        <f ca="1">IFERROR(__xludf.DUMMYFUNCTION("IFERROR(INDEX(FILTER($P181:$AL181, $P181:$AL181 &lt;&gt; """"), 4),)"),"AI Applications in Marketing (A)")</f>
        <v>AI Applications in Marketing (A)</v>
      </c>
      <c r="K181" s="106" t="str">
        <f ca="1">IFERROR(__xludf.DUMMYFUNCTION("IFERROR(INDEX(FILTER($P181:$AL181, $P181:$AL181 &lt;&gt; """"), 5),)"),"SPORTS ANALYTICS (B)")</f>
        <v>SPORTS ANALYTICS (B)</v>
      </c>
      <c r="L181" s="107"/>
      <c r="M181" s="107"/>
      <c r="N181" s="107"/>
      <c r="O181" s="107"/>
      <c r="P181" s="132" t="str">
        <f>IF(COUNTIF('Fintech-A'!$A:$A, $C181), P$1, "")</f>
        <v/>
      </c>
      <c r="Q181" s="132" t="str">
        <f>IF(COUNTIF('Fintech-B'!$A:$A, $C181), Q$1, "")</f>
        <v>Fintech (Digital Transformation in Finance) (B)</v>
      </c>
      <c r="R181" s="132" t="str">
        <f>IF(COUNTIF('BEDM-A'!$A:$A, $C181), R$1, "")</f>
        <v/>
      </c>
      <c r="S181" s="132" t="str">
        <f>IF(COUNTIF('BEDM-B'!$A:$A, $C181), S$1, "")</f>
        <v>Behavioural Economics and Decision-Making (B)</v>
      </c>
      <c r="T181" s="132" t="str">
        <f>IF(COUNTIF('Art-A'!$A:$A, $C181), T$1, "")</f>
        <v/>
      </c>
      <c r="U181" s="132" t="str">
        <f>IF(COUNTIF('Art-B'!$A:$A, $C181), U$1, "")</f>
        <v/>
      </c>
      <c r="V181" s="132" t="str">
        <f>IF(COUNTIF('WH-A'!$A:$A, $C181), V$1, "")</f>
        <v/>
      </c>
      <c r="W181" s="132" t="str">
        <f>IF(COUNTIF('WH-B'!$A:$A, $C181), W$1, "")</f>
        <v/>
      </c>
      <c r="X181" s="132" t="str">
        <f>IF(COUNTIF(LETV!$A:$A, $C181), X$1, "")</f>
        <v/>
      </c>
      <c r="Y181" s="132" t="str">
        <f>IF(COUNTIF('Film&amp;Firm-A'!$A:$A, $C181), Y$1, "")</f>
        <v>Film &amp; the Firm: Visual Culture in Business Contexts (A)</v>
      </c>
      <c r="Z181" s="132" t="str">
        <f>IF(COUNTIF('Film&amp;Firm-B'!$A:$A, $C181), Z$1, "")</f>
        <v/>
      </c>
      <c r="AA181" s="132" t="str">
        <f>IF(COUNTIF(SHRM!$A:$A, $C181), AA$1, "")</f>
        <v/>
      </c>
      <c r="AB181" s="132" t="str">
        <f>IF(COUNTIF('SCM-A'!$A:$A, $C181), AB$1, "")</f>
        <v/>
      </c>
      <c r="AC181" s="132" t="str">
        <f>IF(COUNTIF('SCM-B'!$A:$A, $C181), AC$1, "")</f>
        <v/>
      </c>
      <c r="AD181" s="132" t="str">
        <f>IF(COUNTIF(AIS!$A:$A, $C181), AD$1, "")</f>
        <v/>
      </c>
      <c r="AE181" s="132" t="str">
        <f>IF(COUNTIF(EB!$A:$A, $C181), AE$1, "")</f>
        <v/>
      </c>
      <c r="AF181" s="132" t="str">
        <f>IF(COUNTIF('AIAM-A'!$A:$A, $C181), AF$1, "")</f>
        <v>AI Applications in Marketing (A)</v>
      </c>
      <c r="AG181" s="132" t="str">
        <f>IF(COUNTIF('AIAM-B'!$A:$A, $C181), AG$1, "")</f>
        <v/>
      </c>
      <c r="AH181" s="132" t="str">
        <f>IF(COUNTIF('SA-A'!$A:$A, $C181), AH$1, "")</f>
        <v/>
      </c>
      <c r="AI181" s="132" t="str">
        <f>IF(COUNTIF('SA-B'!$A:$A, $C181), AI$1, "")</f>
        <v>SPORTS ANALYTICS (B)</v>
      </c>
      <c r="AJ181" s="132" t="str">
        <f>IF(COUNTIF(CSM!$A:$A, $C181), AJ$1, "")</f>
        <v/>
      </c>
      <c r="AK181" s="132" t="str">
        <f>IF(COUNTIF(EM!$A:$A, $C181), AK$1, "")</f>
        <v/>
      </c>
      <c r="AL181" s="132" t="str">
        <f>IF(COUNTIF(I4TS!$A:$A, $C181), AL$1, "")</f>
        <v/>
      </c>
    </row>
    <row r="182" spans="1:38" ht="13">
      <c r="A182" s="131">
        <v>181</v>
      </c>
      <c r="B182" s="131" t="s">
        <v>734</v>
      </c>
      <c r="C182" s="131" t="s">
        <v>868</v>
      </c>
      <c r="D182" s="106" t="s">
        <v>869</v>
      </c>
      <c r="E182" s="106" t="s">
        <v>870</v>
      </c>
      <c r="F182" s="131">
        <f t="shared" ca="1" si="0"/>
        <v>5</v>
      </c>
      <c r="G182" s="106" t="str">
        <f ca="1">IFERROR(__xludf.DUMMYFUNCTION("INDEX(FILTER($P182:$AL182, $P182:$AL182 &lt;&gt; """"), 1)"),"The Art, Craft, and Science of Management: Learning through Classics and Best Collections (A)")</f>
        <v>The Art, Craft, and Science of Management: Learning through Classics and Best Collections (A)</v>
      </c>
      <c r="H182" s="106" t="str">
        <f ca="1">IFERROR(__xludf.DUMMYFUNCTION("INDEX(FILTER($P182:$AL182, $P182:$AL182 &lt;&gt; """"), 2)"),"Film &amp; the Firm: Visual Culture in Business Contexts (B)")</f>
        <v>Film &amp; the Firm: Visual Culture in Business Contexts (B)</v>
      </c>
      <c r="I182" s="106" t="str">
        <f ca="1">IFERROR(__xludf.DUMMYFUNCTION("INDEX(FILTER($P182:$AL182, $P182:$AL182 &lt;&gt; """"), 3)"),"Strategic Career Management (A)")</f>
        <v>Strategic Career Management (A)</v>
      </c>
      <c r="J182" s="106" t="str">
        <f ca="1">IFERROR(__xludf.DUMMYFUNCTION("IFERROR(INDEX(FILTER($P182:$AL182, $P182:$AL182 &lt;&gt; """"), 4),)"),"AI Applications in Marketing (A)")</f>
        <v>AI Applications in Marketing (A)</v>
      </c>
      <c r="K182" s="106" t="str">
        <f ca="1">IFERROR(__xludf.DUMMYFUNCTION("IFERROR(INDEX(FILTER($P182:$AL182, $P182:$AL182 &lt;&gt; """"), 5),)"),"SPORTS ANALYTICS (A)")</f>
        <v>SPORTS ANALYTICS (A)</v>
      </c>
      <c r="L182" s="107"/>
      <c r="M182" s="107"/>
      <c r="N182" s="107"/>
      <c r="O182" s="107"/>
      <c r="P182" s="132" t="str">
        <f>IF(COUNTIF('Fintech-A'!$A:$A, $C182), P$1, "")</f>
        <v/>
      </c>
      <c r="Q182" s="132" t="str">
        <f>IF(COUNTIF('Fintech-B'!$A:$A, $C182), Q$1, "")</f>
        <v/>
      </c>
      <c r="R182" s="132" t="str">
        <f>IF(COUNTIF('BEDM-A'!$A:$A, $C182), R$1, "")</f>
        <v/>
      </c>
      <c r="S182" s="132" t="str">
        <f>IF(COUNTIF('BEDM-B'!$A:$A, $C182), S$1, "")</f>
        <v/>
      </c>
      <c r="T182" s="132" t="str">
        <f>IF(COUNTIF('Art-A'!$A:$A, $C182), T$1, "")</f>
        <v>The Art, Craft, and Science of Management: Learning through Classics and Best Collections (A)</v>
      </c>
      <c r="U182" s="132" t="str">
        <f>IF(COUNTIF('Art-B'!$A:$A, $C182), U$1, "")</f>
        <v/>
      </c>
      <c r="V182" s="132" t="str">
        <f>IF(COUNTIF('WH-A'!$A:$A, $C182), V$1, "")</f>
        <v/>
      </c>
      <c r="W182" s="132" t="str">
        <f>IF(COUNTIF('WH-B'!$A:$A, $C182), W$1, "")</f>
        <v/>
      </c>
      <c r="X182" s="132" t="str">
        <f>IF(COUNTIF(LETV!$A:$A, $C182), X$1, "")</f>
        <v/>
      </c>
      <c r="Y182" s="132" t="str">
        <f>IF(COUNTIF('Film&amp;Firm-A'!$A:$A, $C182), Y$1, "")</f>
        <v/>
      </c>
      <c r="Z182" s="132" t="str">
        <f>IF(COUNTIF('Film&amp;Firm-B'!$A:$A, $C182), Z$1, "")</f>
        <v>Film &amp; the Firm: Visual Culture in Business Contexts (B)</v>
      </c>
      <c r="AA182" s="132" t="str">
        <f>IF(COUNTIF(SHRM!$A:$A, $C182), AA$1, "")</f>
        <v/>
      </c>
      <c r="AB182" s="132" t="str">
        <f>IF(COUNTIF('SCM-A'!$A:$A, $C182), AB$1, "")</f>
        <v>Strategic Career Management (A)</v>
      </c>
      <c r="AC182" s="132" t="str">
        <f>IF(COUNTIF('SCM-B'!$A:$A, $C182), AC$1, "")</f>
        <v/>
      </c>
      <c r="AD182" s="132" t="str">
        <f>IF(COUNTIF(AIS!$A:$A, $C182), AD$1, "")</f>
        <v/>
      </c>
      <c r="AE182" s="132" t="str">
        <f>IF(COUNTIF(EB!$A:$A, $C182), AE$1, "")</f>
        <v/>
      </c>
      <c r="AF182" s="132" t="str">
        <f>IF(COUNTIF('AIAM-A'!$A:$A, $C182), AF$1, "")</f>
        <v>AI Applications in Marketing (A)</v>
      </c>
      <c r="AG182" s="132" t="str">
        <f>IF(COUNTIF('AIAM-B'!$A:$A, $C182), AG$1, "")</f>
        <v/>
      </c>
      <c r="AH182" s="132" t="str">
        <f>IF(COUNTIF('SA-A'!$A:$A, $C182), AH$1, "")</f>
        <v>SPORTS ANALYTICS (A)</v>
      </c>
      <c r="AI182" s="132" t="str">
        <f>IF(COUNTIF('SA-B'!$A:$A, $C182), AI$1, "")</f>
        <v/>
      </c>
      <c r="AJ182" s="132" t="str">
        <f>IF(COUNTIF(CSM!$A:$A, $C182), AJ$1, "")</f>
        <v/>
      </c>
      <c r="AK182" s="132" t="str">
        <f>IF(COUNTIF(EM!$A:$A, $C182), AK$1, "")</f>
        <v/>
      </c>
      <c r="AL182" s="132" t="str">
        <f>IF(COUNTIF(I4TS!$A:$A, $C182), AL$1, "")</f>
        <v/>
      </c>
    </row>
    <row r="183" spans="1:38" ht="13">
      <c r="A183" s="131">
        <v>182</v>
      </c>
      <c r="B183" s="131" t="s">
        <v>734</v>
      </c>
      <c r="C183" s="131" t="s">
        <v>219</v>
      </c>
      <c r="D183" s="106" t="s">
        <v>871</v>
      </c>
      <c r="E183" s="106" t="s">
        <v>872</v>
      </c>
      <c r="F183" s="131">
        <f t="shared" ca="1" si="0"/>
        <v>5</v>
      </c>
      <c r="G183" s="106" t="str">
        <f ca="1">IFERROR(__xludf.DUMMYFUNCTION("INDEX(FILTER($P183:$AL183, $P183:$AL183 &lt;&gt; """"), 1)"),"Strategic HRM")</f>
        <v>Strategic HRM</v>
      </c>
      <c r="H183" s="106" t="str">
        <f ca="1">IFERROR(__xludf.DUMMYFUNCTION("INDEX(FILTER($P183:$AL183, $P183:$AL183 &lt;&gt; """"), 2)"),"Strategic Career Management (B)")</f>
        <v>Strategic Career Management (B)</v>
      </c>
      <c r="I183" s="106" t="str">
        <f ca="1">IFERROR(__xludf.DUMMYFUNCTION("INDEX(FILTER($P183:$AL183, $P183:$AL183 &lt;&gt; """"), 3)"),"AI Applications in Marketing (A)")</f>
        <v>AI Applications in Marketing (A)</v>
      </c>
      <c r="J183" s="106" t="str">
        <f ca="1">IFERROR(__xludf.DUMMYFUNCTION("IFERROR(INDEX(FILTER($P183:$AL183, $P183:$AL183 &lt;&gt; """"), 4),)"),"")</f>
        <v/>
      </c>
      <c r="K183" s="106" t="str">
        <f ca="1">IFERROR(__xludf.DUMMYFUNCTION("IFERROR(INDEX(FILTER($P183:$AL183, $P183:$AL183 &lt;&gt; """"), 5),)"),"")</f>
        <v/>
      </c>
      <c r="L183" s="107"/>
      <c r="M183" s="107"/>
      <c r="N183" s="107"/>
      <c r="O183" s="107"/>
      <c r="P183" s="132" t="str">
        <f>IF(COUNTIF('Fintech-A'!$A:$A, $C183), P$1, "")</f>
        <v/>
      </c>
      <c r="Q183" s="132" t="str">
        <f>IF(COUNTIF('Fintech-B'!$A:$A, $C183), Q$1, "")</f>
        <v/>
      </c>
      <c r="R183" s="132" t="str">
        <f>IF(COUNTIF('BEDM-A'!$A:$A, $C183), R$1, "")</f>
        <v/>
      </c>
      <c r="S183" s="132" t="str">
        <f>IF(COUNTIF('BEDM-B'!$A:$A, $C183), S$1, "")</f>
        <v/>
      </c>
      <c r="T183" s="132" t="str">
        <f>IF(COUNTIF('Art-A'!$A:$A, $C183), T$1, "")</f>
        <v/>
      </c>
      <c r="U183" s="132" t="str">
        <f>IF(COUNTIF('Art-B'!$A:$A, $C183), U$1, "")</f>
        <v/>
      </c>
      <c r="V183" s="132" t="str">
        <f>IF(COUNTIF('WH-A'!$A:$A, $C183), V$1, "")</f>
        <v/>
      </c>
      <c r="W183" s="132" t="str">
        <f>IF(COUNTIF('WH-B'!$A:$A, $C183), W$1, "")</f>
        <v/>
      </c>
      <c r="X183" s="132" t="str">
        <f>IF(COUNTIF(LETV!$A:$A, $C183), X$1, "")</f>
        <v/>
      </c>
      <c r="Y183" s="132" t="str">
        <f>IF(COUNTIF('Film&amp;Firm-A'!$A:$A, $C183), Y$1, "")</f>
        <v/>
      </c>
      <c r="Z183" s="132" t="str">
        <f>IF(COUNTIF('Film&amp;Firm-B'!$A:$A, $C183), Z$1, "")</f>
        <v/>
      </c>
      <c r="AA183" s="132" t="str">
        <f>IF(COUNTIF(SHRM!$A:$A, $C183), AA$1, "")</f>
        <v>Strategic HRM</v>
      </c>
      <c r="AB183" s="132" t="str">
        <f>IF(COUNTIF('SCM-A'!$A:$A, $C183), AB$1, "")</f>
        <v/>
      </c>
      <c r="AC183" s="132" t="str">
        <f>IF(COUNTIF('SCM-B'!$A:$A, $C183), AC$1, "")</f>
        <v>Strategic Career Management (B)</v>
      </c>
      <c r="AD183" s="132" t="str">
        <f>IF(COUNTIF(AIS!$A:$A, $C183), AD$1, "")</f>
        <v/>
      </c>
      <c r="AE183" s="132" t="str">
        <f>IF(COUNTIF(EB!$A:$A, $C183), AE$1, "")</f>
        <v/>
      </c>
      <c r="AF183" s="132" t="str">
        <f>IF(COUNTIF('AIAM-A'!$A:$A, $C183), AF$1, "")</f>
        <v>AI Applications in Marketing (A)</v>
      </c>
      <c r="AG183" s="132" t="str">
        <f>IF(COUNTIF('AIAM-B'!$A:$A, $C183), AG$1, "")</f>
        <v/>
      </c>
      <c r="AH183" s="132" t="str">
        <f>IF(COUNTIF('SA-A'!$A:$A, $C183), AH$1, "")</f>
        <v/>
      </c>
      <c r="AI183" s="132" t="str">
        <f>IF(COUNTIF('SA-B'!$A:$A, $C183), AI$1, "")</f>
        <v/>
      </c>
      <c r="AJ183" s="132" t="str">
        <f>IF(COUNTIF(CSM!$A:$A, $C183), AJ$1, "")</f>
        <v/>
      </c>
      <c r="AK183" s="132" t="str">
        <f>IF(COUNTIF(EM!$A:$A, $C183), AK$1, "")</f>
        <v/>
      </c>
      <c r="AL183" s="132" t="str">
        <f>IF(COUNTIF(I4TS!$A:$A, $C183), AL$1, "")</f>
        <v/>
      </c>
    </row>
    <row r="184" spans="1:38" ht="13">
      <c r="A184" s="131">
        <v>183</v>
      </c>
      <c r="B184" s="131" t="s">
        <v>734</v>
      </c>
      <c r="C184" s="131" t="s">
        <v>873</v>
      </c>
      <c r="D184" s="106" t="s">
        <v>874</v>
      </c>
      <c r="E184" s="106" t="s">
        <v>875</v>
      </c>
      <c r="F184" s="131">
        <f t="shared" ca="1" si="0"/>
        <v>5</v>
      </c>
      <c r="G184" s="106" t="str">
        <f ca="1">IFERROR(__xludf.DUMMYFUNCTION("INDEX(FILTER($P184:$AL184, $P184:$AL184 &lt;&gt; """"), 1)"),"Film &amp; the Firm: Visual Culture in Business Contexts (B)")</f>
        <v>Film &amp; the Firm: Visual Culture in Business Contexts (B)</v>
      </c>
      <c r="H184" s="106" t="str">
        <f ca="1">IFERROR(__xludf.DUMMYFUNCTION("INDEX(FILTER($P184:$AL184, $P184:$AL184 &lt;&gt; """"), 2)"),"Employer Branding")</f>
        <v>Employer Branding</v>
      </c>
      <c r="I184" s="106" t="str">
        <f ca="1">IFERROR(__xludf.DUMMYFUNCTION("INDEX(FILTER($P184:$AL184, $P184:$AL184 &lt;&gt; """"), 3)"),"Customer Success Management")</f>
        <v>Customer Success Management</v>
      </c>
      <c r="J184" s="106" t="str">
        <f ca="1">IFERROR(__xludf.DUMMYFUNCTION("IFERROR(INDEX(FILTER($P184:$AL184, $P184:$AL184 &lt;&gt; """"), 4),)"),"")</f>
        <v/>
      </c>
      <c r="K184" s="106" t="str">
        <f ca="1">IFERROR(__xludf.DUMMYFUNCTION("IFERROR(INDEX(FILTER($P184:$AL184, $P184:$AL184 &lt;&gt; """"), 5),)"),"")</f>
        <v/>
      </c>
      <c r="L184" s="107"/>
      <c r="M184" s="107"/>
      <c r="N184" s="107"/>
      <c r="O184" s="107"/>
      <c r="P184" s="132" t="str">
        <f>IF(COUNTIF('Fintech-A'!$A:$A, $C184), P$1, "")</f>
        <v/>
      </c>
      <c r="Q184" s="132" t="str">
        <f>IF(COUNTIF('Fintech-B'!$A:$A, $C184), Q$1, "")</f>
        <v/>
      </c>
      <c r="R184" s="132" t="str">
        <f>IF(COUNTIF('BEDM-A'!$A:$A, $C184), R$1, "")</f>
        <v/>
      </c>
      <c r="S184" s="132" t="str">
        <f>IF(COUNTIF('BEDM-B'!$A:$A, $C184), S$1, "")</f>
        <v/>
      </c>
      <c r="T184" s="132" t="str">
        <f>IF(COUNTIF('Art-A'!$A:$A, $C184), T$1, "")</f>
        <v/>
      </c>
      <c r="U184" s="132" t="str">
        <f>IF(COUNTIF('Art-B'!$A:$A, $C184), U$1, "")</f>
        <v/>
      </c>
      <c r="V184" s="132" t="str">
        <f>IF(COUNTIF('WH-A'!$A:$A, $C184), V$1, "")</f>
        <v/>
      </c>
      <c r="W184" s="132" t="str">
        <f>IF(COUNTIF('WH-B'!$A:$A, $C184), W$1, "")</f>
        <v/>
      </c>
      <c r="X184" s="132" t="str">
        <f>IF(COUNTIF(LETV!$A:$A, $C184), X$1, "")</f>
        <v/>
      </c>
      <c r="Y184" s="132" t="str">
        <f>IF(COUNTIF('Film&amp;Firm-A'!$A:$A, $C184), Y$1, "")</f>
        <v/>
      </c>
      <c r="Z184" s="132" t="str">
        <f>IF(COUNTIF('Film&amp;Firm-B'!$A:$A, $C184), Z$1, "")</f>
        <v>Film &amp; the Firm: Visual Culture in Business Contexts (B)</v>
      </c>
      <c r="AA184" s="132" t="str">
        <f>IF(COUNTIF(SHRM!$A:$A, $C184), AA$1, "")</f>
        <v/>
      </c>
      <c r="AB184" s="132" t="str">
        <f>IF(COUNTIF('SCM-A'!$A:$A, $C184), AB$1, "")</f>
        <v/>
      </c>
      <c r="AC184" s="132" t="str">
        <f>IF(COUNTIF('SCM-B'!$A:$A, $C184), AC$1, "")</f>
        <v/>
      </c>
      <c r="AD184" s="132" t="str">
        <f>IF(COUNTIF(AIS!$A:$A, $C184), AD$1, "")</f>
        <v/>
      </c>
      <c r="AE184" s="132" t="str">
        <f>IF(COUNTIF(EB!$A:$A, $C184), AE$1, "")</f>
        <v>Employer Branding</v>
      </c>
      <c r="AF184" s="132" t="str">
        <f>IF(COUNTIF('AIAM-A'!$A:$A, $C184), AF$1, "")</f>
        <v/>
      </c>
      <c r="AG184" s="132" t="str">
        <f>IF(COUNTIF('AIAM-B'!$A:$A, $C184), AG$1, "")</f>
        <v/>
      </c>
      <c r="AH184" s="132" t="str">
        <f>IF(COUNTIF('SA-A'!$A:$A, $C184), AH$1, "")</f>
        <v/>
      </c>
      <c r="AI184" s="132" t="str">
        <f>IF(COUNTIF('SA-B'!$A:$A, $C184), AI$1, "")</f>
        <v/>
      </c>
      <c r="AJ184" s="132" t="str">
        <f>IF(COUNTIF(CSM!$A:$A, $C184), AJ$1, "")</f>
        <v>Customer Success Management</v>
      </c>
      <c r="AK184" s="132" t="str">
        <f>IF(COUNTIF(EM!$A:$A, $C184), AK$1, "")</f>
        <v/>
      </c>
      <c r="AL184" s="132" t="str">
        <f>IF(COUNTIF(I4TS!$A:$A, $C184), AL$1, "")</f>
        <v/>
      </c>
    </row>
    <row r="185" spans="1:38" ht="13">
      <c r="A185" s="131">
        <v>184</v>
      </c>
      <c r="B185" s="131" t="s">
        <v>734</v>
      </c>
      <c r="C185" s="131" t="s">
        <v>876</v>
      </c>
      <c r="D185" s="106" t="s">
        <v>877</v>
      </c>
      <c r="E185" s="106" t="s">
        <v>878</v>
      </c>
      <c r="F185" s="131">
        <f t="shared" ca="1" si="0"/>
        <v>5</v>
      </c>
      <c r="G185" s="106" t="str">
        <f ca="1">IFERROR(__xludf.DUMMYFUNCTION("INDEX(FILTER($P185:$AL185, $P185:$AL185 &lt;&gt; """"), 1)"),"Behavioural Economics and Decision-Making (B)")</f>
        <v>Behavioural Economics and Decision-Making (B)</v>
      </c>
      <c r="H185" s="106" t="str">
        <f ca="1">IFERROR(__xludf.DUMMYFUNCTION("INDEX(FILTER($P185:$AL185, $P185:$AL185 &lt;&gt; """"), 2)"),"Film &amp; the Firm: Visual Culture in Business Contexts (A)")</f>
        <v>Film &amp; the Firm: Visual Culture in Business Contexts (A)</v>
      </c>
      <c r="I185" s="106" t="str">
        <f ca="1">IFERROR(__xludf.DUMMYFUNCTION("INDEX(FILTER($P185:$AL185, $P185:$AL185 &lt;&gt; """"), 3)"),"AI Applications in Marketing (B)")</f>
        <v>AI Applications in Marketing (B)</v>
      </c>
      <c r="J185" s="106" t="str">
        <f ca="1">IFERROR(__xludf.DUMMYFUNCTION("IFERROR(INDEX(FILTER($P185:$AL185, $P185:$AL185 &lt;&gt; """"), 4),)"),"SPORTS ANALYTICS (B)")</f>
        <v>SPORTS ANALYTICS (B)</v>
      </c>
      <c r="K185" s="106" t="str">
        <f ca="1">IFERROR(__xludf.DUMMYFUNCTION("IFERROR(INDEX(FILTER($P185:$AL185, $P185:$AL185 &lt;&gt; """"), 5),)"),"Customer Success Management")</f>
        <v>Customer Success Management</v>
      </c>
      <c r="L185" s="107"/>
      <c r="M185" s="107"/>
      <c r="N185" s="107"/>
      <c r="O185" s="107"/>
      <c r="P185" s="132" t="str">
        <f>IF(COUNTIF('Fintech-A'!$A:$A, $C185), P$1, "")</f>
        <v/>
      </c>
      <c r="Q185" s="132" t="str">
        <f>IF(COUNTIF('Fintech-B'!$A:$A, $C185), Q$1, "")</f>
        <v/>
      </c>
      <c r="R185" s="132" t="str">
        <f>IF(COUNTIF('BEDM-A'!$A:$A, $C185), R$1, "")</f>
        <v/>
      </c>
      <c r="S185" s="132" t="str">
        <f>IF(COUNTIF('BEDM-B'!$A:$A, $C185), S$1, "")</f>
        <v>Behavioural Economics and Decision-Making (B)</v>
      </c>
      <c r="T185" s="132" t="str">
        <f>IF(COUNTIF('Art-A'!$A:$A, $C185), T$1, "")</f>
        <v/>
      </c>
      <c r="U185" s="132" t="str">
        <f>IF(COUNTIF('Art-B'!$A:$A, $C185), U$1, "")</f>
        <v/>
      </c>
      <c r="V185" s="132" t="str">
        <f>IF(COUNTIF('WH-A'!$A:$A, $C185), V$1, "")</f>
        <v/>
      </c>
      <c r="W185" s="132" t="str">
        <f>IF(COUNTIF('WH-B'!$A:$A, $C185), W$1, "")</f>
        <v/>
      </c>
      <c r="X185" s="132" t="str">
        <f>IF(COUNTIF(LETV!$A:$A, $C185), X$1, "")</f>
        <v/>
      </c>
      <c r="Y185" s="132" t="str">
        <f>IF(COUNTIF('Film&amp;Firm-A'!$A:$A, $C185), Y$1, "")</f>
        <v>Film &amp; the Firm: Visual Culture in Business Contexts (A)</v>
      </c>
      <c r="Z185" s="132" t="str">
        <f>IF(COUNTIF('Film&amp;Firm-B'!$A:$A, $C185), Z$1, "")</f>
        <v/>
      </c>
      <c r="AA185" s="132" t="str">
        <f>IF(COUNTIF(SHRM!$A:$A, $C185), AA$1, "")</f>
        <v/>
      </c>
      <c r="AB185" s="132" t="str">
        <f>IF(COUNTIF('SCM-A'!$A:$A, $C185), AB$1, "")</f>
        <v/>
      </c>
      <c r="AC185" s="132" t="str">
        <f>IF(COUNTIF('SCM-B'!$A:$A, $C185), AC$1, "")</f>
        <v/>
      </c>
      <c r="AD185" s="132" t="str">
        <f>IF(COUNTIF(AIS!$A:$A, $C185), AD$1, "")</f>
        <v/>
      </c>
      <c r="AE185" s="132" t="str">
        <f>IF(COUNTIF(EB!$A:$A, $C185), AE$1, "")</f>
        <v/>
      </c>
      <c r="AF185" s="132" t="str">
        <f>IF(COUNTIF('AIAM-A'!$A:$A, $C185), AF$1, "")</f>
        <v/>
      </c>
      <c r="AG185" s="132" t="str">
        <f>IF(COUNTIF('AIAM-B'!$A:$A, $C185), AG$1, "")</f>
        <v>AI Applications in Marketing (B)</v>
      </c>
      <c r="AH185" s="132" t="str">
        <f>IF(COUNTIF('SA-A'!$A:$A, $C185), AH$1, "")</f>
        <v/>
      </c>
      <c r="AI185" s="132" t="str">
        <f>IF(COUNTIF('SA-B'!$A:$A, $C185), AI$1, "")</f>
        <v>SPORTS ANALYTICS (B)</v>
      </c>
      <c r="AJ185" s="132" t="str">
        <f>IF(COUNTIF(CSM!$A:$A, $C185), AJ$1, "")</f>
        <v>Customer Success Management</v>
      </c>
      <c r="AK185" s="132" t="str">
        <f>IF(COUNTIF(EM!$A:$A, $C185), AK$1, "")</f>
        <v/>
      </c>
      <c r="AL185" s="132" t="str">
        <f>IF(COUNTIF(I4TS!$A:$A, $C185), AL$1, "")</f>
        <v/>
      </c>
    </row>
    <row r="186" spans="1:38" ht="13">
      <c r="A186" s="131">
        <v>185</v>
      </c>
      <c r="B186" s="131" t="s">
        <v>734</v>
      </c>
      <c r="C186" s="131" t="s">
        <v>879</v>
      </c>
      <c r="D186" s="106" t="s">
        <v>880</v>
      </c>
      <c r="E186" s="106" t="s">
        <v>881</v>
      </c>
      <c r="F186" s="131">
        <f t="shared" ca="1" si="0"/>
        <v>5</v>
      </c>
      <c r="G186" s="106" t="str">
        <f ca="1">IFERROR(__xludf.DUMMYFUNCTION("INDEX(FILTER($P186:$AL186, $P186:$AL186 &lt;&gt; """"), 1)"),"Fintech (Digital Transformation in Finance) (B)")</f>
        <v>Fintech (Digital Transformation in Finance) (B)</v>
      </c>
      <c r="H186" s="106" t="str">
        <f ca="1">IFERROR(__xludf.DUMMYFUNCTION("INDEX(FILTER($P186:$AL186, $P186:$AL186 &lt;&gt; """"), 2)"),"Behavioural Economics and Decision-Making (A)")</f>
        <v>Behavioural Economics and Decision-Making (A)</v>
      </c>
      <c r="I186" s="106" t="str">
        <f ca="1">IFERROR(__xludf.DUMMYFUNCTION("INDEX(FILTER($P186:$AL186, $P186:$AL186 &lt;&gt; """"), 3)"),"Strategic Career Management (B)")</f>
        <v>Strategic Career Management (B)</v>
      </c>
      <c r="J186" s="106" t="str">
        <f ca="1">IFERROR(__xludf.DUMMYFUNCTION("IFERROR(INDEX(FILTER($P186:$AL186, $P186:$AL186 &lt;&gt; """"), 4),)"),"Entrepreneurial Marketing")</f>
        <v>Entrepreneurial Marketing</v>
      </c>
      <c r="K186" s="106" t="str">
        <f ca="1">IFERROR(__xludf.DUMMYFUNCTION("IFERROR(INDEX(FILTER($P186:$AL186, $P186:$AL186 &lt;&gt; """"), 5),)"),"Industry 4.0 in Transport Sector")</f>
        <v>Industry 4.0 in Transport Sector</v>
      </c>
      <c r="L186" s="107"/>
      <c r="M186" s="107"/>
      <c r="N186" s="107"/>
      <c r="O186" s="107"/>
      <c r="P186" s="132" t="str">
        <f>IF(COUNTIF('Fintech-A'!$A:$A, $C186), P$1, "")</f>
        <v/>
      </c>
      <c r="Q186" s="132" t="str">
        <f>IF(COUNTIF('Fintech-B'!$A:$A, $C186), Q$1, "")</f>
        <v>Fintech (Digital Transformation in Finance) (B)</v>
      </c>
      <c r="R186" s="132" t="str">
        <f>IF(COUNTIF('BEDM-A'!$A:$A, $C186), R$1, "")</f>
        <v>Behavioural Economics and Decision-Making (A)</v>
      </c>
      <c r="S186" s="132" t="str">
        <f>IF(COUNTIF('BEDM-B'!$A:$A, $C186), S$1, "")</f>
        <v/>
      </c>
      <c r="T186" s="132" t="str">
        <f>IF(COUNTIF('Art-A'!$A:$A, $C186), T$1, "")</f>
        <v/>
      </c>
      <c r="U186" s="132" t="str">
        <f>IF(COUNTIF('Art-B'!$A:$A, $C186), U$1, "")</f>
        <v/>
      </c>
      <c r="V186" s="132" t="str">
        <f>IF(COUNTIF('WH-A'!$A:$A, $C186), V$1, "")</f>
        <v/>
      </c>
      <c r="W186" s="132" t="str">
        <f>IF(COUNTIF('WH-B'!$A:$A, $C186), W$1, "")</f>
        <v/>
      </c>
      <c r="X186" s="132" t="str">
        <f>IF(COUNTIF(LETV!$A:$A, $C186), X$1, "")</f>
        <v/>
      </c>
      <c r="Y186" s="132" t="str">
        <f>IF(COUNTIF('Film&amp;Firm-A'!$A:$A, $C186), Y$1, "")</f>
        <v/>
      </c>
      <c r="Z186" s="132" t="str">
        <f>IF(COUNTIF('Film&amp;Firm-B'!$A:$A, $C186), Z$1, "")</f>
        <v/>
      </c>
      <c r="AA186" s="132" t="str">
        <f>IF(COUNTIF(SHRM!$A:$A, $C186), AA$1, "")</f>
        <v/>
      </c>
      <c r="AB186" s="132" t="str">
        <f>IF(COUNTIF('SCM-A'!$A:$A, $C186), AB$1, "")</f>
        <v/>
      </c>
      <c r="AC186" s="132" t="str">
        <f>IF(COUNTIF('SCM-B'!$A:$A, $C186), AC$1, "")</f>
        <v>Strategic Career Management (B)</v>
      </c>
      <c r="AD186" s="132" t="str">
        <f>IF(COUNTIF(AIS!$A:$A, $C186), AD$1, "")</f>
        <v/>
      </c>
      <c r="AE186" s="132" t="str">
        <f>IF(COUNTIF(EB!$A:$A, $C186), AE$1, "")</f>
        <v/>
      </c>
      <c r="AF186" s="132" t="str">
        <f>IF(COUNTIF('AIAM-A'!$A:$A, $C186), AF$1, "")</f>
        <v/>
      </c>
      <c r="AG186" s="132" t="str">
        <f>IF(COUNTIF('AIAM-B'!$A:$A, $C186), AG$1, "")</f>
        <v/>
      </c>
      <c r="AH186" s="132" t="str">
        <f>IF(COUNTIF('SA-A'!$A:$A, $C186), AH$1, "")</f>
        <v/>
      </c>
      <c r="AI186" s="132" t="str">
        <f>IF(COUNTIF('SA-B'!$A:$A, $C186), AI$1, "")</f>
        <v/>
      </c>
      <c r="AJ186" s="132" t="str">
        <f>IF(COUNTIF(CSM!$A:$A, $C186), AJ$1, "")</f>
        <v/>
      </c>
      <c r="AK186" s="132" t="str">
        <f>IF(COUNTIF(EM!$A:$A, $C186), AK$1, "")</f>
        <v>Entrepreneurial Marketing</v>
      </c>
      <c r="AL186" s="132" t="str">
        <f>IF(COUNTIF(I4TS!$A:$A, $C186), AL$1, "")</f>
        <v>Industry 4.0 in Transport Sector</v>
      </c>
    </row>
    <row r="187" spans="1:38" ht="13">
      <c r="A187" s="131">
        <v>186</v>
      </c>
      <c r="B187" s="131" t="s">
        <v>734</v>
      </c>
      <c r="C187" s="131" t="s">
        <v>882</v>
      </c>
      <c r="D187" s="106" t="s">
        <v>883</v>
      </c>
      <c r="E187" s="106" t="s">
        <v>884</v>
      </c>
      <c r="F187" s="131">
        <f t="shared" ca="1" si="0"/>
        <v>5</v>
      </c>
      <c r="G187" s="106" t="str">
        <f ca="1">IFERROR(__xludf.DUMMYFUNCTION("INDEX(FILTER($P187:$AL187, $P187:$AL187 &lt;&gt; """"), 1)"),"Fintech (Digital Transformation in Finance) (A)")</f>
        <v>Fintech (Digital Transformation in Finance) (A)</v>
      </c>
      <c r="H187" s="106" t="str">
        <f ca="1">IFERROR(__xludf.DUMMYFUNCTION("INDEX(FILTER($P187:$AL187, $P187:$AL187 &lt;&gt; """"), 2)"),"AI Applications in Marketing (B)")</f>
        <v>AI Applications in Marketing (B)</v>
      </c>
      <c r="I187" s="106" t="str">
        <f ca="1">IFERROR(__xludf.DUMMYFUNCTION("INDEX(FILTER($P187:$AL187, $P187:$AL187 &lt;&gt; """"), 3)"),"SPORTS ANALYTICS (B)")</f>
        <v>SPORTS ANALYTICS (B)</v>
      </c>
      <c r="J187" s="106" t="str">
        <f ca="1">IFERROR(__xludf.DUMMYFUNCTION("IFERROR(INDEX(FILTER($P187:$AL187, $P187:$AL187 &lt;&gt; """"), 4),)"),"")</f>
        <v/>
      </c>
      <c r="K187" s="106" t="str">
        <f ca="1">IFERROR(__xludf.DUMMYFUNCTION("IFERROR(INDEX(FILTER($P187:$AL187, $P187:$AL187 &lt;&gt; """"), 5),)"),"")</f>
        <v/>
      </c>
      <c r="L187" s="107"/>
      <c r="M187" s="107"/>
      <c r="N187" s="107"/>
      <c r="O187" s="107"/>
      <c r="P187" s="132" t="str">
        <f>IF(COUNTIF('Fintech-A'!$A:$A, $C187), P$1, "")</f>
        <v>Fintech (Digital Transformation in Finance) (A)</v>
      </c>
      <c r="Q187" s="132" t="str">
        <f>IF(COUNTIF('Fintech-B'!$A:$A, $C187), Q$1, "")</f>
        <v/>
      </c>
      <c r="R187" s="132" t="str">
        <f>IF(COUNTIF('BEDM-A'!$A:$A, $C187), R$1, "")</f>
        <v/>
      </c>
      <c r="S187" s="132" t="str">
        <f>IF(COUNTIF('BEDM-B'!$A:$A, $C187), S$1, "")</f>
        <v/>
      </c>
      <c r="T187" s="132" t="str">
        <f>IF(COUNTIF('Art-A'!$A:$A, $C187), T$1, "")</f>
        <v/>
      </c>
      <c r="U187" s="132" t="str">
        <f>IF(COUNTIF('Art-B'!$A:$A, $C187), U$1, "")</f>
        <v/>
      </c>
      <c r="V187" s="132" t="str">
        <f>IF(COUNTIF('WH-A'!$A:$A, $C187), V$1, "")</f>
        <v/>
      </c>
      <c r="W187" s="132" t="str">
        <f>IF(COUNTIF('WH-B'!$A:$A, $C187), W$1, "")</f>
        <v/>
      </c>
      <c r="X187" s="132" t="str">
        <f>IF(COUNTIF(LETV!$A:$A, $C187), X$1, "")</f>
        <v/>
      </c>
      <c r="Y187" s="132" t="str">
        <f>IF(COUNTIF('Film&amp;Firm-A'!$A:$A, $C187), Y$1, "")</f>
        <v/>
      </c>
      <c r="Z187" s="132" t="str">
        <f>IF(COUNTIF('Film&amp;Firm-B'!$A:$A, $C187), Z$1, "")</f>
        <v/>
      </c>
      <c r="AA187" s="132" t="str">
        <f>IF(COUNTIF(SHRM!$A:$A, $C187), AA$1, "")</f>
        <v/>
      </c>
      <c r="AB187" s="132" t="str">
        <f>IF(COUNTIF('SCM-A'!$A:$A, $C187), AB$1, "")</f>
        <v/>
      </c>
      <c r="AC187" s="132" t="str">
        <f>IF(COUNTIF('SCM-B'!$A:$A, $C187), AC$1, "")</f>
        <v/>
      </c>
      <c r="AD187" s="132" t="str">
        <f>IF(COUNTIF(AIS!$A:$A, $C187), AD$1, "")</f>
        <v/>
      </c>
      <c r="AE187" s="132" t="str">
        <f>IF(COUNTIF(EB!$A:$A, $C187), AE$1, "")</f>
        <v/>
      </c>
      <c r="AF187" s="132" t="str">
        <f>IF(COUNTIF('AIAM-A'!$A:$A, $C187), AF$1, "")</f>
        <v/>
      </c>
      <c r="AG187" s="132" t="str">
        <f>IF(COUNTIF('AIAM-B'!$A:$A, $C187), AG$1, "")</f>
        <v>AI Applications in Marketing (B)</v>
      </c>
      <c r="AH187" s="132" t="str">
        <f>IF(COUNTIF('SA-A'!$A:$A, $C187), AH$1, "")</f>
        <v/>
      </c>
      <c r="AI187" s="132" t="str">
        <f>IF(COUNTIF('SA-B'!$A:$A, $C187), AI$1, "")</f>
        <v>SPORTS ANALYTICS (B)</v>
      </c>
      <c r="AJ187" s="132" t="str">
        <f>IF(COUNTIF(CSM!$A:$A, $C187), AJ$1, "")</f>
        <v/>
      </c>
      <c r="AK187" s="132" t="str">
        <f>IF(COUNTIF(EM!$A:$A, $C187), AK$1, "")</f>
        <v/>
      </c>
      <c r="AL187" s="132" t="str">
        <f>IF(COUNTIF(I4TS!$A:$A, $C187), AL$1, "")</f>
        <v/>
      </c>
    </row>
    <row r="188" spans="1:38" ht="13">
      <c r="A188" s="131">
        <v>187</v>
      </c>
      <c r="B188" s="131" t="s">
        <v>734</v>
      </c>
      <c r="C188" s="131" t="s">
        <v>885</v>
      </c>
      <c r="D188" s="106" t="s">
        <v>886</v>
      </c>
      <c r="E188" s="106" t="s">
        <v>887</v>
      </c>
      <c r="F188" s="131">
        <f t="shared" ca="1" si="0"/>
        <v>5</v>
      </c>
      <c r="G188" s="106" t="str">
        <f ca="1">IFERROR(__xludf.DUMMYFUNCTION("INDEX(FILTER($P188:$AL188, $P188:$AL188 &lt;&gt; """"), 1)"),"Fintech (Digital Transformation in Finance) (B)")</f>
        <v>Fintech (Digital Transformation in Finance) (B)</v>
      </c>
      <c r="H188" s="106" t="str">
        <f ca="1">IFERROR(__xludf.DUMMYFUNCTION("INDEX(FILTER($P188:$AL188, $P188:$AL188 &lt;&gt; """"), 2)"),"Film &amp; the Firm: Visual Culture in Business Contexts (A)")</f>
        <v>Film &amp; the Firm: Visual Culture in Business Contexts (A)</v>
      </c>
      <c r="I188" s="106" t="str">
        <f ca="1">IFERROR(__xludf.DUMMYFUNCTION("INDEX(FILTER($P188:$AL188, $P188:$AL188 &lt;&gt; """"), 3)"),"Industry 4.0 in Transport Sector")</f>
        <v>Industry 4.0 in Transport Sector</v>
      </c>
      <c r="J188" s="106" t="str">
        <f ca="1">IFERROR(__xludf.DUMMYFUNCTION("IFERROR(INDEX(FILTER($P188:$AL188, $P188:$AL188 &lt;&gt; """"), 4),)"),"")</f>
        <v/>
      </c>
      <c r="K188" s="106" t="str">
        <f ca="1">IFERROR(__xludf.DUMMYFUNCTION("IFERROR(INDEX(FILTER($P188:$AL188, $P188:$AL188 &lt;&gt; """"), 5),)"),"")</f>
        <v/>
      </c>
      <c r="L188" s="107"/>
      <c r="M188" s="107"/>
      <c r="N188" s="107"/>
      <c r="O188" s="107"/>
      <c r="P188" s="132" t="str">
        <f>IF(COUNTIF('Fintech-A'!$A:$A, $C188), P$1, "")</f>
        <v/>
      </c>
      <c r="Q188" s="132" t="str">
        <f>IF(COUNTIF('Fintech-B'!$A:$A, $C188), Q$1, "")</f>
        <v>Fintech (Digital Transformation in Finance) (B)</v>
      </c>
      <c r="R188" s="132" t="str">
        <f>IF(COUNTIF('BEDM-A'!$A:$A, $C188), R$1, "")</f>
        <v/>
      </c>
      <c r="S188" s="132" t="str">
        <f>IF(COUNTIF('BEDM-B'!$A:$A, $C188), S$1, "")</f>
        <v/>
      </c>
      <c r="T188" s="132" t="str">
        <f>IF(COUNTIF('Art-A'!$A:$A, $C188), T$1, "")</f>
        <v/>
      </c>
      <c r="U188" s="132" t="str">
        <f>IF(COUNTIF('Art-B'!$A:$A, $C188), U$1, "")</f>
        <v/>
      </c>
      <c r="V188" s="132" t="str">
        <f>IF(COUNTIF('WH-A'!$A:$A, $C188), V$1, "")</f>
        <v/>
      </c>
      <c r="W188" s="132" t="str">
        <f>IF(COUNTIF('WH-B'!$A:$A, $C188), W$1, "")</f>
        <v/>
      </c>
      <c r="X188" s="132" t="str">
        <f>IF(COUNTIF(LETV!$A:$A, $C188), X$1, "")</f>
        <v/>
      </c>
      <c r="Y188" s="132" t="str">
        <f>IF(COUNTIF('Film&amp;Firm-A'!$A:$A, $C188), Y$1, "")</f>
        <v>Film &amp; the Firm: Visual Culture in Business Contexts (A)</v>
      </c>
      <c r="Z188" s="132" t="str">
        <f>IF(COUNTIF('Film&amp;Firm-B'!$A:$A, $C188), Z$1, "")</f>
        <v/>
      </c>
      <c r="AA188" s="132" t="str">
        <f>IF(COUNTIF(SHRM!$A:$A, $C188), AA$1, "")</f>
        <v/>
      </c>
      <c r="AB188" s="132" t="str">
        <f>IF(COUNTIF('SCM-A'!$A:$A, $C188), AB$1, "")</f>
        <v/>
      </c>
      <c r="AC188" s="132" t="str">
        <f>IF(COUNTIF('SCM-B'!$A:$A, $C188), AC$1, "")</f>
        <v/>
      </c>
      <c r="AD188" s="132" t="str">
        <f>IF(COUNTIF(AIS!$A:$A, $C188), AD$1, "")</f>
        <v/>
      </c>
      <c r="AE188" s="132" t="str">
        <f>IF(COUNTIF(EB!$A:$A, $C188), AE$1, "")</f>
        <v/>
      </c>
      <c r="AF188" s="132" t="str">
        <f>IF(COUNTIF('AIAM-A'!$A:$A, $C188), AF$1, "")</f>
        <v/>
      </c>
      <c r="AG188" s="132" t="str">
        <f>IF(COUNTIF('AIAM-B'!$A:$A, $C188), AG$1, "")</f>
        <v/>
      </c>
      <c r="AH188" s="132" t="str">
        <f>IF(COUNTIF('SA-A'!$A:$A, $C188), AH$1, "")</f>
        <v/>
      </c>
      <c r="AI188" s="132" t="str">
        <f>IF(COUNTIF('SA-B'!$A:$A, $C188), AI$1, "")</f>
        <v/>
      </c>
      <c r="AJ188" s="132" t="str">
        <f>IF(COUNTIF(CSM!$A:$A, $C188), AJ$1, "")</f>
        <v/>
      </c>
      <c r="AK188" s="132" t="str">
        <f>IF(COUNTIF(EM!$A:$A, $C188), AK$1, "")</f>
        <v/>
      </c>
      <c r="AL188" s="132" t="str">
        <f>IF(COUNTIF(I4TS!$A:$A, $C188), AL$1, "")</f>
        <v>Industry 4.0 in Transport Sector</v>
      </c>
    </row>
    <row r="189" spans="1:38" ht="13">
      <c r="A189" s="131">
        <v>188</v>
      </c>
      <c r="B189" s="131" t="s">
        <v>734</v>
      </c>
      <c r="C189" s="131" t="s">
        <v>888</v>
      </c>
      <c r="D189" s="106" t="s">
        <v>889</v>
      </c>
      <c r="E189" s="106" t="s">
        <v>890</v>
      </c>
      <c r="F189" s="131">
        <f t="shared" ca="1" si="0"/>
        <v>5</v>
      </c>
      <c r="G189" s="106" t="str">
        <f ca="1">IFERROR(__xludf.DUMMYFUNCTION("INDEX(FILTER($P189:$AL189, $P189:$AL189 &lt;&gt; """"), 1)"),"The Art, Craft, and Science of Management: Learning through Classics and Best Collections (A)")</f>
        <v>The Art, Craft, and Science of Management: Learning through Classics and Best Collections (A)</v>
      </c>
      <c r="H189" s="106" t="str">
        <f ca="1">IFERROR(__xludf.DUMMYFUNCTION("INDEX(FILTER($P189:$AL189, $P189:$AL189 &lt;&gt; """"), 2)"),"Leadership Excellence Through Values : Wisdom from the Mahabharata")</f>
        <v>Leadership Excellence Through Values : Wisdom from the Mahabharata</v>
      </c>
      <c r="I189" s="106" t="str">
        <f ca="1">IFERROR(__xludf.DUMMYFUNCTION("INDEX(FILTER($P189:$AL189, $P189:$AL189 &lt;&gt; """"), 3)"),"Strategic Career Management (B)")</f>
        <v>Strategic Career Management (B)</v>
      </c>
      <c r="J189" s="106" t="str">
        <f ca="1">IFERROR(__xludf.DUMMYFUNCTION("IFERROR(INDEX(FILTER($P189:$AL189, $P189:$AL189 &lt;&gt; """"), 4),)"),"Employer Branding")</f>
        <v>Employer Branding</v>
      </c>
      <c r="K189" s="106" t="str">
        <f ca="1">IFERROR(__xludf.DUMMYFUNCTION("IFERROR(INDEX(FILTER($P189:$AL189, $P189:$AL189 &lt;&gt; """"), 5),)"),"AI Applications in Marketing (A)")</f>
        <v>AI Applications in Marketing (A)</v>
      </c>
      <c r="L189" s="107"/>
      <c r="M189" s="107"/>
      <c r="N189" s="107"/>
      <c r="O189" s="107"/>
      <c r="P189" s="132" t="str">
        <f>IF(COUNTIF('Fintech-A'!$A:$A, $C189), P$1, "")</f>
        <v/>
      </c>
      <c r="Q189" s="132" t="str">
        <f>IF(COUNTIF('Fintech-B'!$A:$A, $C189), Q$1, "")</f>
        <v/>
      </c>
      <c r="R189" s="132" t="str">
        <f>IF(COUNTIF('BEDM-A'!$A:$A, $C189), R$1, "")</f>
        <v/>
      </c>
      <c r="S189" s="132" t="str">
        <f>IF(COUNTIF('BEDM-B'!$A:$A, $C189), S$1, "")</f>
        <v/>
      </c>
      <c r="T189" s="132" t="str">
        <f>IF(COUNTIF('Art-A'!$A:$A, $C189), T$1, "")</f>
        <v>The Art, Craft, and Science of Management: Learning through Classics and Best Collections (A)</v>
      </c>
      <c r="U189" s="132" t="str">
        <f>IF(COUNTIF('Art-B'!$A:$A, $C189), U$1, "")</f>
        <v/>
      </c>
      <c r="V189" s="132" t="str">
        <f>IF(COUNTIF('WH-A'!$A:$A, $C189), V$1, "")</f>
        <v/>
      </c>
      <c r="W189" s="132" t="str">
        <f>IF(COUNTIF('WH-B'!$A:$A, $C189), W$1, "")</f>
        <v/>
      </c>
      <c r="X189" s="132" t="str">
        <f>IF(COUNTIF(LETV!$A:$A, $C189), X$1, "")</f>
        <v>Leadership Excellence Through Values : Wisdom from the Mahabharata</v>
      </c>
      <c r="Y189" s="132" t="str">
        <f>IF(COUNTIF('Film&amp;Firm-A'!$A:$A, $C189), Y$1, "")</f>
        <v/>
      </c>
      <c r="Z189" s="132" t="str">
        <f>IF(COUNTIF('Film&amp;Firm-B'!$A:$A, $C189), Z$1, "")</f>
        <v/>
      </c>
      <c r="AA189" s="132" t="str">
        <f>IF(COUNTIF(SHRM!$A:$A, $C189), AA$1, "")</f>
        <v/>
      </c>
      <c r="AB189" s="132" t="str">
        <f>IF(COUNTIF('SCM-A'!$A:$A, $C189), AB$1, "")</f>
        <v/>
      </c>
      <c r="AC189" s="132" t="str">
        <f>IF(COUNTIF('SCM-B'!$A:$A, $C189), AC$1, "")</f>
        <v>Strategic Career Management (B)</v>
      </c>
      <c r="AD189" s="132" t="str">
        <f>IF(COUNTIF(AIS!$A:$A, $C189), AD$1, "")</f>
        <v/>
      </c>
      <c r="AE189" s="132" t="str">
        <f>IF(COUNTIF(EB!$A:$A, $C189), AE$1, "")</f>
        <v>Employer Branding</v>
      </c>
      <c r="AF189" s="132" t="str">
        <f>IF(COUNTIF('AIAM-A'!$A:$A, $C189), AF$1, "")</f>
        <v>AI Applications in Marketing (A)</v>
      </c>
      <c r="AG189" s="132" t="str">
        <f>IF(COUNTIF('AIAM-B'!$A:$A, $C189), AG$1, "")</f>
        <v/>
      </c>
      <c r="AH189" s="132" t="str">
        <f>IF(COUNTIF('SA-A'!$A:$A, $C189), AH$1, "")</f>
        <v/>
      </c>
      <c r="AI189" s="132" t="str">
        <f>IF(COUNTIF('SA-B'!$A:$A, $C189), AI$1, "")</f>
        <v/>
      </c>
      <c r="AJ189" s="132" t="str">
        <f>IF(COUNTIF(CSM!$A:$A, $C189), AJ$1, "")</f>
        <v/>
      </c>
      <c r="AK189" s="132" t="str">
        <f>IF(COUNTIF(EM!$A:$A, $C189), AK$1, "")</f>
        <v/>
      </c>
      <c r="AL189" s="132" t="str">
        <f>IF(COUNTIF(I4TS!$A:$A, $C189), AL$1, "")</f>
        <v/>
      </c>
    </row>
    <row r="190" spans="1:38" ht="13">
      <c r="A190" s="131">
        <v>189</v>
      </c>
      <c r="B190" s="131" t="s">
        <v>734</v>
      </c>
      <c r="C190" s="131" t="s">
        <v>213</v>
      </c>
      <c r="D190" s="106" t="s">
        <v>891</v>
      </c>
      <c r="E190" s="106" t="s">
        <v>892</v>
      </c>
      <c r="F190" s="131">
        <f t="shared" ca="1" si="0"/>
        <v>5</v>
      </c>
      <c r="G190" s="106" t="str">
        <f ca="1">IFERROR(__xludf.DUMMYFUNCTION("INDEX(FILTER($P190:$AL190, $P190:$AL190 &lt;&gt; """"), 1)"),"Behavioural Economics and Decision-Making (B)")</f>
        <v>Behavioural Economics and Decision-Making (B)</v>
      </c>
      <c r="H190" s="106" t="str">
        <f ca="1">IFERROR(__xludf.DUMMYFUNCTION("INDEX(FILTER($P190:$AL190, $P190:$AL190 &lt;&gt; """"), 2)"),"AI Applications in Marketing (A)")</f>
        <v>AI Applications in Marketing (A)</v>
      </c>
      <c r="I190" s="106" t="str">
        <f ca="1">IFERROR(__xludf.DUMMYFUNCTION("INDEX(FILTER($P190:$AL190, $P190:$AL190 &lt;&gt; """"), 3)"),"SPORTS ANALYTICS (A)")</f>
        <v>SPORTS ANALYTICS (A)</v>
      </c>
      <c r="J190" s="106" t="str">
        <f ca="1">IFERROR(__xludf.DUMMYFUNCTION("IFERROR(INDEX(FILTER($P190:$AL190, $P190:$AL190 &lt;&gt; """"), 4),)"),"")</f>
        <v/>
      </c>
      <c r="K190" s="106" t="str">
        <f ca="1">IFERROR(__xludf.DUMMYFUNCTION("IFERROR(INDEX(FILTER($P190:$AL190, $P190:$AL190 &lt;&gt; """"), 5),)"),"")</f>
        <v/>
      </c>
      <c r="L190" s="107"/>
      <c r="M190" s="107"/>
      <c r="N190" s="107"/>
      <c r="O190" s="107"/>
      <c r="P190" s="132" t="str">
        <f>IF(COUNTIF('Fintech-A'!$A:$A, $C190), P$1, "")</f>
        <v/>
      </c>
      <c r="Q190" s="132" t="str">
        <f>IF(COUNTIF('Fintech-B'!$A:$A, $C190), Q$1, "")</f>
        <v/>
      </c>
      <c r="R190" s="132" t="str">
        <f>IF(COUNTIF('BEDM-A'!$A:$A, $C190), R$1, "")</f>
        <v/>
      </c>
      <c r="S190" s="132" t="str">
        <f>IF(COUNTIF('BEDM-B'!$A:$A, $C190), S$1, "")</f>
        <v>Behavioural Economics and Decision-Making (B)</v>
      </c>
      <c r="T190" s="132" t="str">
        <f>IF(COUNTIF('Art-A'!$A:$A, $C190), T$1, "")</f>
        <v/>
      </c>
      <c r="U190" s="132" t="str">
        <f>IF(COUNTIF('Art-B'!$A:$A, $C190), U$1, "")</f>
        <v/>
      </c>
      <c r="V190" s="132" t="str">
        <f>IF(COUNTIF('WH-A'!$A:$A, $C190), V$1, "")</f>
        <v/>
      </c>
      <c r="W190" s="132" t="str">
        <f>IF(COUNTIF('WH-B'!$A:$A, $C190), W$1, "")</f>
        <v/>
      </c>
      <c r="X190" s="132" t="str">
        <f>IF(COUNTIF(LETV!$A:$A, $C190), X$1, "")</f>
        <v/>
      </c>
      <c r="Y190" s="132" t="str">
        <f>IF(COUNTIF('Film&amp;Firm-A'!$A:$A, $C190), Y$1, "")</f>
        <v/>
      </c>
      <c r="Z190" s="132" t="str">
        <f>IF(COUNTIF('Film&amp;Firm-B'!$A:$A, $C190), Z$1, "")</f>
        <v/>
      </c>
      <c r="AA190" s="132" t="str">
        <f>IF(COUNTIF(SHRM!$A:$A, $C190), AA$1, "")</f>
        <v/>
      </c>
      <c r="AB190" s="132" t="str">
        <f>IF(COUNTIF('SCM-A'!$A:$A, $C190), AB$1, "")</f>
        <v/>
      </c>
      <c r="AC190" s="132" t="str">
        <f>IF(COUNTIF('SCM-B'!$A:$A, $C190), AC$1, "")</f>
        <v/>
      </c>
      <c r="AD190" s="132" t="str">
        <f>IF(COUNTIF(AIS!$A:$A, $C190), AD$1, "")</f>
        <v/>
      </c>
      <c r="AE190" s="132" t="str">
        <f>IF(COUNTIF(EB!$A:$A, $C190), AE$1, "")</f>
        <v/>
      </c>
      <c r="AF190" s="132" t="str">
        <f>IF(COUNTIF('AIAM-A'!$A:$A, $C190), AF$1, "")</f>
        <v>AI Applications in Marketing (A)</v>
      </c>
      <c r="AG190" s="132" t="str">
        <f>IF(COUNTIF('AIAM-B'!$A:$A, $C190), AG$1, "")</f>
        <v/>
      </c>
      <c r="AH190" s="132" t="str">
        <f>IF(COUNTIF('SA-A'!$A:$A, $C190), AH$1, "")</f>
        <v>SPORTS ANALYTICS (A)</v>
      </c>
      <c r="AI190" s="132" t="str">
        <f>IF(COUNTIF('SA-B'!$A:$A, $C190), AI$1, "")</f>
        <v/>
      </c>
      <c r="AJ190" s="132" t="str">
        <f>IF(COUNTIF(CSM!$A:$A, $C190), AJ$1, "")</f>
        <v/>
      </c>
      <c r="AK190" s="132" t="str">
        <f>IF(COUNTIF(EM!$A:$A, $C190), AK$1, "")</f>
        <v/>
      </c>
      <c r="AL190" s="132" t="str">
        <f>IF(COUNTIF(I4TS!$A:$A, $C190), AL$1, "")</f>
        <v/>
      </c>
    </row>
    <row r="191" spans="1:38" ht="13">
      <c r="A191" s="131">
        <v>190</v>
      </c>
      <c r="B191" s="131" t="s">
        <v>734</v>
      </c>
      <c r="C191" s="131" t="s">
        <v>214</v>
      </c>
      <c r="D191" s="106" t="s">
        <v>893</v>
      </c>
      <c r="E191" s="106" t="s">
        <v>894</v>
      </c>
      <c r="F191" s="131">
        <f t="shared" ca="1" si="0"/>
        <v>5</v>
      </c>
      <c r="G191" s="106" t="str">
        <f ca="1">IFERROR(__xludf.DUMMYFUNCTION("INDEX(FILTER($P191:$AL191, $P191:$AL191 &lt;&gt; """"), 1)"),"Workplace Happiness: Science &amp; Practice (A)")</f>
        <v>Workplace Happiness: Science &amp; Practice (A)</v>
      </c>
      <c r="H191" s="106" t="str">
        <f ca="1">IFERROR(__xludf.DUMMYFUNCTION("INDEX(FILTER($P191:$AL191, $P191:$AL191 &lt;&gt; """"), 2)"),"Leadership Excellence Through Values : Wisdom from the Mahabharata")</f>
        <v>Leadership Excellence Through Values : Wisdom from the Mahabharata</v>
      </c>
      <c r="I191" s="106" t="str">
        <f ca="1">IFERROR(__xludf.DUMMYFUNCTION("INDEX(FILTER($P191:$AL191, $P191:$AL191 &lt;&gt; """"), 3)"),"Film &amp; the Firm: Visual Culture in Business Contexts (A)")</f>
        <v>Film &amp; the Firm: Visual Culture in Business Contexts (A)</v>
      </c>
      <c r="J191" s="106" t="str">
        <f ca="1">IFERROR(__xludf.DUMMYFUNCTION("IFERROR(INDEX(FILTER($P191:$AL191, $P191:$AL191 &lt;&gt; """"), 4),)"),"")</f>
        <v/>
      </c>
      <c r="K191" s="106" t="str">
        <f ca="1">IFERROR(__xludf.DUMMYFUNCTION("IFERROR(INDEX(FILTER($P191:$AL191, $P191:$AL191 &lt;&gt; """"), 5),)"),"")</f>
        <v/>
      </c>
      <c r="L191" s="107"/>
      <c r="M191" s="107"/>
      <c r="N191" s="107"/>
      <c r="O191" s="107"/>
      <c r="P191" s="132" t="str">
        <f>IF(COUNTIF('Fintech-A'!$A:$A, $C191), P$1, "")</f>
        <v/>
      </c>
      <c r="Q191" s="132" t="str">
        <f>IF(COUNTIF('Fintech-B'!$A:$A, $C191), Q$1, "")</f>
        <v/>
      </c>
      <c r="R191" s="132" t="str">
        <f>IF(COUNTIF('BEDM-A'!$A:$A, $C191), R$1, "")</f>
        <v/>
      </c>
      <c r="S191" s="132" t="str">
        <f>IF(COUNTIF('BEDM-B'!$A:$A, $C191), S$1, "")</f>
        <v/>
      </c>
      <c r="T191" s="132" t="str">
        <f>IF(COUNTIF('Art-A'!$A:$A, $C191), T$1, "")</f>
        <v/>
      </c>
      <c r="U191" s="132" t="str">
        <f>IF(COUNTIF('Art-B'!$A:$A, $C191), U$1, "")</f>
        <v/>
      </c>
      <c r="V191" s="132" t="str">
        <f>IF(COUNTIF('WH-A'!$A:$A, $C191), V$1, "")</f>
        <v>Workplace Happiness: Science &amp; Practice (A)</v>
      </c>
      <c r="W191" s="132" t="str">
        <f>IF(COUNTIF('WH-B'!$A:$A, $C191), W$1, "")</f>
        <v/>
      </c>
      <c r="X191" s="132" t="str">
        <f>IF(COUNTIF(LETV!$A:$A, $C191), X$1, "")</f>
        <v>Leadership Excellence Through Values : Wisdom from the Mahabharata</v>
      </c>
      <c r="Y191" s="132" t="str">
        <f>IF(COUNTIF('Film&amp;Firm-A'!$A:$A, $C191), Y$1, "")</f>
        <v>Film &amp; the Firm: Visual Culture in Business Contexts (A)</v>
      </c>
      <c r="Z191" s="132" t="str">
        <f>IF(COUNTIF('Film&amp;Firm-B'!$A:$A, $C191), Z$1, "")</f>
        <v/>
      </c>
      <c r="AA191" s="132" t="str">
        <f>IF(COUNTIF(SHRM!$A:$A, $C191), AA$1, "")</f>
        <v/>
      </c>
      <c r="AB191" s="132" t="str">
        <f>IF(COUNTIF('SCM-A'!$A:$A, $C191), AB$1, "")</f>
        <v/>
      </c>
      <c r="AC191" s="132" t="str">
        <f>IF(COUNTIF('SCM-B'!$A:$A, $C191), AC$1, "")</f>
        <v/>
      </c>
      <c r="AD191" s="132" t="str">
        <f>IF(COUNTIF(AIS!$A:$A, $C191), AD$1, "")</f>
        <v/>
      </c>
      <c r="AE191" s="132" t="str">
        <f>IF(COUNTIF(EB!$A:$A, $C191), AE$1, "")</f>
        <v/>
      </c>
      <c r="AF191" s="132" t="str">
        <f>IF(COUNTIF('AIAM-A'!$A:$A, $C191), AF$1, "")</f>
        <v/>
      </c>
      <c r="AG191" s="132" t="str">
        <f>IF(COUNTIF('AIAM-B'!$A:$A, $C191), AG$1, "")</f>
        <v/>
      </c>
      <c r="AH191" s="132" t="str">
        <f>IF(COUNTIF('SA-A'!$A:$A, $C191), AH$1, "")</f>
        <v/>
      </c>
      <c r="AI191" s="132" t="str">
        <f>IF(COUNTIF('SA-B'!$A:$A, $C191), AI$1, "")</f>
        <v/>
      </c>
      <c r="AJ191" s="132" t="str">
        <f>IF(COUNTIF(CSM!$A:$A, $C191), AJ$1, "")</f>
        <v/>
      </c>
      <c r="AK191" s="132" t="str">
        <f>IF(COUNTIF(EM!$A:$A, $C191), AK$1, "")</f>
        <v/>
      </c>
      <c r="AL191" s="132" t="str">
        <f>IF(COUNTIF(I4TS!$A:$A, $C191), AL$1, "")</f>
        <v/>
      </c>
    </row>
    <row r="192" spans="1:38" ht="13">
      <c r="A192" s="131">
        <v>191</v>
      </c>
      <c r="B192" s="131" t="s">
        <v>734</v>
      </c>
      <c r="C192" s="131" t="s">
        <v>215</v>
      </c>
      <c r="D192" s="106" t="s">
        <v>895</v>
      </c>
      <c r="E192" s="106" t="s">
        <v>896</v>
      </c>
      <c r="F192" s="131">
        <f t="shared" ca="1" si="0"/>
        <v>5</v>
      </c>
      <c r="G192" s="106" t="str">
        <f ca="1">IFERROR(__xludf.DUMMYFUNCTION("INDEX(FILTER($P192:$AL192, $P192:$AL192 &lt;&gt; """"), 1)"),"Film &amp; the Firm: Visual Culture in Business Contexts (B)")</f>
        <v>Film &amp; the Firm: Visual Culture in Business Contexts (B)</v>
      </c>
      <c r="H192" s="106" t="str">
        <f ca="1">IFERROR(__xludf.DUMMYFUNCTION("INDEX(FILTER($P192:$AL192, $P192:$AL192 &lt;&gt; """"), 2)"),"Strategic Career Management (A)")</f>
        <v>Strategic Career Management (A)</v>
      </c>
      <c r="I192" s="106" t="str">
        <f ca="1">IFERROR(__xludf.DUMMYFUNCTION("INDEX(FILTER($P192:$AL192, $P192:$AL192 &lt;&gt; """"), 3)"),"AI AND  STRATEGY")</f>
        <v>AI AND  STRATEGY</v>
      </c>
      <c r="J192" s="106" t="str">
        <f ca="1">IFERROR(__xludf.DUMMYFUNCTION("IFERROR(INDEX(FILTER($P192:$AL192, $P192:$AL192 &lt;&gt; """"), 4),)"),"")</f>
        <v/>
      </c>
      <c r="K192" s="106" t="str">
        <f ca="1">IFERROR(__xludf.DUMMYFUNCTION("IFERROR(INDEX(FILTER($P192:$AL192, $P192:$AL192 &lt;&gt; """"), 5),)"),"")</f>
        <v/>
      </c>
      <c r="L192" s="107"/>
      <c r="M192" s="107"/>
      <c r="N192" s="107"/>
      <c r="O192" s="107"/>
      <c r="P192" s="132" t="str">
        <f>IF(COUNTIF('Fintech-A'!$A:$A, $C192), P$1, "")</f>
        <v/>
      </c>
      <c r="Q192" s="132" t="str">
        <f>IF(COUNTIF('Fintech-B'!$A:$A, $C192), Q$1, "")</f>
        <v/>
      </c>
      <c r="R192" s="132" t="str">
        <f>IF(COUNTIF('BEDM-A'!$A:$A, $C192), R$1, "")</f>
        <v/>
      </c>
      <c r="S192" s="132" t="str">
        <f>IF(COUNTIF('BEDM-B'!$A:$A, $C192), S$1, "")</f>
        <v/>
      </c>
      <c r="T192" s="132" t="str">
        <f>IF(COUNTIF('Art-A'!$A:$A, $C192), T$1, "")</f>
        <v/>
      </c>
      <c r="U192" s="132" t="str">
        <f>IF(COUNTIF('Art-B'!$A:$A, $C192), U$1, "")</f>
        <v/>
      </c>
      <c r="V192" s="132" t="str">
        <f>IF(COUNTIF('WH-A'!$A:$A, $C192), V$1, "")</f>
        <v/>
      </c>
      <c r="W192" s="132" t="str">
        <f>IF(COUNTIF('WH-B'!$A:$A, $C192), W$1, "")</f>
        <v/>
      </c>
      <c r="X192" s="132" t="str">
        <f>IF(COUNTIF(LETV!$A:$A, $C192), X$1, "")</f>
        <v/>
      </c>
      <c r="Y192" s="132" t="str">
        <f>IF(COUNTIF('Film&amp;Firm-A'!$A:$A, $C192), Y$1, "")</f>
        <v/>
      </c>
      <c r="Z192" s="132" t="str">
        <f>IF(COUNTIF('Film&amp;Firm-B'!$A:$A, $C192), Z$1, "")</f>
        <v>Film &amp; the Firm: Visual Culture in Business Contexts (B)</v>
      </c>
      <c r="AA192" s="132" t="str">
        <f>IF(COUNTIF(SHRM!$A:$A, $C192), AA$1, "")</f>
        <v/>
      </c>
      <c r="AB192" s="132" t="str">
        <f>IF(COUNTIF('SCM-A'!$A:$A, $C192), AB$1, "")</f>
        <v>Strategic Career Management (A)</v>
      </c>
      <c r="AC192" s="132" t="str">
        <f>IF(COUNTIF('SCM-B'!$A:$A, $C192), AC$1, "")</f>
        <v/>
      </c>
      <c r="AD192" s="132" t="str">
        <f>IF(COUNTIF(AIS!$A:$A, $C192), AD$1, "")</f>
        <v>AI AND  STRATEGY</v>
      </c>
      <c r="AE192" s="132" t="str">
        <f>IF(COUNTIF(EB!$A:$A, $C192), AE$1, "")</f>
        <v/>
      </c>
      <c r="AF192" s="132" t="str">
        <f>IF(COUNTIF('AIAM-A'!$A:$A, $C192), AF$1, "")</f>
        <v/>
      </c>
      <c r="AG192" s="132" t="str">
        <f>IF(COUNTIF('AIAM-B'!$A:$A, $C192), AG$1, "")</f>
        <v/>
      </c>
      <c r="AH192" s="132" t="str">
        <f>IF(COUNTIF('SA-A'!$A:$A, $C192), AH$1, "")</f>
        <v/>
      </c>
      <c r="AI192" s="132" t="str">
        <f>IF(COUNTIF('SA-B'!$A:$A, $C192), AI$1, "")</f>
        <v/>
      </c>
      <c r="AJ192" s="132" t="str">
        <f>IF(COUNTIF(CSM!$A:$A, $C192), AJ$1, "")</f>
        <v/>
      </c>
      <c r="AK192" s="132" t="str">
        <f>IF(COUNTIF(EM!$A:$A, $C192), AK$1, "")</f>
        <v/>
      </c>
      <c r="AL192" s="132" t="str">
        <f>IF(COUNTIF(I4TS!$A:$A, $C192), AL$1, "")</f>
        <v/>
      </c>
    </row>
    <row r="193" spans="1:38" ht="13">
      <c r="A193" s="131">
        <v>192</v>
      </c>
      <c r="B193" s="131" t="s">
        <v>734</v>
      </c>
      <c r="C193" s="131" t="s">
        <v>224</v>
      </c>
      <c r="D193" s="106" t="s">
        <v>897</v>
      </c>
      <c r="E193" s="106" t="s">
        <v>898</v>
      </c>
      <c r="F193" s="131">
        <f t="shared" ca="1" si="0"/>
        <v>5</v>
      </c>
      <c r="G193" s="106" t="str">
        <f ca="1">IFERROR(__xludf.DUMMYFUNCTION("INDEX(FILTER($P193:$AL193, $P193:$AL193 &lt;&gt; """"), 1)"),"Behavioural Economics and Decision-Making (B)")</f>
        <v>Behavioural Economics and Decision-Making (B)</v>
      </c>
      <c r="H193" s="106" t="str">
        <f ca="1">IFERROR(__xludf.DUMMYFUNCTION("INDEX(FILTER($P193:$AL193, $P193:$AL193 &lt;&gt; """"), 2)"),"Leadership Excellence Through Values : Wisdom from the Mahabharata")</f>
        <v>Leadership Excellence Through Values : Wisdom from the Mahabharata</v>
      </c>
      <c r="I193" s="106" t="str">
        <f ca="1">IFERROR(__xludf.DUMMYFUNCTION("INDEX(FILTER($P193:$AL193, $P193:$AL193 &lt;&gt; """"), 3)"),"Strategic Career Management (B)")</f>
        <v>Strategic Career Management (B)</v>
      </c>
      <c r="J193" s="106" t="str">
        <f ca="1">IFERROR(__xludf.DUMMYFUNCTION("IFERROR(INDEX(FILTER($P193:$AL193, $P193:$AL193 &lt;&gt; """"), 4),)"),"Employer Branding")</f>
        <v>Employer Branding</v>
      </c>
      <c r="K193" s="106" t="str">
        <f ca="1">IFERROR(__xludf.DUMMYFUNCTION("IFERROR(INDEX(FILTER($P193:$AL193, $P193:$AL193 &lt;&gt; """"), 5),)"),"Entrepreneurial Marketing")</f>
        <v>Entrepreneurial Marketing</v>
      </c>
      <c r="L193" s="107"/>
      <c r="M193" s="107"/>
      <c r="N193" s="107"/>
      <c r="O193" s="107"/>
      <c r="P193" s="132" t="str">
        <f>IF(COUNTIF('Fintech-A'!$A:$A, $C193), P$1, "")</f>
        <v/>
      </c>
      <c r="Q193" s="132" t="str">
        <f>IF(COUNTIF('Fintech-B'!$A:$A, $C193), Q$1, "")</f>
        <v/>
      </c>
      <c r="R193" s="132" t="str">
        <f>IF(COUNTIF('BEDM-A'!$A:$A, $C193), R$1, "")</f>
        <v/>
      </c>
      <c r="S193" s="132" t="str">
        <f>IF(COUNTIF('BEDM-B'!$A:$A, $C193), S$1, "")</f>
        <v>Behavioural Economics and Decision-Making (B)</v>
      </c>
      <c r="T193" s="132" t="str">
        <f>IF(COUNTIF('Art-A'!$A:$A, $C193), T$1, "")</f>
        <v/>
      </c>
      <c r="U193" s="132" t="str">
        <f>IF(COUNTIF('Art-B'!$A:$A, $C193), U$1, "")</f>
        <v/>
      </c>
      <c r="V193" s="132" t="str">
        <f>IF(COUNTIF('WH-A'!$A:$A, $C193), V$1, "")</f>
        <v/>
      </c>
      <c r="W193" s="132" t="str">
        <f>IF(COUNTIF('WH-B'!$A:$A, $C193), W$1, "")</f>
        <v/>
      </c>
      <c r="X193" s="132" t="str">
        <f>IF(COUNTIF(LETV!$A:$A, $C193), X$1, "")</f>
        <v>Leadership Excellence Through Values : Wisdom from the Mahabharata</v>
      </c>
      <c r="Y193" s="132" t="str">
        <f>IF(COUNTIF('Film&amp;Firm-A'!$A:$A, $C193), Y$1, "")</f>
        <v/>
      </c>
      <c r="Z193" s="132" t="str">
        <f>IF(COUNTIF('Film&amp;Firm-B'!$A:$A, $C193), Z$1, "")</f>
        <v/>
      </c>
      <c r="AA193" s="132" t="str">
        <f>IF(COUNTIF(SHRM!$A:$A, $C193), AA$1, "")</f>
        <v/>
      </c>
      <c r="AB193" s="132" t="str">
        <f>IF(COUNTIF('SCM-A'!$A:$A, $C193), AB$1, "")</f>
        <v/>
      </c>
      <c r="AC193" s="132" t="str">
        <f>IF(COUNTIF('SCM-B'!$A:$A, $C193), AC$1, "")</f>
        <v>Strategic Career Management (B)</v>
      </c>
      <c r="AD193" s="132" t="str">
        <f>IF(COUNTIF(AIS!$A:$A, $C193), AD$1, "")</f>
        <v/>
      </c>
      <c r="AE193" s="132" t="str">
        <f>IF(COUNTIF(EB!$A:$A, $C193), AE$1, "")</f>
        <v>Employer Branding</v>
      </c>
      <c r="AF193" s="132" t="str">
        <f>IF(COUNTIF('AIAM-A'!$A:$A, $C193), AF$1, "")</f>
        <v/>
      </c>
      <c r="AG193" s="132" t="str">
        <f>IF(COUNTIF('AIAM-B'!$A:$A, $C193), AG$1, "")</f>
        <v/>
      </c>
      <c r="AH193" s="132" t="str">
        <f>IF(COUNTIF('SA-A'!$A:$A, $C193), AH$1, "")</f>
        <v/>
      </c>
      <c r="AI193" s="132" t="str">
        <f>IF(COUNTIF('SA-B'!$A:$A, $C193), AI$1, "")</f>
        <v/>
      </c>
      <c r="AJ193" s="132" t="str">
        <f>IF(COUNTIF(CSM!$A:$A, $C193), AJ$1, "")</f>
        <v/>
      </c>
      <c r="AK193" s="132" t="str">
        <f>IF(COUNTIF(EM!$A:$A, $C193), AK$1, "")</f>
        <v>Entrepreneurial Marketing</v>
      </c>
      <c r="AL193" s="132" t="str">
        <f>IF(COUNTIF(I4TS!$A:$A, $C193), AL$1, "")</f>
        <v/>
      </c>
    </row>
    <row r="194" spans="1:38" ht="13">
      <c r="A194" s="131">
        <v>193</v>
      </c>
      <c r="B194" s="131" t="s">
        <v>734</v>
      </c>
      <c r="C194" s="131" t="s">
        <v>225</v>
      </c>
      <c r="D194" s="106" t="s">
        <v>899</v>
      </c>
      <c r="E194" s="106" t="s">
        <v>900</v>
      </c>
      <c r="F194" s="131">
        <f t="shared" ca="1" si="0"/>
        <v>5</v>
      </c>
      <c r="G194" s="106" t="str">
        <f ca="1">IFERROR(__xludf.DUMMYFUNCTION("INDEX(FILTER($P194:$AL194, $P194:$AL194 &lt;&gt; """"), 1)"),"Workplace Happiness: Science &amp; Practice (A)")</f>
        <v>Workplace Happiness: Science &amp; Practice (A)</v>
      </c>
      <c r="H194" s="106" t="str">
        <f ca="1">IFERROR(__xludf.DUMMYFUNCTION("INDEX(FILTER($P194:$AL194, $P194:$AL194 &lt;&gt; """"), 2)"),"Strategic HRM")</f>
        <v>Strategic HRM</v>
      </c>
      <c r="I194" s="106" t="str">
        <f ca="1">IFERROR(__xludf.DUMMYFUNCTION("INDEX(FILTER($P194:$AL194, $P194:$AL194 &lt;&gt; """"), 3)"),"Strategic Career Management (B)")</f>
        <v>Strategic Career Management (B)</v>
      </c>
      <c r="J194" s="106" t="str">
        <f ca="1">IFERROR(__xludf.DUMMYFUNCTION("IFERROR(INDEX(FILTER($P194:$AL194, $P194:$AL194 &lt;&gt; """"), 4),)"),"")</f>
        <v/>
      </c>
      <c r="K194" s="106" t="str">
        <f ca="1">IFERROR(__xludf.DUMMYFUNCTION("IFERROR(INDEX(FILTER($P194:$AL194, $P194:$AL194 &lt;&gt; """"), 5),)"),"")</f>
        <v/>
      </c>
      <c r="L194" s="107"/>
      <c r="M194" s="107"/>
      <c r="N194" s="107"/>
      <c r="O194" s="107"/>
      <c r="P194" s="132" t="str">
        <f>IF(COUNTIF('Fintech-A'!$A:$A, $C194), P$1, "")</f>
        <v/>
      </c>
      <c r="Q194" s="132" t="str">
        <f>IF(COUNTIF('Fintech-B'!$A:$A, $C194), Q$1, "")</f>
        <v/>
      </c>
      <c r="R194" s="132" t="str">
        <f>IF(COUNTIF('BEDM-A'!$A:$A, $C194), R$1, "")</f>
        <v/>
      </c>
      <c r="S194" s="132" t="str">
        <f>IF(COUNTIF('BEDM-B'!$A:$A, $C194), S$1, "")</f>
        <v/>
      </c>
      <c r="T194" s="132" t="str">
        <f>IF(COUNTIF('Art-A'!$A:$A, $C194), T$1, "")</f>
        <v/>
      </c>
      <c r="U194" s="132" t="str">
        <f>IF(COUNTIF('Art-B'!$A:$A, $C194), U$1, "")</f>
        <v/>
      </c>
      <c r="V194" s="132" t="str">
        <f>IF(COUNTIF('WH-A'!$A:$A, $C194), V$1, "")</f>
        <v>Workplace Happiness: Science &amp; Practice (A)</v>
      </c>
      <c r="W194" s="132" t="str">
        <f>IF(COUNTIF('WH-B'!$A:$A, $C194), W$1, "")</f>
        <v/>
      </c>
      <c r="X194" s="132" t="str">
        <f>IF(COUNTIF(LETV!$A:$A, $C194), X$1, "")</f>
        <v/>
      </c>
      <c r="Y194" s="132" t="str">
        <f>IF(COUNTIF('Film&amp;Firm-A'!$A:$A, $C194), Y$1, "")</f>
        <v/>
      </c>
      <c r="Z194" s="132" t="str">
        <f>IF(COUNTIF('Film&amp;Firm-B'!$A:$A, $C194), Z$1, "")</f>
        <v/>
      </c>
      <c r="AA194" s="132" t="str">
        <f>IF(COUNTIF(SHRM!$A:$A, $C194), AA$1, "")</f>
        <v>Strategic HRM</v>
      </c>
      <c r="AB194" s="132" t="str">
        <f>IF(COUNTIF('SCM-A'!$A:$A, $C194), AB$1, "")</f>
        <v/>
      </c>
      <c r="AC194" s="132" t="str">
        <f>IF(COUNTIF('SCM-B'!$A:$A, $C194), AC$1, "")</f>
        <v>Strategic Career Management (B)</v>
      </c>
      <c r="AD194" s="132" t="str">
        <f>IF(COUNTIF(AIS!$A:$A, $C194), AD$1, "")</f>
        <v/>
      </c>
      <c r="AE194" s="132" t="str">
        <f>IF(COUNTIF(EB!$A:$A, $C194), AE$1, "")</f>
        <v/>
      </c>
      <c r="AF194" s="132" t="str">
        <f>IF(COUNTIF('AIAM-A'!$A:$A, $C194), AF$1, "")</f>
        <v/>
      </c>
      <c r="AG194" s="132" t="str">
        <f>IF(COUNTIF('AIAM-B'!$A:$A, $C194), AG$1, "")</f>
        <v/>
      </c>
      <c r="AH194" s="132" t="str">
        <f>IF(COUNTIF('SA-A'!$A:$A, $C194), AH$1, "")</f>
        <v/>
      </c>
      <c r="AI194" s="132" t="str">
        <f>IF(COUNTIF('SA-B'!$A:$A, $C194), AI$1, "")</f>
        <v/>
      </c>
      <c r="AJ194" s="132" t="str">
        <f>IF(COUNTIF(CSM!$A:$A, $C194), AJ$1, "")</f>
        <v/>
      </c>
      <c r="AK194" s="132" t="str">
        <f>IF(COUNTIF(EM!$A:$A, $C194), AK$1, "")</f>
        <v/>
      </c>
      <c r="AL194" s="132" t="str">
        <f>IF(COUNTIF(I4TS!$A:$A, $C194), AL$1, "")</f>
        <v/>
      </c>
    </row>
    <row r="195" spans="1:38" ht="13">
      <c r="A195" s="131">
        <v>194</v>
      </c>
      <c r="B195" s="131" t="s">
        <v>734</v>
      </c>
      <c r="C195" s="131" t="s">
        <v>901</v>
      </c>
      <c r="D195" s="106" t="s">
        <v>902</v>
      </c>
      <c r="E195" s="106" t="s">
        <v>903</v>
      </c>
      <c r="F195" s="131">
        <f t="shared" ca="1" si="0"/>
        <v>5</v>
      </c>
      <c r="G195" s="106" t="str">
        <f ca="1">IFERROR(__xludf.DUMMYFUNCTION("INDEX(FILTER($P195:$AL195, $P195:$AL195 &lt;&gt; """"), 1)"),"Strategic HRM")</f>
        <v>Strategic HRM</v>
      </c>
      <c r="H195" s="106" t="str">
        <f ca="1">IFERROR(__xludf.DUMMYFUNCTION("INDEX(FILTER($P195:$AL195, $P195:$AL195 &lt;&gt; """"), 2)"),"Strategic Career Management (B)")</f>
        <v>Strategic Career Management (B)</v>
      </c>
      <c r="I195" s="106" t="str">
        <f ca="1">IFERROR(__xludf.DUMMYFUNCTION("INDEX(FILTER($P195:$AL195, $P195:$AL195 &lt;&gt; """"), 3)"),"Entrepreneurial Marketing")</f>
        <v>Entrepreneurial Marketing</v>
      </c>
      <c r="J195" s="106" t="str">
        <f ca="1">IFERROR(__xludf.DUMMYFUNCTION("IFERROR(INDEX(FILTER($P195:$AL195, $P195:$AL195 &lt;&gt; """"), 4),)"),"")</f>
        <v/>
      </c>
      <c r="K195" s="106" t="str">
        <f ca="1">IFERROR(__xludf.DUMMYFUNCTION("IFERROR(INDEX(FILTER($P195:$AL195, $P195:$AL195 &lt;&gt; """"), 5),)"),"")</f>
        <v/>
      </c>
      <c r="L195" s="107"/>
      <c r="M195" s="107"/>
      <c r="N195" s="107"/>
      <c r="O195" s="107"/>
      <c r="P195" s="132" t="str">
        <f>IF(COUNTIF('Fintech-A'!$A:$A, $C195), P$1, "")</f>
        <v/>
      </c>
      <c r="Q195" s="132" t="str">
        <f>IF(COUNTIF('Fintech-B'!$A:$A, $C195), Q$1, "")</f>
        <v/>
      </c>
      <c r="R195" s="132" t="str">
        <f>IF(COUNTIF('BEDM-A'!$A:$A, $C195), R$1, "")</f>
        <v/>
      </c>
      <c r="S195" s="132" t="str">
        <f>IF(COUNTIF('BEDM-B'!$A:$A, $C195), S$1, "")</f>
        <v/>
      </c>
      <c r="T195" s="132" t="str">
        <f>IF(COUNTIF('Art-A'!$A:$A, $C195), T$1, "")</f>
        <v/>
      </c>
      <c r="U195" s="132" t="str">
        <f>IF(COUNTIF('Art-B'!$A:$A, $C195), U$1, "")</f>
        <v/>
      </c>
      <c r="V195" s="132" t="str">
        <f>IF(COUNTIF('WH-A'!$A:$A, $C195), V$1, "")</f>
        <v/>
      </c>
      <c r="W195" s="132" t="str">
        <f>IF(COUNTIF('WH-B'!$A:$A, $C195), W$1, "")</f>
        <v/>
      </c>
      <c r="X195" s="132" t="str">
        <f>IF(COUNTIF(LETV!$A:$A, $C195), X$1, "")</f>
        <v/>
      </c>
      <c r="Y195" s="132" t="str">
        <f>IF(COUNTIF('Film&amp;Firm-A'!$A:$A, $C195), Y$1, "")</f>
        <v/>
      </c>
      <c r="Z195" s="132" t="str">
        <f>IF(COUNTIF('Film&amp;Firm-B'!$A:$A, $C195), Z$1, "")</f>
        <v/>
      </c>
      <c r="AA195" s="132" t="str">
        <f>IF(COUNTIF(SHRM!$A:$A, $C195), AA$1, "")</f>
        <v>Strategic HRM</v>
      </c>
      <c r="AB195" s="132" t="str">
        <f>IF(COUNTIF('SCM-A'!$A:$A, $C195), AB$1, "")</f>
        <v/>
      </c>
      <c r="AC195" s="132" t="str">
        <f>IF(COUNTIF('SCM-B'!$A:$A, $C195), AC$1, "")</f>
        <v>Strategic Career Management (B)</v>
      </c>
      <c r="AD195" s="132" t="str">
        <f>IF(COUNTIF(AIS!$A:$A, $C195), AD$1, "")</f>
        <v/>
      </c>
      <c r="AE195" s="132" t="str">
        <f>IF(COUNTIF(EB!$A:$A, $C195), AE$1, "")</f>
        <v/>
      </c>
      <c r="AF195" s="132" t="str">
        <f>IF(COUNTIF('AIAM-A'!$A:$A, $C195), AF$1, "")</f>
        <v/>
      </c>
      <c r="AG195" s="132" t="str">
        <f>IF(COUNTIF('AIAM-B'!$A:$A, $C195), AG$1, "")</f>
        <v/>
      </c>
      <c r="AH195" s="132" t="str">
        <f>IF(COUNTIF('SA-A'!$A:$A, $C195), AH$1, "")</f>
        <v/>
      </c>
      <c r="AI195" s="132" t="str">
        <f>IF(COUNTIF('SA-B'!$A:$A, $C195), AI$1, "")</f>
        <v/>
      </c>
      <c r="AJ195" s="132" t="str">
        <f>IF(COUNTIF(CSM!$A:$A, $C195), AJ$1, "")</f>
        <v/>
      </c>
      <c r="AK195" s="132" t="str">
        <f>IF(COUNTIF(EM!$A:$A, $C195), AK$1, "")</f>
        <v>Entrepreneurial Marketing</v>
      </c>
      <c r="AL195" s="132" t="str">
        <f>IF(COUNTIF(I4TS!$A:$A, $C195), AL$1, "")</f>
        <v/>
      </c>
    </row>
    <row r="196" spans="1:38" ht="13">
      <c r="A196" s="131">
        <v>195</v>
      </c>
      <c r="B196" s="131" t="s">
        <v>904</v>
      </c>
      <c r="C196" s="131" t="s">
        <v>905</v>
      </c>
      <c r="D196" s="106" t="s">
        <v>906</v>
      </c>
      <c r="E196" s="106" t="s">
        <v>907</v>
      </c>
      <c r="F196" s="131">
        <f t="shared" ca="1" si="0"/>
        <v>5</v>
      </c>
      <c r="G196" s="106" t="str">
        <f ca="1">IFERROR(__xludf.DUMMYFUNCTION("INDEX(FILTER($P196:$AL196, $P196:$AL196 &lt;&gt; """"), 1)"),"Workplace Happiness: Science &amp; Practice (A)")</f>
        <v>Workplace Happiness: Science &amp; Practice (A)</v>
      </c>
      <c r="H196" s="106" t="str">
        <f ca="1">IFERROR(__xludf.DUMMYFUNCTION("INDEX(FILTER($P196:$AL196, $P196:$AL196 &lt;&gt; """"), 2)"),"Strategic HRM")</f>
        <v>Strategic HRM</v>
      </c>
      <c r="I196" s="106" t="str">
        <f ca="1">IFERROR(__xludf.DUMMYFUNCTION("INDEX(FILTER($P196:$AL196, $P196:$AL196 &lt;&gt; """"), 3)"),"Strategic Career Management (B)")</f>
        <v>Strategic Career Management (B)</v>
      </c>
      <c r="J196" s="106" t="str">
        <f ca="1">IFERROR(__xludf.DUMMYFUNCTION("IFERROR(INDEX(FILTER($P196:$AL196, $P196:$AL196 &lt;&gt; """"), 4),)"),"")</f>
        <v/>
      </c>
      <c r="K196" s="106" t="str">
        <f ca="1">IFERROR(__xludf.DUMMYFUNCTION("IFERROR(INDEX(FILTER($P196:$AL196, $P196:$AL196 &lt;&gt; """"), 5),)"),"")</f>
        <v/>
      </c>
      <c r="L196" s="107"/>
      <c r="M196" s="107"/>
      <c r="N196" s="107"/>
      <c r="O196" s="107"/>
      <c r="P196" s="132" t="str">
        <f>IF(COUNTIF('Fintech-A'!$A:$A, $C196), P$1, "")</f>
        <v/>
      </c>
      <c r="Q196" s="132" t="str">
        <f>IF(COUNTIF('Fintech-B'!$A:$A, $C196), Q$1, "")</f>
        <v/>
      </c>
      <c r="R196" s="132" t="str">
        <f>IF(COUNTIF('BEDM-A'!$A:$A, $C196), R$1, "")</f>
        <v/>
      </c>
      <c r="S196" s="132" t="str">
        <f>IF(COUNTIF('BEDM-B'!$A:$A, $C196), S$1, "")</f>
        <v/>
      </c>
      <c r="T196" s="132" t="str">
        <f>IF(COUNTIF('Art-A'!$A:$A, $C196), T$1, "")</f>
        <v/>
      </c>
      <c r="U196" s="132" t="str">
        <f>IF(COUNTIF('Art-B'!$A:$A, $C196), U$1, "")</f>
        <v/>
      </c>
      <c r="V196" s="132" t="str">
        <f>IF(COUNTIF('WH-A'!$A:$A, $C196), V$1, "")</f>
        <v>Workplace Happiness: Science &amp; Practice (A)</v>
      </c>
      <c r="W196" s="132" t="str">
        <f>IF(COUNTIF('WH-B'!$A:$A, $C196), W$1, "")</f>
        <v/>
      </c>
      <c r="X196" s="132" t="str">
        <f>IF(COUNTIF(LETV!$A:$A, $C196), X$1, "")</f>
        <v/>
      </c>
      <c r="Y196" s="132" t="str">
        <f>IF(COUNTIF('Film&amp;Firm-A'!$A:$A, $C196), Y$1, "")</f>
        <v/>
      </c>
      <c r="Z196" s="132" t="str">
        <f>IF(COUNTIF('Film&amp;Firm-B'!$A:$A, $C196), Z$1, "")</f>
        <v/>
      </c>
      <c r="AA196" s="132" t="str">
        <f>IF(COUNTIF(SHRM!$A:$A, $C196), AA$1, "")</f>
        <v>Strategic HRM</v>
      </c>
      <c r="AB196" s="132" t="str">
        <f>IF(COUNTIF('SCM-A'!$A:$A, $C196), AB$1, "")</f>
        <v/>
      </c>
      <c r="AC196" s="132" t="str">
        <f>IF(COUNTIF('SCM-B'!$A:$A, $C196), AC$1, "")</f>
        <v>Strategic Career Management (B)</v>
      </c>
      <c r="AD196" s="132" t="str">
        <f>IF(COUNTIF(AIS!$A:$A, $C196), AD$1, "")</f>
        <v/>
      </c>
      <c r="AE196" s="132" t="str">
        <f>IF(COUNTIF(EB!$A:$A, $C196), AE$1, "")</f>
        <v/>
      </c>
      <c r="AF196" s="132" t="str">
        <f>IF(COUNTIF('AIAM-A'!$A:$A, $C196), AF$1, "")</f>
        <v/>
      </c>
      <c r="AG196" s="132" t="str">
        <f>IF(COUNTIF('AIAM-B'!$A:$A, $C196), AG$1, "")</f>
        <v/>
      </c>
      <c r="AH196" s="132" t="str">
        <f>IF(COUNTIF('SA-A'!$A:$A, $C196), AH$1, "")</f>
        <v/>
      </c>
      <c r="AI196" s="132" t="str">
        <f>IF(COUNTIF('SA-B'!$A:$A, $C196), AI$1, "")</f>
        <v/>
      </c>
      <c r="AJ196" s="132" t="str">
        <f>IF(COUNTIF(CSM!$A:$A, $C196), AJ$1, "")</f>
        <v/>
      </c>
      <c r="AK196" s="132" t="str">
        <f>IF(COUNTIF(EM!$A:$A, $C196), AK$1, "")</f>
        <v/>
      </c>
      <c r="AL196" s="132" t="str">
        <f>IF(COUNTIF(I4TS!$A:$A, $C196), AL$1, "")</f>
        <v/>
      </c>
    </row>
    <row r="197" spans="1:38" ht="13">
      <c r="A197" s="131">
        <v>196</v>
      </c>
      <c r="B197" s="131" t="s">
        <v>904</v>
      </c>
      <c r="C197" s="131" t="s">
        <v>908</v>
      </c>
      <c r="D197" s="106" t="s">
        <v>909</v>
      </c>
      <c r="E197" s="106" t="s">
        <v>910</v>
      </c>
      <c r="F197" s="131">
        <f t="shared" ca="1" si="0"/>
        <v>5</v>
      </c>
      <c r="G197" s="106" t="str">
        <f ca="1">IFERROR(__xludf.DUMMYFUNCTION("INDEX(FILTER($P197:$AL197, $P197:$AL197 &lt;&gt; """"), 1)"),"Workplace Happiness: Science &amp; Practice (B)")</f>
        <v>Workplace Happiness: Science &amp; Practice (B)</v>
      </c>
      <c r="H197" s="106" t="str">
        <f ca="1">IFERROR(__xludf.DUMMYFUNCTION("INDEX(FILTER($P197:$AL197, $P197:$AL197 &lt;&gt; """"), 2)"),"Film &amp; the Firm: Visual Culture in Business Contexts (A)")</f>
        <v>Film &amp; the Firm: Visual Culture in Business Contexts (A)</v>
      </c>
      <c r="I197" s="106" t="str">
        <f ca="1">IFERROR(__xludf.DUMMYFUNCTION("INDEX(FILTER($P197:$AL197, $P197:$AL197 &lt;&gt; """"), 3)"),"AI Applications in Marketing (B)")</f>
        <v>AI Applications in Marketing (B)</v>
      </c>
      <c r="J197" s="106" t="str">
        <f ca="1">IFERROR(__xludf.DUMMYFUNCTION("IFERROR(INDEX(FILTER($P197:$AL197, $P197:$AL197 &lt;&gt; """"), 4),)"),"")</f>
        <v/>
      </c>
      <c r="K197" s="106" t="str">
        <f ca="1">IFERROR(__xludf.DUMMYFUNCTION("IFERROR(INDEX(FILTER($P197:$AL197, $P197:$AL197 &lt;&gt; """"), 5),)"),"")</f>
        <v/>
      </c>
      <c r="L197" s="107"/>
      <c r="M197" s="107"/>
      <c r="N197" s="107"/>
      <c r="O197" s="107"/>
      <c r="P197" s="132" t="str">
        <f>IF(COUNTIF('Fintech-A'!$A:$A, $C197), P$1, "")</f>
        <v/>
      </c>
      <c r="Q197" s="132" t="str">
        <f>IF(COUNTIF('Fintech-B'!$A:$A, $C197), Q$1, "")</f>
        <v/>
      </c>
      <c r="R197" s="132" t="str">
        <f>IF(COUNTIF('BEDM-A'!$A:$A, $C197), R$1, "")</f>
        <v/>
      </c>
      <c r="S197" s="132" t="str">
        <f>IF(COUNTIF('BEDM-B'!$A:$A, $C197), S$1, "")</f>
        <v/>
      </c>
      <c r="T197" s="132" t="str">
        <f>IF(COUNTIF('Art-A'!$A:$A, $C197), T$1, "")</f>
        <v/>
      </c>
      <c r="U197" s="132" t="str">
        <f>IF(COUNTIF('Art-B'!$A:$A, $C197), U$1, "")</f>
        <v/>
      </c>
      <c r="V197" s="132" t="str">
        <f>IF(COUNTIF('WH-A'!$A:$A, $C197), V$1, "")</f>
        <v/>
      </c>
      <c r="W197" s="132" t="str">
        <f>IF(COUNTIF('WH-B'!$A:$A, $C197), W$1, "")</f>
        <v>Workplace Happiness: Science &amp; Practice (B)</v>
      </c>
      <c r="X197" s="132" t="str">
        <f>IF(COUNTIF(LETV!$A:$A, $C197), X$1, "")</f>
        <v/>
      </c>
      <c r="Y197" s="132" t="str">
        <f>IF(COUNTIF('Film&amp;Firm-A'!$A:$A, $C197), Y$1, "")</f>
        <v>Film &amp; the Firm: Visual Culture in Business Contexts (A)</v>
      </c>
      <c r="Z197" s="132" t="str">
        <f>IF(COUNTIF('Film&amp;Firm-B'!$A:$A, $C197), Z$1, "")</f>
        <v/>
      </c>
      <c r="AA197" s="132" t="str">
        <f>IF(COUNTIF(SHRM!$A:$A, $C197), AA$1, "")</f>
        <v/>
      </c>
      <c r="AB197" s="132" t="str">
        <f>IF(COUNTIF('SCM-A'!$A:$A, $C197), AB$1, "")</f>
        <v/>
      </c>
      <c r="AC197" s="132" t="str">
        <f>IF(COUNTIF('SCM-B'!$A:$A, $C197), AC$1, "")</f>
        <v/>
      </c>
      <c r="AD197" s="132" t="str">
        <f>IF(COUNTIF(AIS!$A:$A, $C197), AD$1, "")</f>
        <v/>
      </c>
      <c r="AE197" s="132" t="str">
        <f>IF(COUNTIF(EB!$A:$A, $C197), AE$1, "")</f>
        <v/>
      </c>
      <c r="AF197" s="132" t="str">
        <f>IF(COUNTIF('AIAM-A'!$A:$A, $C197), AF$1, "")</f>
        <v/>
      </c>
      <c r="AG197" s="132" t="str">
        <f>IF(COUNTIF('AIAM-B'!$A:$A, $C197), AG$1, "")</f>
        <v>AI Applications in Marketing (B)</v>
      </c>
      <c r="AH197" s="132" t="str">
        <f>IF(COUNTIF('SA-A'!$A:$A, $C197), AH$1, "")</f>
        <v/>
      </c>
      <c r="AI197" s="132" t="str">
        <f>IF(COUNTIF('SA-B'!$A:$A, $C197), AI$1, "")</f>
        <v/>
      </c>
      <c r="AJ197" s="132" t="str">
        <f>IF(COUNTIF(CSM!$A:$A, $C197), AJ$1, "")</f>
        <v/>
      </c>
      <c r="AK197" s="132" t="str">
        <f>IF(COUNTIF(EM!$A:$A, $C197), AK$1, "")</f>
        <v/>
      </c>
      <c r="AL197" s="132" t="str">
        <f>IF(COUNTIF(I4TS!$A:$A, $C197), AL$1, "")</f>
        <v/>
      </c>
    </row>
    <row r="198" spans="1:38" ht="13">
      <c r="A198" s="131">
        <v>197</v>
      </c>
      <c r="B198" s="131" t="s">
        <v>904</v>
      </c>
      <c r="C198" s="131" t="s">
        <v>911</v>
      </c>
      <c r="D198" s="106" t="s">
        <v>912</v>
      </c>
      <c r="E198" s="106" t="s">
        <v>913</v>
      </c>
      <c r="F198" s="131">
        <f t="shared" ca="1" si="0"/>
        <v>5</v>
      </c>
      <c r="G198" s="106" t="str">
        <f ca="1">IFERROR(__xludf.DUMMYFUNCTION("INDEX(FILTER($P198:$AL198, $P198:$AL198 &lt;&gt; """"), 1)"),"Film &amp; the Firm: Visual Culture in Business Contexts (A)")</f>
        <v>Film &amp; the Firm: Visual Culture in Business Contexts (A)</v>
      </c>
      <c r="H198" s="106" t="str">
        <f ca="1">IFERROR(__xludf.DUMMYFUNCTION("INDEX(FILTER($P198:$AL198, $P198:$AL198 &lt;&gt; """"), 2)"),"Employer Branding")</f>
        <v>Employer Branding</v>
      </c>
      <c r="I198" s="106" t="str">
        <f ca="1">IFERROR(__xludf.DUMMYFUNCTION("INDEX(FILTER($P198:$AL198, $P198:$AL198 &lt;&gt; """"), 3)"),"SPORTS ANALYTICS (A)")</f>
        <v>SPORTS ANALYTICS (A)</v>
      </c>
      <c r="J198" s="106" t="str">
        <f ca="1">IFERROR(__xludf.DUMMYFUNCTION("IFERROR(INDEX(FILTER($P198:$AL198, $P198:$AL198 &lt;&gt; """"), 4),)"),"")</f>
        <v/>
      </c>
      <c r="K198" s="106" t="str">
        <f ca="1">IFERROR(__xludf.DUMMYFUNCTION("IFERROR(INDEX(FILTER($P198:$AL198, $P198:$AL198 &lt;&gt; """"), 5),)"),"")</f>
        <v/>
      </c>
      <c r="L198" s="107"/>
      <c r="M198" s="107"/>
      <c r="N198" s="107"/>
      <c r="O198" s="107"/>
      <c r="P198" s="132" t="str">
        <f>IF(COUNTIF('Fintech-A'!$A:$A, $C198), P$1, "")</f>
        <v/>
      </c>
      <c r="Q198" s="132" t="str">
        <f>IF(COUNTIF('Fintech-B'!$A:$A, $C198), Q$1, "")</f>
        <v/>
      </c>
      <c r="R198" s="132" t="str">
        <f>IF(COUNTIF('BEDM-A'!$A:$A, $C198), R$1, "")</f>
        <v/>
      </c>
      <c r="S198" s="132" t="str">
        <f>IF(COUNTIF('BEDM-B'!$A:$A, $C198), S$1, "")</f>
        <v/>
      </c>
      <c r="T198" s="132" t="str">
        <f>IF(COUNTIF('Art-A'!$A:$A, $C198), T$1, "")</f>
        <v/>
      </c>
      <c r="U198" s="132" t="str">
        <f>IF(COUNTIF('Art-B'!$A:$A, $C198), U$1, "")</f>
        <v/>
      </c>
      <c r="V198" s="132" t="str">
        <f>IF(COUNTIF('WH-A'!$A:$A, $C198), V$1, "")</f>
        <v/>
      </c>
      <c r="W198" s="132" t="str">
        <f>IF(COUNTIF('WH-B'!$A:$A, $C198), W$1, "")</f>
        <v/>
      </c>
      <c r="X198" s="132" t="str">
        <f>IF(COUNTIF(LETV!$A:$A, $C198), X$1, "")</f>
        <v/>
      </c>
      <c r="Y198" s="132" t="str">
        <f>IF(COUNTIF('Film&amp;Firm-A'!$A:$A, $C198), Y$1, "")</f>
        <v>Film &amp; the Firm: Visual Culture in Business Contexts (A)</v>
      </c>
      <c r="Z198" s="132" t="str">
        <f>IF(COUNTIF('Film&amp;Firm-B'!$A:$A, $C198), Z$1, "")</f>
        <v/>
      </c>
      <c r="AA198" s="132" t="str">
        <f>IF(COUNTIF(SHRM!$A:$A, $C198), AA$1, "")</f>
        <v/>
      </c>
      <c r="AB198" s="132" t="str">
        <f>IF(COUNTIF('SCM-A'!$A:$A, $C198), AB$1, "")</f>
        <v/>
      </c>
      <c r="AC198" s="132" t="str">
        <f>IF(COUNTIF('SCM-B'!$A:$A, $C198), AC$1, "")</f>
        <v/>
      </c>
      <c r="AD198" s="132" t="str">
        <f>IF(COUNTIF(AIS!$A:$A, $C198), AD$1, "")</f>
        <v/>
      </c>
      <c r="AE198" s="132" t="str">
        <f>IF(COUNTIF(EB!$A:$A, $C198), AE$1, "")</f>
        <v>Employer Branding</v>
      </c>
      <c r="AF198" s="132" t="str">
        <f>IF(COUNTIF('AIAM-A'!$A:$A, $C198), AF$1, "")</f>
        <v/>
      </c>
      <c r="AG198" s="132" t="str">
        <f>IF(COUNTIF('AIAM-B'!$A:$A, $C198), AG$1, "")</f>
        <v/>
      </c>
      <c r="AH198" s="132" t="str">
        <f>IF(COUNTIF('SA-A'!$A:$A, $C198), AH$1, "")</f>
        <v>SPORTS ANALYTICS (A)</v>
      </c>
      <c r="AI198" s="132" t="str">
        <f>IF(COUNTIF('SA-B'!$A:$A, $C198), AI$1, "")</f>
        <v/>
      </c>
      <c r="AJ198" s="132" t="str">
        <f>IF(COUNTIF(CSM!$A:$A, $C198), AJ$1, "")</f>
        <v/>
      </c>
      <c r="AK198" s="132" t="str">
        <f>IF(COUNTIF(EM!$A:$A, $C198), AK$1, "")</f>
        <v/>
      </c>
      <c r="AL198" s="132" t="str">
        <f>IF(COUNTIF(I4TS!$A:$A, $C198), AL$1, "")</f>
        <v/>
      </c>
    </row>
    <row r="199" spans="1:38" ht="13">
      <c r="A199" s="131">
        <v>198</v>
      </c>
      <c r="B199" s="131" t="s">
        <v>904</v>
      </c>
      <c r="C199" s="131" t="s">
        <v>284</v>
      </c>
      <c r="D199" s="106" t="s">
        <v>914</v>
      </c>
      <c r="E199" s="106" t="s">
        <v>915</v>
      </c>
      <c r="F199" s="131">
        <f t="shared" ca="1" si="0"/>
        <v>5</v>
      </c>
      <c r="G199" s="106" t="str">
        <f ca="1">IFERROR(__xludf.DUMMYFUNCTION("INDEX(FILTER($P199:$AL199, $P199:$AL199 &lt;&gt; """"), 1)"),"Film &amp; the Firm: Visual Culture in Business Contexts (A)")</f>
        <v>Film &amp; the Firm: Visual Culture in Business Contexts (A)</v>
      </c>
      <c r="H199" s="106" t="str">
        <f ca="1">IFERROR(__xludf.DUMMYFUNCTION("INDEX(FILTER($P199:$AL199, $P199:$AL199 &lt;&gt; """"), 2)"),"AI AND  STRATEGY")</f>
        <v>AI AND  STRATEGY</v>
      </c>
      <c r="I199" s="106" t="str">
        <f ca="1">IFERROR(__xludf.DUMMYFUNCTION("INDEX(FILTER($P199:$AL199, $P199:$AL199 &lt;&gt; """"), 3)"),"AI Applications in Marketing (B)")</f>
        <v>AI Applications in Marketing (B)</v>
      </c>
      <c r="J199" s="106" t="str">
        <f ca="1">IFERROR(__xludf.DUMMYFUNCTION("IFERROR(INDEX(FILTER($P199:$AL199, $P199:$AL199 &lt;&gt; """"), 4),)"),"")</f>
        <v/>
      </c>
      <c r="K199" s="106" t="str">
        <f ca="1">IFERROR(__xludf.DUMMYFUNCTION("IFERROR(INDEX(FILTER($P199:$AL199, $P199:$AL199 &lt;&gt; """"), 5),)"),"")</f>
        <v/>
      </c>
      <c r="L199" s="107"/>
      <c r="M199" s="107"/>
      <c r="N199" s="107"/>
      <c r="O199" s="107"/>
      <c r="P199" s="132" t="str">
        <f>IF(COUNTIF('Fintech-A'!$A:$A, $C199), P$1, "")</f>
        <v/>
      </c>
      <c r="Q199" s="132" t="str">
        <f>IF(COUNTIF('Fintech-B'!$A:$A, $C199), Q$1, "")</f>
        <v/>
      </c>
      <c r="R199" s="132" t="str">
        <f>IF(COUNTIF('BEDM-A'!$A:$A, $C199), R$1, "")</f>
        <v/>
      </c>
      <c r="S199" s="132" t="str">
        <f>IF(COUNTIF('BEDM-B'!$A:$A, $C199), S$1, "")</f>
        <v/>
      </c>
      <c r="T199" s="132" t="str">
        <f>IF(COUNTIF('Art-A'!$A:$A, $C199), T$1, "")</f>
        <v/>
      </c>
      <c r="U199" s="132" t="str">
        <f>IF(COUNTIF('Art-B'!$A:$A, $C199), U$1, "")</f>
        <v/>
      </c>
      <c r="V199" s="132" t="str">
        <f>IF(COUNTIF('WH-A'!$A:$A, $C199), V$1, "")</f>
        <v/>
      </c>
      <c r="W199" s="132" t="str">
        <f>IF(COUNTIF('WH-B'!$A:$A, $C199), W$1, "")</f>
        <v/>
      </c>
      <c r="X199" s="132" t="str">
        <f>IF(COUNTIF(LETV!$A:$A, $C199), X$1, "")</f>
        <v/>
      </c>
      <c r="Y199" s="132" t="str">
        <f>IF(COUNTIF('Film&amp;Firm-A'!$A:$A, $C199), Y$1, "")</f>
        <v>Film &amp; the Firm: Visual Culture in Business Contexts (A)</v>
      </c>
      <c r="Z199" s="132" t="str">
        <f>IF(COUNTIF('Film&amp;Firm-B'!$A:$A, $C199), Z$1, "")</f>
        <v/>
      </c>
      <c r="AA199" s="132" t="str">
        <f>IF(COUNTIF(SHRM!$A:$A, $C199), AA$1, "")</f>
        <v/>
      </c>
      <c r="AB199" s="132" t="str">
        <f>IF(COUNTIF('SCM-A'!$A:$A, $C199), AB$1, "")</f>
        <v/>
      </c>
      <c r="AC199" s="132" t="str">
        <f>IF(COUNTIF('SCM-B'!$A:$A, $C199), AC$1, "")</f>
        <v/>
      </c>
      <c r="AD199" s="132" t="str">
        <f>IF(COUNTIF(AIS!$A:$A, $C199), AD$1, "")</f>
        <v>AI AND  STRATEGY</v>
      </c>
      <c r="AE199" s="132" t="str">
        <f>IF(COUNTIF(EB!$A:$A, $C199), AE$1, "")</f>
        <v/>
      </c>
      <c r="AF199" s="132" t="str">
        <f>IF(COUNTIF('AIAM-A'!$A:$A, $C199), AF$1, "")</f>
        <v/>
      </c>
      <c r="AG199" s="132" t="str">
        <f>IF(COUNTIF('AIAM-B'!$A:$A, $C199), AG$1, "")</f>
        <v>AI Applications in Marketing (B)</v>
      </c>
      <c r="AH199" s="132" t="str">
        <f>IF(COUNTIF('SA-A'!$A:$A, $C199), AH$1, "")</f>
        <v/>
      </c>
      <c r="AI199" s="132" t="str">
        <f>IF(COUNTIF('SA-B'!$A:$A, $C199), AI$1, "")</f>
        <v/>
      </c>
      <c r="AJ199" s="132" t="str">
        <f>IF(COUNTIF(CSM!$A:$A, $C199), AJ$1, "")</f>
        <v/>
      </c>
      <c r="AK199" s="132" t="str">
        <f>IF(COUNTIF(EM!$A:$A, $C199), AK$1, "")</f>
        <v/>
      </c>
      <c r="AL199" s="132" t="str">
        <f>IF(COUNTIF(I4TS!$A:$A, $C199), AL$1, "")</f>
        <v/>
      </c>
    </row>
    <row r="200" spans="1:38" ht="13">
      <c r="A200" s="131">
        <v>199</v>
      </c>
      <c r="B200" s="131" t="s">
        <v>904</v>
      </c>
      <c r="C200" s="131" t="s">
        <v>285</v>
      </c>
      <c r="D200" s="106" t="s">
        <v>916</v>
      </c>
      <c r="E200" s="106" t="s">
        <v>917</v>
      </c>
      <c r="F200" s="131">
        <f t="shared" ca="1" si="0"/>
        <v>5</v>
      </c>
      <c r="G200" s="106" t="str">
        <f ca="1">IFERROR(__xludf.DUMMYFUNCTION("INDEX(FILTER($P200:$AL200, $P200:$AL200 &lt;&gt; """"), 1)"),"The Art, Craft, and Science of Management: Learning through Classics and Best Collections (A)")</f>
        <v>The Art, Craft, and Science of Management: Learning through Classics and Best Collections (A)</v>
      </c>
      <c r="H200" s="106" t="str">
        <f ca="1">IFERROR(__xludf.DUMMYFUNCTION("INDEX(FILTER($P200:$AL200, $P200:$AL200 &lt;&gt; """"), 2)"),"Film &amp; the Firm: Visual Culture in Business Contexts (A)")</f>
        <v>Film &amp; the Firm: Visual Culture in Business Contexts (A)</v>
      </c>
      <c r="I200" s="106" t="str">
        <f ca="1">IFERROR(__xludf.DUMMYFUNCTION("INDEX(FILTER($P200:$AL200, $P200:$AL200 &lt;&gt; """"), 3)"),"AI Applications in Marketing (B)")</f>
        <v>AI Applications in Marketing (B)</v>
      </c>
      <c r="J200" s="106" t="str">
        <f ca="1">IFERROR(__xludf.DUMMYFUNCTION("IFERROR(INDEX(FILTER($P200:$AL200, $P200:$AL200 &lt;&gt; """"), 4),)"),"")</f>
        <v/>
      </c>
      <c r="K200" s="106" t="str">
        <f ca="1">IFERROR(__xludf.DUMMYFUNCTION("IFERROR(INDEX(FILTER($P200:$AL200, $P200:$AL200 &lt;&gt; """"), 5),)"),"")</f>
        <v/>
      </c>
      <c r="L200" s="107"/>
      <c r="M200" s="107"/>
      <c r="N200" s="107"/>
      <c r="O200" s="107"/>
      <c r="P200" s="132" t="str">
        <f>IF(COUNTIF('Fintech-A'!$A:$A, $C200), P$1, "")</f>
        <v/>
      </c>
      <c r="Q200" s="132" t="str">
        <f>IF(COUNTIF('Fintech-B'!$A:$A, $C200), Q$1, "")</f>
        <v/>
      </c>
      <c r="R200" s="132" t="str">
        <f>IF(COUNTIF('BEDM-A'!$A:$A, $C200), R$1, "")</f>
        <v/>
      </c>
      <c r="S200" s="132" t="str">
        <f>IF(COUNTIF('BEDM-B'!$A:$A, $C200), S$1, "")</f>
        <v/>
      </c>
      <c r="T200" s="132" t="str">
        <f>IF(COUNTIF('Art-A'!$A:$A, $C200), T$1, "")</f>
        <v>The Art, Craft, and Science of Management: Learning through Classics and Best Collections (A)</v>
      </c>
      <c r="U200" s="132" t="str">
        <f>IF(COUNTIF('Art-B'!$A:$A, $C200), U$1, "")</f>
        <v/>
      </c>
      <c r="V200" s="132" t="str">
        <f>IF(COUNTIF('WH-A'!$A:$A, $C200), V$1, "")</f>
        <v/>
      </c>
      <c r="W200" s="132" t="str">
        <f>IF(COUNTIF('WH-B'!$A:$A, $C200), W$1, "")</f>
        <v/>
      </c>
      <c r="X200" s="132" t="str">
        <f>IF(COUNTIF(LETV!$A:$A, $C200), X$1, "")</f>
        <v/>
      </c>
      <c r="Y200" s="132" t="str">
        <f>IF(COUNTIF('Film&amp;Firm-A'!$A:$A, $C200), Y$1, "")</f>
        <v>Film &amp; the Firm: Visual Culture in Business Contexts (A)</v>
      </c>
      <c r="Z200" s="132" t="str">
        <f>IF(COUNTIF('Film&amp;Firm-B'!$A:$A, $C200), Z$1, "")</f>
        <v/>
      </c>
      <c r="AA200" s="132" t="str">
        <f>IF(COUNTIF(SHRM!$A:$A, $C200), AA$1, "")</f>
        <v/>
      </c>
      <c r="AB200" s="132" t="str">
        <f>IF(COUNTIF('SCM-A'!$A:$A, $C200), AB$1, "")</f>
        <v/>
      </c>
      <c r="AC200" s="132" t="str">
        <f>IF(COUNTIF('SCM-B'!$A:$A, $C200), AC$1, "")</f>
        <v/>
      </c>
      <c r="AD200" s="132" t="str">
        <f>IF(COUNTIF(AIS!$A:$A, $C200), AD$1, "")</f>
        <v/>
      </c>
      <c r="AE200" s="132" t="str">
        <f>IF(COUNTIF(EB!$A:$A, $C200), AE$1, "")</f>
        <v/>
      </c>
      <c r="AF200" s="132" t="str">
        <f>IF(COUNTIF('AIAM-A'!$A:$A, $C200), AF$1, "")</f>
        <v/>
      </c>
      <c r="AG200" s="132" t="str">
        <f>IF(COUNTIF('AIAM-B'!$A:$A, $C200), AG$1, "")</f>
        <v>AI Applications in Marketing (B)</v>
      </c>
      <c r="AH200" s="132" t="str">
        <f>IF(COUNTIF('SA-A'!$A:$A, $C200), AH$1, "")</f>
        <v/>
      </c>
      <c r="AI200" s="132" t="str">
        <f>IF(COUNTIF('SA-B'!$A:$A, $C200), AI$1, "")</f>
        <v/>
      </c>
      <c r="AJ200" s="132" t="str">
        <f>IF(COUNTIF(CSM!$A:$A, $C200), AJ$1, "")</f>
        <v/>
      </c>
      <c r="AK200" s="132" t="str">
        <f>IF(COUNTIF(EM!$A:$A, $C200), AK$1, "")</f>
        <v/>
      </c>
      <c r="AL200" s="132" t="str">
        <f>IF(COUNTIF(I4TS!$A:$A, $C200), AL$1, "")</f>
        <v/>
      </c>
    </row>
    <row r="201" spans="1:38" ht="13">
      <c r="A201" s="131">
        <v>200</v>
      </c>
      <c r="B201" s="131" t="s">
        <v>904</v>
      </c>
      <c r="C201" s="131" t="s">
        <v>918</v>
      </c>
      <c r="D201" s="106" t="s">
        <v>919</v>
      </c>
      <c r="E201" s="106" t="s">
        <v>920</v>
      </c>
      <c r="F201" s="131">
        <f t="shared" ca="1" si="0"/>
        <v>5</v>
      </c>
      <c r="G201" s="106" t="str">
        <f ca="1">IFERROR(__xludf.DUMMYFUNCTION("INDEX(FILTER($P201:$AL201, $P201:$AL201 &lt;&gt; """"), 1)"),"Workplace Happiness: Science &amp; Practice (B)")</f>
        <v>Workplace Happiness: Science &amp; Practice (B)</v>
      </c>
      <c r="H201" s="106" t="str">
        <f ca="1">IFERROR(__xludf.DUMMYFUNCTION("INDEX(FILTER($P201:$AL201, $P201:$AL201 &lt;&gt; """"), 2)"),"Strategic HRM")</f>
        <v>Strategic HRM</v>
      </c>
      <c r="I201" s="106" t="str">
        <f ca="1">IFERROR(__xludf.DUMMYFUNCTION("INDEX(FILTER($P201:$AL201, $P201:$AL201 &lt;&gt; """"), 3)"),"Strategic Career Management (B)")</f>
        <v>Strategic Career Management (B)</v>
      </c>
      <c r="J201" s="106" t="str">
        <f ca="1">IFERROR(__xludf.DUMMYFUNCTION("IFERROR(INDEX(FILTER($P201:$AL201, $P201:$AL201 &lt;&gt; """"), 4),)"),"AI AND  STRATEGY")</f>
        <v>AI AND  STRATEGY</v>
      </c>
      <c r="K201" s="106" t="str">
        <f ca="1">IFERROR(__xludf.DUMMYFUNCTION("IFERROR(INDEX(FILTER($P201:$AL201, $P201:$AL201 &lt;&gt; """"), 5),)"),"Entrepreneurial Marketing")</f>
        <v>Entrepreneurial Marketing</v>
      </c>
      <c r="L201" s="107"/>
      <c r="M201" s="107"/>
      <c r="N201" s="107"/>
      <c r="O201" s="107"/>
      <c r="P201" s="132" t="str">
        <f>IF(COUNTIF('Fintech-A'!$A:$A, $C201), P$1, "")</f>
        <v/>
      </c>
      <c r="Q201" s="132" t="str">
        <f>IF(COUNTIF('Fintech-B'!$A:$A, $C201), Q$1, "")</f>
        <v/>
      </c>
      <c r="R201" s="132" t="str">
        <f>IF(COUNTIF('BEDM-A'!$A:$A, $C201), R$1, "")</f>
        <v/>
      </c>
      <c r="S201" s="132" t="str">
        <f>IF(COUNTIF('BEDM-B'!$A:$A, $C201), S$1, "")</f>
        <v/>
      </c>
      <c r="T201" s="132" t="str">
        <f>IF(COUNTIF('Art-A'!$A:$A, $C201), T$1, "")</f>
        <v/>
      </c>
      <c r="U201" s="132" t="str">
        <f>IF(COUNTIF('Art-B'!$A:$A, $C201), U$1, "")</f>
        <v/>
      </c>
      <c r="V201" s="132" t="str">
        <f>IF(COUNTIF('WH-A'!$A:$A, $C201), V$1, "")</f>
        <v/>
      </c>
      <c r="W201" s="132" t="str">
        <f>IF(COUNTIF('WH-B'!$A:$A, $C201), W$1, "")</f>
        <v>Workplace Happiness: Science &amp; Practice (B)</v>
      </c>
      <c r="X201" s="132" t="str">
        <f>IF(COUNTIF(LETV!$A:$A, $C201), X$1, "")</f>
        <v/>
      </c>
      <c r="Y201" s="132" t="str">
        <f>IF(COUNTIF('Film&amp;Firm-A'!$A:$A, $C201), Y$1, "")</f>
        <v/>
      </c>
      <c r="Z201" s="132" t="str">
        <f>IF(COUNTIF('Film&amp;Firm-B'!$A:$A, $C201), Z$1, "")</f>
        <v/>
      </c>
      <c r="AA201" s="132" t="str">
        <f>IF(COUNTIF(SHRM!$A:$A, $C201), AA$1, "")</f>
        <v>Strategic HRM</v>
      </c>
      <c r="AB201" s="132" t="str">
        <f>IF(COUNTIF('SCM-A'!$A:$A, $C201), AB$1, "")</f>
        <v/>
      </c>
      <c r="AC201" s="132" t="str">
        <f>IF(COUNTIF('SCM-B'!$A:$A, $C201), AC$1, "")</f>
        <v>Strategic Career Management (B)</v>
      </c>
      <c r="AD201" s="132" t="str">
        <f>IF(COUNTIF(AIS!$A:$A, $C201), AD$1, "")</f>
        <v>AI AND  STRATEGY</v>
      </c>
      <c r="AE201" s="132" t="str">
        <f>IF(COUNTIF(EB!$A:$A, $C201), AE$1, "")</f>
        <v/>
      </c>
      <c r="AF201" s="132" t="str">
        <f>IF(COUNTIF('AIAM-A'!$A:$A, $C201), AF$1, "")</f>
        <v/>
      </c>
      <c r="AG201" s="132" t="str">
        <f>IF(COUNTIF('AIAM-B'!$A:$A, $C201), AG$1, "")</f>
        <v/>
      </c>
      <c r="AH201" s="132" t="str">
        <f>IF(COUNTIF('SA-A'!$A:$A, $C201), AH$1, "")</f>
        <v/>
      </c>
      <c r="AI201" s="132" t="str">
        <f>IF(COUNTIF('SA-B'!$A:$A, $C201), AI$1, "")</f>
        <v/>
      </c>
      <c r="AJ201" s="132" t="str">
        <f>IF(COUNTIF(CSM!$A:$A, $C201), AJ$1, "")</f>
        <v/>
      </c>
      <c r="AK201" s="132" t="str">
        <f>IF(COUNTIF(EM!$A:$A, $C201), AK$1, "")</f>
        <v>Entrepreneurial Marketing</v>
      </c>
      <c r="AL201" s="132" t="str">
        <f>IF(COUNTIF(I4TS!$A:$A, $C201), AL$1, "")</f>
        <v/>
      </c>
    </row>
    <row r="202" spans="1:38" ht="13">
      <c r="A202" s="131">
        <v>201</v>
      </c>
      <c r="B202" s="131" t="s">
        <v>904</v>
      </c>
      <c r="C202" s="131" t="s">
        <v>286</v>
      </c>
      <c r="D202" s="106" t="s">
        <v>921</v>
      </c>
      <c r="E202" s="106" t="s">
        <v>922</v>
      </c>
      <c r="F202" s="131">
        <f t="shared" ca="1" si="0"/>
        <v>5</v>
      </c>
      <c r="G202" s="106" t="str">
        <f ca="1">IFERROR(__xludf.DUMMYFUNCTION("INDEX(FILTER($P202:$AL202, $P202:$AL202 &lt;&gt; """"), 1)"),"Workplace Happiness: Science &amp; Practice (B)")</f>
        <v>Workplace Happiness: Science &amp; Practice (B)</v>
      </c>
      <c r="H202" s="106" t="str">
        <f ca="1">IFERROR(__xludf.DUMMYFUNCTION("INDEX(FILTER($P202:$AL202, $P202:$AL202 &lt;&gt; """"), 2)"),"Strategic Career Management (B)")</f>
        <v>Strategic Career Management (B)</v>
      </c>
      <c r="I202" s="106" t="str">
        <f ca="1">IFERROR(__xludf.DUMMYFUNCTION("INDEX(FILTER($P202:$AL202, $P202:$AL202 &lt;&gt; """"), 3)"),"AI Applications in Marketing (B)")</f>
        <v>AI Applications in Marketing (B)</v>
      </c>
      <c r="J202" s="106" t="str">
        <f ca="1">IFERROR(__xludf.DUMMYFUNCTION("IFERROR(INDEX(FILTER($P202:$AL202, $P202:$AL202 &lt;&gt; """"), 4),)"),"")</f>
        <v/>
      </c>
      <c r="K202" s="106" t="str">
        <f ca="1">IFERROR(__xludf.DUMMYFUNCTION("IFERROR(INDEX(FILTER($P202:$AL202, $P202:$AL202 &lt;&gt; """"), 5),)"),"")</f>
        <v/>
      </c>
      <c r="L202" s="107"/>
      <c r="M202" s="107"/>
      <c r="N202" s="107"/>
      <c r="O202" s="107"/>
      <c r="P202" s="132" t="str">
        <f>IF(COUNTIF('Fintech-A'!$A:$A, $C202), P$1, "")</f>
        <v/>
      </c>
      <c r="Q202" s="132" t="str">
        <f>IF(COUNTIF('Fintech-B'!$A:$A, $C202), Q$1, "")</f>
        <v/>
      </c>
      <c r="R202" s="132" t="str">
        <f>IF(COUNTIF('BEDM-A'!$A:$A, $C202), R$1, "")</f>
        <v/>
      </c>
      <c r="S202" s="132" t="str">
        <f>IF(COUNTIF('BEDM-B'!$A:$A, $C202), S$1, "")</f>
        <v/>
      </c>
      <c r="T202" s="132" t="str">
        <f>IF(COUNTIF('Art-A'!$A:$A, $C202), T$1, "")</f>
        <v/>
      </c>
      <c r="U202" s="132" t="str">
        <f>IF(COUNTIF('Art-B'!$A:$A, $C202), U$1, "")</f>
        <v/>
      </c>
      <c r="V202" s="132" t="str">
        <f>IF(COUNTIF('WH-A'!$A:$A, $C202), V$1, "")</f>
        <v/>
      </c>
      <c r="W202" s="132" t="str">
        <f>IF(COUNTIF('WH-B'!$A:$A, $C202), W$1, "")</f>
        <v>Workplace Happiness: Science &amp; Practice (B)</v>
      </c>
      <c r="X202" s="132" t="str">
        <f>IF(COUNTIF(LETV!$A:$A, $C202), X$1, "")</f>
        <v/>
      </c>
      <c r="Y202" s="132" t="str">
        <f>IF(COUNTIF('Film&amp;Firm-A'!$A:$A, $C202), Y$1, "")</f>
        <v/>
      </c>
      <c r="Z202" s="132" t="str">
        <f>IF(COUNTIF('Film&amp;Firm-B'!$A:$A, $C202), Z$1, "")</f>
        <v/>
      </c>
      <c r="AA202" s="132" t="str">
        <f>IF(COUNTIF(SHRM!$A:$A, $C202), AA$1, "")</f>
        <v/>
      </c>
      <c r="AB202" s="132" t="str">
        <f>IF(COUNTIF('SCM-A'!$A:$A, $C202), AB$1, "")</f>
        <v/>
      </c>
      <c r="AC202" s="132" t="str">
        <f>IF(COUNTIF('SCM-B'!$A:$A, $C202), AC$1, "")</f>
        <v>Strategic Career Management (B)</v>
      </c>
      <c r="AD202" s="132" t="str">
        <f>IF(COUNTIF(AIS!$A:$A, $C202), AD$1, "")</f>
        <v/>
      </c>
      <c r="AE202" s="132" t="str">
        <f>IF(COUNTIF(EB!$A:$A, $C202), AE$1, "")</f>
        <v/>
      </c>
      <c r="AF202" s="132" t="str">
        <f>IF(COUNTIF('AIAM-A'!$A:$A, $C202), AF$1, "")</f>
        <v/>
      </c>
      <c r="AG202" s="132" t="str">
        <f>IF(COUNTIF('AIAM-B'!$A:$A, $C202), AG$1, "")</f>
        <v>AI Applications in Marketing (B)</v>
      </c>
      <c r="AH202" s="132" t="str">
        <f>IF(COUNTIF('SA-A'!$A:$A, $C202), AH$1, "")</f>
        <v/>
      </c>
      <c r="AI202" s="132" t="str">
        <f>IF(COUNTIF('SA-B'!$A:$A, $C202), AI$1, "")</f>
        <v/>
      </c>
      <c r="AJ202" s="132" t="str">
        <f>IF(COUNTIF(CSM!$A:$A, $C202), AJ$1, "")</f>
        <v/>
      </c>
      <c r="AK202" s="132" t="str">
        <f>IF(COUNTIF(EM!$A:$A, $C202), AK$1, "")</f>
        <v/>
      </c>
      <c r="AL202" s="132" t="str">
        <f>IF(COUNTIF(I4TS!$A:$A, $C202), AL$1, "")</f>
        <v/>
      </c>
    </row>
    <row r="203" spans="1:38" ht="13">
      <c r="A203" s="131">
        <v>202</v>
      </c>
      <c r="B203" s="131" t="s">
        <v>904</v>
      </c>
      <c r="C203" s="131" t="s">
        <v>923</v>
      </c>
      <c r="D203" s="106" t="s">
        <v>924</v>
      </c>
      <c r="E203" s="106" t="s">
        <v>925</v>
      </c>
      <c r="F203" s="131">
        <f t="shared" ca="1" si="0"/>
        <v>5</v>
      </c>
      <c r="G203" s="106" t="str">
        <f ca="1">IFERROR(__xludf.DUMMYFUNCTION("INDEX(FILTER($P203:$AL203, $P203:$AL203 &lt;&gt; """"), 1)"),"The Art, Craft, and Science of Management: Learning through Classics and Best Collections (A)")</f>
        <v>The Art, Craft, and Science of Management: Learning through Classics and Best Collections (A)</v>
      </c>
      <c r="H203" s="106" t="str">
        <f ca="1">IFERROR(__xludf.DUMMYFUNCTION("INDEX(FILTER($P203:$AL203, $P203:$AL203 &lt;&gt; """"), 2)"),"Leadership Excellence Through Values : Wisdom from the Mahabharata")</f>
        <v>Leadership Excellence Through Values : Wisdom from the Mahabharata</v>
      </c>
      <c r="I203" s="106" t="str">
        <f ca="1">IFERROR(__xludf.DUMMYFUNCTION("INDEX(FILTER($P203:$AL203, $P203:$AL203 &lt;&gt; """"), 3)"),"Film &amp; the Firm: Visual Culture in Business Contexts (A)")</f>
        <v>Film &amp; the Firm: Visual Culture in Business Contexts (A)</v>
      </c>
      <c r="J203" s="106" t="str">
        <f ca="1">IFERROR(__xludf.DUMMYFUNCTION("IFERROR(INDEX(FILTER($P203:$AL203, $P203:$AL203 &lt;&gt; """"), 4),)"),"")</f>
        <v/>
      </c>
      <c r="K203" s="106" t="str">
        <f ca="1">IFERROR(__xludf.DUMMYFUNCTION("IFERROR(INDEX(FILTER($P203:$AL203, $P203:$AL203 &lt;&gt; """"), 5),)"),"")</f>
        <v/>
      </c>
      <c r="L203" s="107"/>
      <c r="M203" s="107"/>
      <c r="N203" s="107"/>
      <c r="O203" s="107"/>
      <c r="P203" s="132" t="str">
        <f>IF(COUNTIF('Fintech-A'!$A:$A, $C203), P$1, "")</f>
        <v/>
      </c>
      <c r="Q203" s="132" t="str">
        <f>IF(COUNTIF('Fintech-B'!$A:$A, $C203), Q$1, "")</f>
        <v/>
      </c>
      <c r="R203" s="132" t="str">
        <f>IF(COUNTIF('BEDM-A'!$A:$A, $C203), R$1, "")</f>
        <v/>
      </c>
      <c r="S203" s="132" t="str">
        <f>IF(COUNTIF('BEDM-B'!$A:$A, $C203), S$1, "")</f>
        <v/>
      </c>
      <c r="T203" s="132" t="str">
        <f>IF(COUNTIF('Art-A'!$A:$A, $C203), T$1, "")</f>
        <v>The Art, Craft, and Science of Management: Learning through Classics and Best Collections (A)</v>
      </c>
      <c r="U203" s="132" t="str">
        <f>IF(COUNTIF('Art-B'!$A:$A, $C203), U$1, "")</f>
        <v/>
      </c>
      <c r="V203" s="132" t="str">
        <f>IF(COUNTIF('WH-A'!$A:$A, $C203), V$1, "")</f>
        <v/>
      </c>
      <c r="W203" s="132" t="str">
        <f>IF(COUNTIF('WH-B'!$A:$A, $C203), W$1, "")</f>
        <v/>
      </c>
      <c r="X203" s="132" t="str">
        <f>IF(COUNTIF(LETV!$A:$A, $C203), X$1, "")</f>
        <v>Leadership Excellence Through Values : Wisdom from the Mahabharata</v>
      </c>
      <c r="Y203" s="132" t="str">
        <f>IF(COUNTIF('Film&amp;Firm-A'!$A:$A, $C203), Y$1, "")</f>
        <v>Film &amp; the Firm: Visual Culture in Business Contexts (A)</v>
      </c>
      <c r="Z203" s="132" t="str">
        <f>IF(COUNTIF('Film&amp;Firm-B'!$A:$A, $C203), Z$1, "")</f>
        <v/>
      </c>
      <c r="AA203" s="132" t="str">
        <f>IF(COUNTIF(SHRM!$A:$A, $C203), AA$1, "")</f>
        <v/>
      </c>
      <c r="AB203" s="132" t="str">
        <f>IF(COUNTIF('SCM-A'!$A:$A, $C203), AB$1, "")</f>
        <v/>
      </c>
      <c r="AC203" s="132" t="str">
        <f>IF(COUNTIF('SCM-B'!$A:$A, $C203), AC$1, "")</f>
        <v/>
      </c>
      <c r="AD203" s="132" t="str">
        <f>IF(COUNTIF(AIS!$A:$A, $C203), AD$1, "")</f>
        <v/>
      </c>
      <c r="AE203" s="132" t="str">
        <f>IF(COUNTIF(EB!$A:$A, $C203), AE$1, "")</f>
        <v/>
      </c>
      <c r="AF203" s="132" t="str">
        <f>IF(COUNTIF('AIAM-A'!$A:$A, $C203), AF$1, "")</f>
        <v/>
      </c>
      <c r="AG203" s="132" t="str">
        <f>IF(COUNTIF('AIAM-B'!$A:$A, $C203), AG$1, "")</f>
        <v/>
      </c>
      <c r="AH203" s="132" t="str">
        <f>IF(COUNTIF('SA-A'!$A:$A, $C203), AH$1, "")</f>
        <v/>
      </c>
      <c r="AI203" s="132" t="str">
        <f>IF(COUNTIF('SA-B'!$A:$A, $C203), AI$1, "")</f>
        <v/>
      </c>
      <c r="AJ203" s="132" t="str">
        <f>IF(COUNTIF(CSM!$A:$A, $C203), AJ$1, "")</f>
        <v/>
      </c>
      <c r="AK203" s="132" t="str">
        <f>IF(COUNTIF(EM!$A:$A, $C203), AK$1, "")</f>
        <v/>
      </c>
      <c r="AL203" s="132" t="str">
        <f>IF(COUNTIF(I4TS!$A:$A, $C203), AL$1, "")</f>
        <v/>
      </c>
    </row>
    <row r="204" spans="1:38" ht="13">
      <c r="A204" s="131">
        <v>203</v>
      </c>
      <c r="B204" s="131" t="s">
        <v>904</v>
      </c>
      <c r="C204" s="131" t="s">
        <v>287</v>
      </c>
      <c r="D204" s="106" t="s">
        <v>926</v>
      </c>
      <c r="E204" s="106" t="s">
        <v>927</v>
      </c>
      <c r="F204" s="131">
        <f t="shared" ca="1" si="0"/>
        <v>5</v>
      </c>
      <c r="G204" s="106" t="str">
        <f ca="1">IFERROR(__xludf.DUMMYFUNCTION("INDEX(FILTER($P204:$AL204, $P204:$AL204 &lt;&gt; """"), 1)"),"AI Applications in Marketing (B)")</f>
        <v>AI Applications in Marketing (B)</v>
      </c>
      <c r="H204" s="106" t="str">
        <f ca="1">IFERROR(__xludf.DUMMYFUNCTION("INDEX(FILTER($P204:$AL204, $P204:$AL204 &lt;&gt; """"), 2)"),"SPORTS ANALYTICS (B)")</f>
        <v>SPORTS ANALYTICS (B)</v>
      </c>
      <c r="I204" s="106" t="str">
        <f ca="1">IFERROR(__xludf.DUMMYFUNCTION("INDEX(FILTER($P204:$AL204, $P204:$AL204 &lt;&gt; """"), 3)"),"Industry 4.0 in Transport Sector")</f>
        <v>Industry 4.0 in Transport Sector</v>
      </c>
      <c r="J204" s="106" t="str">
        <f ca="1">IFERROR(__xludf.DUMMYFUNCTION("IFERROR(INDEX(FILTER($P204:$AL204, $P204:$AL204 &lt;&gt; """"), 4),)"),"")</f>
        <v/>
      </c>
      <c r="K204" s="106" t="str">
        <f ca="1">IFERROR(__xludf.DUMMYFUNCTION("IFERROR(INDEX(FILTER($P204:$AL204, $P204:$AL204 &lt;&gt; """"), 5),)"),"")</f>
        <v/>
      </c>
      <c r="L204" s="107"/>
      <c r="M204" s="107"/>
      <c r="N204" s="107"/>
      <c r="O204" s="107"/>
      <c r="P204" s="132" t="str">
        <f>IF(COUNTIF('Fintech-A'!$A:$A, $C204), P$1, "")</f>
        <v/>
      </c>
      <c r="Q204" s="132" t="str">
        <f>IF(COUNTIF('Fintech-B'!$A:$A, $C204), Q$1, "")</f>
        <v/>
      </c>
      <c r="R204" s="132" t="str">
        <f>IF(COUNTIF('BEDM-A'!$A:$A, $C204), R$1, "")</f>
        <v/>
      </c>
      <c r="S204" s="132" t="str">
        <f>IF(COUNTIF('BEDM-B'!$A:$A, $C204), S$1, "")</f>
        <v/>
      </c>
      <c r="T204" s="132" t="str">
        <f>IF(COUNTIF('Art-A'!$A:$A, $C204), T$1, "")</f>
        <v/>
      </c>
      <c r="U204" s="132" t="str">
        <f>IF(COUNTIF('Art-B'!$A:$A, $C204), U$1, "")</f>
        <v/>
      </c>
      <c r="V204" s="132" t="str">
        <f>IF(COUNTIF('WH-A'!$A:$A, $C204), V$1, "")</f>
        <v/>
      </c>
      <c r="W204" s="132" t="str">
        <f>IF(COUNTIF('WH-B'!$A:$A, $C204), W$1, "")</f>
        <v/>
      </c>
      <c r="X204" s="132" t="str">
        <f>IF(COUNTIF(LETV!$A:$A, $C204), X$1, "")</f>
        <v/>
      </c>
      <c r="Y204" s="132" t="str">
        <f>IF(COUNTIF('Film&amp;Firm-A'!$A:$A, $C204), Y$1, "")</f>
        <v/>
      </c>
      <c r="Z204" s="132" t="str">
        <f>IF(COUNTIF('Film&amp;Firm-B'!$A:$A, $C204), Z$1, "")</f>
        <v/>
      </c>
      <c r="AA204" s="132" t="str">
        <f>IF(COUNTIF(SHRM!$A:$A, $C204), AA$1, "")</f>
        <v/>
      </c>
      <c r="AB204" s="132" t="str">
        <f>IF(COUNTIF('SCM-A'!$A:$A, $C204), AB$1, "")</f>
        <v/>
      </c>
      <c r="AC204" s="132" t="str">
        <f>IF(COUNTIF('SCM-B'!$A:$A, $C204), AC$1, "")</f>
        <v/>
      </c>
      <c r="AD204" s="132" t="str">
        <f>IF(COUNTIF(AIS!$A:$A, $C204), AD$1, "")</f>
        <v/>
      </c>
      <c r="AE204" s="132" t="str">
        <f>IF(COUNTIF(EB!$A:$A, $C204), AE$1, "")</f>
        <v/>
      </c>
      <c r="AF204" s="132" t="str">
        <f>IF(COUNTIF('AIAM-A'!$A:$A, $C204), AF$1, "")</f>
        <v/>
      </c>
      <c r="AG204" s="132" t="str">
        <f>IF(COUNTIF('AIAM-B'!$A:$A, $C204), AG$1, "")</f>
        <v>AI Applications in Marketing (B)</v>
      </c>
      <c r="AH204" s="132" t="str">
        <f>IF(COUNTIF('SA-A'!$A:$A, $C204), AH$1, "")</f>
        <v/>
      </c>
      <c r="AI204" s="132" t="str">
        <f>IF(COUNTIF('SA-B'!$A:$A, $C204), AI$1, "")</f>
        <v>SPORTS ANALYTICS (B)</v>
      </c>
      <c r="AJ204" s="132" t="str">
        <f>IF(COUNTIF(CSM!$A:$A, $C204), AJ$1, "")</f>
        <v/>
      </c>
      <c r="AK204" s="132" t="str">
        <f>IF(COUNTIF(EM!$A:$A, $C204), AK$1, "")</f>
        <v/>
      </c>
      <c r="AL204" s="132" t="str">
        <f>IF(COUNTIF(I4TS!$A:$A, $C204), AL$1, "")</f>
        <v>Industry 4.0 in Transport Sector</v>
      </c>
    </row>
    <row r="205" spans="1:38" ht="13">
      <c r="A205" s="131">
        <v>204</v>
      </c>
      <c r="B205" s="131" t="s">
        <v>904</v>
      </c>
      <c r="C205" s="131" t="s">
        <v>928</v>
      </c>
      <c r="D205" s="106" t="s">
        <v>929</v>
      </c>
      <c r="E205" s="106" t="s">
        <v>930</v>
      </c>
      <c r="F205" s="131">
        <f t="shared" ca="1" si="0"/>
        <v>5</v>
      </c>
      <c r="G205" s="106" t="str">
        <f ca="1">IFERROR(__xludf.DUMMYFUNCTION("INDEX(FILTER($P205:$AL205, $P205:$AL205 &lt;&gt; """"), 1)"),"Fintech (Digital Transformation in Finance) (B)")</f>
        <v>Fintech (Digital Transformation in Finance) (B)</v>
      </c>
      <c r="H205" s="106" t="str">
        <f ca="1">IFERROR(__xludf.DUMMYFUNCTION("INDEX(FILTER($P205:$AL205, $P205:$AL205 &lt;&gt; """"), 2)"),"Film &amp; the Firm: Visual Culture in Business Contexts (B)")</f>
        <v>Film &amp; the Firm: Visual Culture in Business Contexts (B)</v>
      </c>
      <c r="I205" s="106" t="str">
        <f ca="1">IFERROR(__xludf.DUMMYFUNCTION("INDEX(FILTER($P205:$AL205, $P205:$AL205 &lt;&gt; """"), 3)"),"Strategic Career Management (A)")</f>
        <v>Strategic Career Management (A)</v>
      </c>
      <c r="J205" s="106" t="str">
        <f ca="1">IFERROR(__xludf.DUMMYFUNCTION("IFERROR(INDEX(FILTER($P205:$AL205, $P205:$AL205 &lt;&gt; """"), 4),)"),"")</f>
        <v/>
      </c>
      <c r="K205" s="106" t="str">
        <f ca="1">IFERROR(__xludf.DUMMYFUNCTION("IFERROR(INDEX(FILTER($P205:$AL205, $P205:$AL205 &lt;&gt; """"), 5),)"),"")</f>
        <v/>
      </c>
      <c r="L205" s="107"/>
      <c r="M205" s="107"/>
      <c r="N205" s="107"/>
      <c r="O205" s="107"/>
      <c r="P205" s="132" t="str">
        <f>IF(COUNTIF('Fintech-A'!$A:$A, $C205), P$1, "")</f>
        <v/>
      </c>
      <c r="Q205" s="132" t="str">
        <f>IF(COUNTIF('Fintech-B'!$A:$A, $C205), Q$1, "")</f>
        <v>Fintech (Digital Transformation in Finance) (B)</v>
      </c>
      <c r="R205" s="132" t="str">
        <f>IF(COUNTIF('BEDM-A'!$A:$A, $C205), R$1, "")</f>
        <v/>
      </c>
      <c r="S205" s="132" t="str">
        <f>IF(COUNTIF('BEDM-B'!$A:$A, $C205), S$1, "")</f>
        <v/>
      </c>
      <c r="T205" s="132" t="str">
        <f>IF(COUNTIF('Art-A'!$A:$A, $C205), T$1, "")</f>
        <v/>
      </c>
      <c r="U205" s="132" t="str">
        <f>IF(COUNTIF('Art-B'!$A:$A, $C205), U$1, "")</f>
        <v/>
      </c>
      <c r="V205" s="132" t="str">
        <f>IF(COUNTIF('WH-A'!$A:$A, $C205), V$1, "")</f>
        <v/>
      </c>
      <c r="W205" s="132" t="str">
        <f>IF(COUNTIF('WH-B'!$A:$A, $C205), W$1, "")</f>
        <v/>
      </c>
      <c r="X205" s="132" t="str">
        <f>IF(COUNTIF(LETV!$A:$A, $C205), X$1, "")</f>
        <v/>
      </c>
      <c r="Y205" s="132" t="str">
        <f>IF(COUNTIF('Film&amp;Firm-A'!$A:$A, $C205), Y$1, "")</f>
        <v/>
      </c>
      <c r="Z205" s="132" t="str">
        <f>IF(COUNTIF('Film&amp;Firm-B'!$A:$A, $C205), Z$1, "")</f>
        <v>Film &amp; the Firm: Visual Culture in Business Contexts (B)</v>
      </c>
      <c r="AA205" s="132" t="str">
        <f>IF(COUNTIF(SHRM!$A:$A, $C205), AA$1, "")</f>
        <v/>
      </c>
      <c r="AB205" s="132" t="str">
        <f>IF(COUNTIF('SCM-A'!$A:$A, $C205), AB$1, "")</f>
        <v>Strategic Career Management (A)</v>
      </c>
      <c r="AC205" s="132" t="str">
        <f>IF(COUNTIF('SCM-B'!$A:$A, $C205), AC$1, "")</f>
        <v/>
      </c>
      <c r="AD205" s="132" t="str">
        <f>IF(COUNTIF(AIS!$A:$A, $C205), AD$1, "")</f>
        <v/>
      </c>
      <c r="AE205" s="132" t="str">
        <f>IF(COUNTIF(EB!$A:$A, $C205), AE$1, "")</f>
        <v/>
      </c>
      <c r="AF205" s="132" t="str">
        <f>IF(COUNTIF('AIAM-A'!$A:$A, $C205), AF$1, "")</f>
        <v/>
      </c>
      <c r="AG205" s="132" t="str">
        <f>IF(COUNTIF('AIAM-B'!$A:$A, $C205), AG$1, "")</f>
        <v/>
      </c>
      <c r="AH205" s="132" t="str">
        <f>IF(COUNTIF('SA-A'!$A:$A, $C205), AH$1, "")</f>
        <v/>
      </c>
      <c r="AI205" s="132" t="str">
        <f>IF(COUNTIF('SA-B'!$A:$A, $C205), AI$1, "")</f>
        <v/>
      </c>
      <c r="AJ205" s="132" t="str">
        <f>IF(COUNTIF(CSM!$A:$A, $C205), AJ$1, "")</f>
        <v/>
      </c>
      <c r="AK205" s="132" t="str">
        <f>IF(COUNTIF(EM!$A:$A, $C205), AK$1, "")</f>
        <v/>
      </c>
      <c r="AL205" s="132" t="str">
        <f>IF(COUNTIF(I4TS!$A:$A, $C205), AL$1, "")</f>
        <v/>
      </c>
    </row>
    <row r="206" spans="1:38" ht="13">
      <c r="A206" s="131">
        <v>205</v>
      </c>
      <c r="B206" s="131" t="s">
        <v>904</v>
      </c>
      <c r="C206" s="131" t="s">
        <v>288</v>
      </c>
      <c r="D206" s="106" t="s">
        <v>931</v>
      </c>
      <c r="E206" s="106" t="s">
        <v>932</v>
      </c>
      <c r="F206" s="131">
        <f t="shared" ca="1" si="0"/>
        <v>5</v>
      </c>
      <c r="G206" s="106" t="str">
        <f ca="1">IFERROR(__xludf.DUMMYFUNCTION("INDEX(FILTER($P206:$AL206, $P206:$AL206 &lt;&gt; """"), 1)"),"Fintech (Digital Transformation in Finance) (A)")</f>
        <v>Fintech (Digital Transformation in Finance) (A)</v>
      </c>
      <c r="H206" s="106" t="str">
        <f ca="1">IFERROR(__xludf.DUMMYFUNCTION("INDEX(FILTER($P206:$AL206, $P206:$AL206 &lt;&gt; """"), 2)"),"Behavioural Economics and Decision-Making (A)")</f>
        <v>Behavioural Economics and Decision-Making (A)</v>
      </c>
      <c r="I206" s="106" t="str">
        <f ca="1">IFERROR(__xludf.DUMMYFUNCTION("INDEX(FILTER($P206:$AL206, $P206:$AL206 &lt;&gt; """"), 3)"),"The Art, Craft, and Science of Management: Learning through Classics and Best Collections (A)")</f>
        <v>The Art, Craft, and Science of Management: Learning through Classics and Best Collections (A)</v>
      </c>
      <c r="J206" s="106" t="str">
        <f ca="1">IFERROR(__xludf.DUMMYFUNCTION("IFERROR(INDEX(FILTER($P206:$AL206, $P206:$AL206 &lt;&gt; """"), 4),)"),"Strategic Career Management (A)")</f>
        <v>Strategic Career Management (A)</v>
      </c>
      <c r="K206" s="106" t="str">
        <f ca="1">IFERROR(__xludf.DUMMYFUNCTION("IFERROR(INDEX(FILTER($P206:$AL206, $P206:$AL206 &lt;&gt; """"), 5),)"),"Entrepreneurial Marketing")</f>
        <v>Entrepreneurial Marketing</v>
      </c>
      <c r="L206" s="107"/>
      <c r="M206" s="107"/>
      <c r="N206" s="107"/>
      <c r="O206" s="107"/>
      <c r="P206" s="132" t="str">
        <f>IF(COUNTIF('Fintech-A'!$A:$A, $C206), P$1, "")</f>
        <v>Fintech (Digital Transformation in Finance) (A)</v>
      </c>
      <c r="Q206" s="132" t="str">
        <f>IF(COUNTIF('Fintech-B'!$A:$A, $C206), Q$1, "")</f>
        <v/>
      </c>
      <c r="R206" s="132" t="str">
        <f>IF(COUNTIF('BEDM-A'!$A:$A, $C206), R$1, "")</f>
        <v>Behavioural Economics and Decision-Making (A)</v>
      </c>
      <c r="S206" s="132" t="str">
        <f>IF(COUNTIF('BEDM-B'!$A:$A, $C206), S$1, "")</f>
        <v/>
      </c>
      <c r="T206" s="132" t="str">
        <f>IF(COUNTIF('Art-A'!$A:$A, $C206), T$1, "")</f>
        <v>The Art, Craft, and Science of Management: Learning through Classics and Best Collections (A)</v>
      </c>
      <c r="U206" s="132" t="str">
        <f>IF(COUNTIF('Art-B'!$A:$A, $C206), U$1, "")</f>
        <v/>
      </c>
      <c r="V206" s="132" t="str">
        <f>IF(COUNTIF('WH-A'!$A:$A, $C206), V$1, "")</f>
        <v/>
      </c>
      <c r="W206" s="132" t="str">
        <f>IF(COUNTIF('WH-B'!$A:$A, $C206), W$1, "")</f>
        <v/>
      </c>
      <c r="X206" s="132" t="str">
        <f>IF(COUNTIF(LETV!$A:$A, $C206), X$1, "")</f>
        <v/>
      </c>
      <c r="Y206" s="132" t="str">
        <f>IF(COUNTIF('Film&amp;Firm-A'!$A:$A, $C206), Y$1, "")</f>
        <v/>
      </c>
      <c r="Z206" s="132" t="str">
        <f>IF(COUNTIF('Film&amp;Firm-B'!$A:$A, $C206), Z$1, "")</f>
        <v/>
      </c>
      <c r="AA206" s="132" t="str">
        <f>IF(COUNTIF(SHRM!$A:$A, $C206), AA$1, "")</f>
        <v/>
      </c>
      <c r="AB206" s="132" t="str">
        <f>IF(COUNTIF('SCM-A'!$A:$A, $C206), AB$1, "")</f>
        <v>Strategic Career Management (A)</v>
      </c>
      <c r="AC206" s="132" t="str">
        <f>IF(COUNTIF('SCM-B'!$A:$A, $C206), AC$1, "")</f>
        <v/>
      </c>
      <c r="AD206" s="132" t="str">
        <f>IF(COUNTIF(AIS!$A:$A, $C206), AD$1, "")</f>
        <v/>
      </c>
      <c r="AE206" s="132" t="str">
        <f>IF(COUNTIF(EB!$A:$A, $C206), AE$1, "")</f>
        <v/>
      </c>
      <c r="AF206" s="132" t="str">
        <f>IF(COUNTIF('AIAM-A'!$A:$A, $C206), AF$1, "")</f>
        <v/>
      </c>
      <c r="AG206" s="132" t="str">
        <f>IF(COUNTIF('AIAM-B'!$A:$A, $C206), AG$1, "")</f>
        <v/>
      </c>
      <c r="AH206" s="132" t="str">
        <f>IF(COUNTIF('SA-A'!$A:$A, $C206), AH$1, "")</f>
        <v/>
      </c>
      <c r="AI206" s="132" t="str">
        <f>IF(COUNTIF('SA-B'!$A:$A, $C206), AI$1, "")</f>
        <v/>
      </c>
      <c r="AJ206" s="132" t="str">
        <f>IF(COUNTIF(CSM!$A:$A, $C206), AJ$1, "")</f>
        <v/>
      </c>
      <c r="AK206" s="132" t="str">
        <f>IF(COUNTIF(EM!$A:$A, $C206), AK$1, "")</f>
        <v>Entrepreneurial Marketing</v>
      </c>
      <c r="AL206" s="132" t="str">
        <f>IF(COUNTIF(I4TS!$A:$A, $C206), AL$1, "")</f>
        <v/>
      </c>
    </row>
    <row r="207" spans="1:38" ht="13">
      <c r="A207" s="131">
        <v>206</v>
      </c>
      <c r="B207" s="131" t="s">
        <v>904</v>
      </c>
      <c r="C207" s="131" t="s">
        <v>933</v>
      </c>
      <c r="D207" s="106" t="s">
        <v>934</v>
      </c>
      <c r="E207" s="106" t="s">
        <v>935</v>
      </c>
      <c r="F207" s="131">
        <f t="shared" ca="1" si="0"/>
        <v>5</v>
      </c>
      <c r="G207" s="106" t="str">
        <f ca="1">IFERROR(__xludf.DUMMYFUNCTION("INDEX(FILTER($P207:$AL207, $P207:$AL207 &lt;&gt; """"), 1)"),"Fintech (Digital Transformation in Finance) (B)")</f>
        <v>Fintech (Digital Transformation in Finance) (B)</v>
      </c>
      <c r="H207" s="106" t="str">
        <f ca="1">IFERROR(__xludf.DUMMYFUNCTION("INDEX(FILTER($P207:$AL207, $P207:$AL207 &lt;&gt; """"), 2)"),"Behavioural Economics and Decision-Making (A)")</f>
        <v>Behavioural Economics and Decision-Making (A)</v>
      </c>
      <c r="I207" s="106" t="str">
        <f ca="1">IFERROR(__xludf.DUMMYFUNCTION("INDEX(FILTER($P207:$AL207, $P207:$AL207 &lt;&gt; """"), 3)"),"Leadership Excellence Through Values : Wisdom from the Mahabharata")</f>
        <v>Leadership Excellence Through Values : Wisdom from the Mahabharata</v>
      </c>
      <c r="J207" s="106" t="str">
        <f ca="1">IFERROR(__xludf.DUMMYFUNCTION("IFERROR(INDEX(FILTER($P207:$AL207, $P207:$AL207 &lt;&gt; """"), 4),)"),"")</f>
        <v/>
      </c>
      <c r="K207" s="106" t="str">
        <f ca="1">IFERROR(__xludf.DUMMYFUNCTION("IFERROR(INDEX(FILTER($P207:$AL207, $P207:$AL207 &lt;&gt; """"), 5),)"),"")</f>
        <v/>
      </c>
      <c r="L207" s="107"/>
      <c r="M207" s="107"/>
      <c r="N207" s="107"/>
      <c r="O207" s="107"/>
      <c r="P207" s="132" t="str">
        <f>IF(COUNTIF('Fintech-A'!$A:$A, $C207), P$1, "")</f>
        <v/>
      </c>
      <c r="Q207" s="132" t="str">
        <f>IF(COUNTIF('Fintech-B'!$A:$A, $C207), Q$1, "")</f>
        <v>Fintech (Digital Transformation in Finance) (B)</v>
      </c>
      <c r="R207" s="132" t="str">
        <f>IF(COUNTIF('BEDM-A'!$A:$A, $C207), R$1, "")</f>
        <v>Behavioural Economics and Decision-Making (A)</v>
      </c>
      <c r="S207" s="132" t="str">
        <f>IF(COUNTIF('BEDM-B'!$A:$A, $C207), S$1, "")</f>
        <v/>
      </c>
      <c r="T207" s="132" t="str">
        <f>IF(COUNTIF('Art-A'!$A:$A, $C207), T$1, "")</f>
        <v/>
      </c>
      <c r="U207" s="132" t="str">
        <f>IF(COUNTIF('Art-B'!$A:$A, $C207), U$1, "")</f>
        <v/>
      </c>
      <c r="V207" s="132" t="str">
        <f>IF(COUNTIF('WH-A'!$A:$A, $C207), V$1, "")</f>
        <v/>
      </c>
      <c r="W207" s="132" t="str">
        <f>IF(COUNTIF('WH-B'!$A:$A, $C207), W$1, "")</f>
        <v/>
      </c>
      <c r="X207" s="132" t="str">
        <f>IF(COUNTIF(LETV!$A:$A, $C207), X$1, "")</f>
        <v>Leadership Excellence Through Values : Wisdom from the Mahabharata</v>
      </c>
      <c r="Y207" s="132" t="str">
        <f>IF(COUNTIF('Film&amp;Firm-A'!$A:$A, $C207), Y$1, "")</f>
        <v/>
      </c>
      <c r="Z207" s="132" t="str">
        <f>IF(COUNTIF('Film&amp;Firm-B'!$A:$A, $C207), Z$1, "")</f>
        <v/>
      </c>
      <c r="AA207" s="132" t="str">
        <f>IF(COUNTIF(SHRM!$A:$A, $C207), AA$1, "")</f>
        <v/>
      </c>
      <c r="AB207" s="132" t="str">
        <f>IF(COUNTIF('SCM-A'!$A:$A, $C207), AB$1, "")</f>
        <v/>
      </c>
      <c r="AC207" s="132" t="str">
        <f>IF(COUNTIF('SCM-B'!$A:$A, $C207), AC$1, "")</f>
        <v/>
      </c>
      <c r="AD207" s="132" t="str">
        <f>IF(COUNTIF(AIS!$A:$A, $C207), AD$1, "")</f>
        <v/>
      </c>
      <c r="AE207" s="132" t="str">
        <f>IF(COUNTIF(EB!$A:$A, $C207), AE$1, "")</f>
        <v/>
      </c>
      <c r="AF207" s="132" t="str">
        <f>IF(COUNTIF('AIAM-A'!$A:$A, $C207), AF$1, "")</f>
        <v/>
      </c>
      <c r="AG207" s="132" t="str">
        <f>IF(COUNTIF('AIAM-B'!$A:$A, $C207), AG$1, "")</f>
        <v/>
      </c>
      <c r="AH207" s="132" t="str">
        <f>IF(COUNTIF('SA-A'!$A:$A, $C207), AH$1, "")</f>
        <v/>
      </c>
      <c r="AI207" s="132" t="str">
        <f>IF(COUNTIF('SA-B'!$A:$A, $C207), AI$1, "")</f>
        <v/>
      </c>
      <c r="AJ207" s="132" t="str">
        <f>IF(COUNTIF(CSM!$A:$A, $C207), AJ$1, "")</f>
        <v/>
      </c>
      <c r="AK207" s="132" t="str">
        <f>IF(COUNTIF(EM!$A:$A, $C207), AK$1, "")</f>
        <v/>
      </c>
      <c r="AL207" s="132" t="str">
        <f>IF(COUNTIF(I4TS!$A:$A, $C207), AL$1, "")</f>
        <v/>
      </c>
    </row>
    <row r="208" spans="1:38" ht="13">
      <c r="A208" s="131">
        <v>207</v>
      </c>
      <c r="B208" s="131" t="s">
        <v>904</v>
      </c>
      <c r="C208" s="131" t="s">
        <v>289</v>
      </c>
      <c r="D208" s="106" t="s">
        <v>936</v>
      </c>
      <c r="E208" s="106" t="s">
        <v>937</v>
      </c>
      <c r="F208" s="131">
        <f t="shared" ca="1" si="0"/>
        <v>5</v>
      </c>
      <c r="G208" s="106" t="str">
        <f ca="1">IFERROR(__xludf.DUMMYFUNCTION("INDEX(FILTER($P208:$AL208, $P208:$AL208 &lt;&gt; """"), 1)"),"Strategic HRM")</f>
        <v>Strategic HRM</v>
      </c>
      <c r="H208" s="106" t="str">
        <f ca="1">IFERROR(__xludf.DUMMYFUNCTION("INDEX(FILTER($P208:$AL208, $P208:$AL208 &lt;&gt; """"), 2)"),"Strategic Career Management (B)")</f>
        <v>Strategic Career Management (B)</v>
      </c>
      <c r="I208" s="106" t="str">
        <f ca="1">IFERROR(__xludf.DUMMYFUNCTION("INDEX(FILTER($P208:$AL208, $P208:$AL208 &lt;&gt; """"), 3)"),"Customer Success Management")</f>
        <v>Customer Success Management</v>
      </c>
      <c r="J208" s="106" t="str">
        <f ca="1">IFERROR(__xludf.DUMMYFUNCTION("IFERROR(INDEX(FILTER($P208:$AL208, $P208:$AL208 &lt;&gt; """"), 4),)"),"")</f>
        <v/>
      </c>
      <c r="K208" s="106" t="str">
        <f ca="1">IFERROR(__xludf.DUMMYFUNCTION("IFERROR(INDEX(FILTER($P208:$AL208, $P208:$AL208 &lt;&gt; """"), 5),)"),"")</f>
        <v/>
      </c>
      <c r="L208" s="107"/>
      <c r="M208" s="107"/>
      <c r="N208" s="107"/>
      <c r="O208" s="107"/>
      <c r="P208" s="132" t="str">
        <f>IF(COUNTIF('Fintech-A'!$A:$A, $C208), P$1, "")</f>
        <v/>
      </c>
      <c r="Q208" s="132" t="str">
        <f>IF(COUNTIF('Fintech-B'!$A:$A, $C208), Q$1, "")</f>
        <v/>
      </c>
      <c r="R208" s="132" t="str">
        <f>IF(COUNTIF('BEDM-A'!$A:$A, $C208), R$1, "")</f>
        <v/>
      </c>
      <c r="S208" s="132" t="str">
        <f>IF(COUNTIF('BEDM-B'!$A:$A, $C208), S$1, "")</f>
        <v/>
      </c>
      <c r="T208" s="132" t="str">
        <f>IF(COUNTIF('Art-A'!$A:$A, $C208), T$1, "")</f>
        <v/>
      </c>
      <c r="U208" s="132" t="str">
        <f>IF(COUNTIF('Art-B'!$A:$A, $C208), U$1, "")</f>
        <v/>
      </c>
      <c r="V208" s="132" t="str">
        <f>IF(COUNTIF('WH-A'!$A:$A, $C208), V$1, "")</f>
        <v/>
      </c>
      <c r="W208" s="132" t="str">
        <f>IF(COUNTIF('WH-B'!$A:$A, $C208), W$1, "")</f>
        <v/>
      </c>
      <c r="X208" s="132" t="str">
        <f>IF(COUNTIF(LETV!$A:$A, $C208), X$1, "")</f>
        <v/>
      </c>
      <c r="Y208" s="132" t="str">
        <f>IF(COUNTIF('Film&amp;Firm-A'!$A:$A, $C208), Y$1, "")</f>
        <v/>
      </c>
      <c r="Z208" s="132" t="str">
        <f>IF(COUNTIF('Film&amp;Firm-B'!$A:$A, $C208), Z$1, "")</f>
        <v/>
      </c>
      <c r="AA208" s="132" t="str">
        <f>IF(COUNTIF(SHRM!$A:$A, $C208), AA$1, "")</f>
        <v>Strategic HRM</v>
      </c>
      <c r="AB208" s="132" t="str">
        <f>IF(COUNTIF('SCM-A'!$A:$A, $C208), AB$1, "")</f>
        <v/>
      </c>
      <c r="AC208" s="132" t="str">
        <f>IF(COUNTIF('SCM-B'!$A:$A, $C208), AC$1, "")</f>
        <v>Strategic Career Management (B)</v>
      </c>
      <c r="AD208" s="132" t="str">
        <f>IF(COUNTIF(AIS!$A:$A, $C208), AD$1, "")</f>
        <v/>
      </c>
      <c r="AE208" s="132" t="str">
        <f>IF(COUNTIF(EB!$A:$A, $C208), AE$1, "")</f>
        <v/>
      </c>
      <c r="AF208" s="132" t="str">
        <f>IF(COUNTIF('AIAM-A'!$A:$A, $C208), AF$1, "")</f>
        <v/>
      </c>
      <c r="AG208" s="132" t="str">
        <f>IF(COUNTIF('AIAM-B'!$A:$A, $C208), AG$1, "")</f>
        <v/>
      </c>
      <c r="AH208" s="132" t="str">
        <f>IF(COUNTIF('SA-A'!$A:$A, $C208), AH$1, "")</f>
        <v/>
      </c>
      <c r="AI208" s="132" t="str">
        <f>IF(COUNTIF('SA-B'!$A:$A, $C208), AI$1, "")</f>
        <v/>
      </c>
      <c r="AJ208" s="132" t="str">
        <f>IF(COUNTIF(CSM!$A:$A, $C208), AJ$1, "")</f>
        <v>Customer Success Management</v>
      </c>
      <c r="AK208" s="132" t="str">
        <f>IF(COUNTIF(EM!$A:$A, $C208), AK$1, "")</f>
        <v/>
      </c>
      <c r="AL208" s="132" t="str">
        <f>IF(COUNTIF(I4TS!$A:$A, $C208), AL$1, "")</f>
        <v/>
      </c>
    </row>
    <row r="209" spans="1:38" ht="13">
      <c r="A209" s="131">
        <v>208</v>
      </c>
      <c r="B209" s="131" t="s">
        <v>904</v>
      </c>
      <c r="C209" s="131" t="s">
        <v>290</v>
      </c>
      <c r="D209" s="106" t="s">
        <v>938</v>
      </c>
      <c r="E209" s="106" t="s">
        <v>939</v>
      </c>
      <c r="F209" s="131">
        <f t="shared" ca="1" si="0"/>
        <v>5</v>
      </c>
      <c r="G209" s="106" t="str">
        <f ca="1">IFERROR(__xludf.DUMMYFUNCTION("INDEX(FILTER($P209:$AL209, $P209:$AL209 &lt;&gt; """"), 1)"),"SPORTS ANALYTICS (A)")</f>
        <v>SPORTS ANALYTICS (A)</v>
      </c>
      <c r="H209" s="106" t="str">
        <f ca="1">IFERROR(__xludf.DUMMYFUNCTION("INDEX(FILTER($P209:$AL209, $P209:$AL209 &lt;&gt; """"), 2)"),"Entrepreneurial Marketing")</f>
        <v>Entrepreneurial Marketing</v>
      </c>
      <c r="I209" s="106" t="str">
        <f ca="1">IFERROR(__xludf.DUMMYFUNCTION("INDEX(FILTER($P209:$AL209, $P209:$AL209 &lt;&gt; """"), 3)"),"Industry 4.0 in Transport Sector")</f>
        <v>Industry 4.0 in Transport Sector</v>
      </c>
      <c r="J209" s="106" t="str">
        <f ca="1">IFERROR(__xludf.DUMMYFUNCTION("IFERROR(INDEX(FILTER($P209:$AL209, $P209:$AL209 &lt;&gt; """"), 4),)"),"")</f>
        <v/>
      </c>
      <c r="K209" s="106" t="str">
        <f ca="1">IFERROR(__xludf.DUMMYFUNCTION("IFERROR(INDEX(FILTER($P209:$AL209, $P209:$AL209 &lt;&gt; """"), 5),)"),"")</f>
        <v/>
      </c>
      <c r="L209" s="107"/>
      <c r="M209" s="107"/>
      <c r="N209" s="107"/>
      <c r="O209" s="107"/>
      <c r="P209" s="132" t="str">
        <f>IF(COUNTIF('Fintech-A'!$A:$A, $C209), P$1, "")</f>
        <v/>
      </c>
      <c r="Q209" s="132" t="str">
        <f>IF(COUNTIF('Fintech-B'!$A:$A, $C209), Q$1, "")</f>
        <v/>
      </c>
      <c r="R209" s="132" t="str">
        <f>IF(COUNTIF('BEDM-A'!$A:$A, $C209), R$1, "")</f>
        <v/>
      </c>
      <c r="S209" s="132" t="str">
        <f>IF(COUNTIF('BEDM-B'!$A:$A, $C209), S$1, "")</f>
        <v/>
      </c>
      <c r="T209" s="132" t="str">
        <f>IF(COUNTIF('Art-A'!$A:$A, $C209), T$1, "")</f>
        <v/>
      </c>
      <c r="U209" s="132" t="str">
        <f>IF(COUNTIF('Art-B'!$A:$A, $C209), U$1, "")</f>
        <v/>
      </c>
      <c r="V209" s="132" t="str">
        <f>IF(COUNTIF('WH-A'!$A:$A, $C209), V$1, "")</f>
        <v/>
      </c>
      <c r="W209" s="132" t="str">
        <f>IF(COUNTIF('WH-B'!$A:$A, $C209), W$1, "")</f>
        <v/>
      </c>
      <c r="X209" s="132" t="str">
        <f>IF(COUNTIF(LETV!$A:$A, $C209), X$1, "")</f>
        <v/>
      </c>
      <c r="Y209" s="132" t="str">
        <f>IF(COUNTIF('Film&amp;Firm-A'!$A:$A, $C209), Y$1, "")</f>
        <v/>
      </c>
      <c r="Z209" s="132" t="str">
        <f>IF(COUNTIF('Film&amp;Firm-B'!$A:$A, $C209), Z$1, "")</f>
        <v/>
      </c>
      <c r="AA209" s="132" t="str">
        <f>IF(COUNTIF(SHRM!$A:$A, $C209), AA$1, "")</f>
        <v/>
      </c>
      <c r="AB209" s="132" t="str">
        <f>IF(COUNTIF('SCM-A'!$A:$A, $C209), AB$1, "")</f>
        <v/>
      </c>
      <c r="AC209" s="132" t="str">
        <f>IF(COUNTIF('SCM-B'!$A:$A, $C209), AC$1, "")</f>
        <v/>
      </c>
      <c r="AD209" s="132" t="str">
        <f>IF(COUNTIF(AIS!$A:$A, $C209), AD$1, "")</f>
        <v/>
      </c>
      <c r="AE209" s="132" t="str">
        <f>IF(COUNTIF(EB!$A:$A, $C209), AE$1, "")</f>
        <v/>
      </c>
      <c r="AF209" s="132" t="str">
        <f>IF(COUNTIF('AIAM-A'!$A:$A, $C209), AF$1, "")</f>
        <v/>
      </c>
      <c r="AG209" s="132" t="str">
        <f>IF(COUNTIF('AIAM-B'!$A:$A, $C209), AG$1, "")</f>
        <v/>
      </c>
      <c r="AH209" s="132" t="str">
        <f>IF(COUNTIF('SA-A'!$A:$A, $C209), AH$1, "")</f>
        <v>SPORTS ANALYTICS (A)</v>
      </c>
      <c r="AI209" s="132" t="str">
        <f>IF(COUNTIF('SA-B'!$A:$A, $C209), AI$1, "")</f>
        <v/>
      </c>
      <c r="AJ209" s="132" t="str">
        <f>IF(COUNTIF(CSM!$A:$A, $C209), AJ$1, "")</f>
        <v/>
      </c>
      <c r="AK209" s="132" t="str">
        <f>IF(COUNTIF(EM!$A:$A, $C209), AK$1, "")</f>
        <v>Entrepreneurial Marketing</v>
      </c>
      <c r="AL209" s="132" t="str">
        <f>IF(COUNTIF(I4TS!$A:$A, $C209), AL$1, "")</f>
        <v>Industry 4.0 in Transport Sector</v>
      </c>
    </row>
    <row r="210" spans="1:38" ht="13">
      <c r="A210" s="131">
        <v>209</v>
      </c>
      <c r="B210" s="131" t="s">
        <v>904</v>
      </c>
      <c r="C210" s="131" t="s">
        <v>940</v>
      </c>
      <c r="D210" s="106" t="s">
        <v>941</v>
      </c>
      <c r="E210" s="106" t="s">
        <v>942</v>
      </c>
      <c r="F210" s="131">
        <f t="shared" ca="1" si="0"/>
        <v>5</v>
      </c>
      <c r="G210" s="106" t="str">
        <f ca="1">IFERROR(__xludf.DUMMYFUNCTION("INDEX(FILTER($P210:$AL210, $P210:$AL210 &lt;&gt; """"), 1)"),"Film &amp; the Firm: Visual Culture in Business Contexts (B)")</f>
        <v>Film &amp; the Firm: Visual Culture in Business Contexts (B)</v>
      </c>
      <c r="H210" s="106" t="str">
        <f ca="1">IFERROR(__xludf.DUMMYFUNCTION("INDEX(FILTER($P210:$AL210, $P210:$AL210 &lt;&gt; """"), 2)"),"Strategic Career Management (A)")</f>
        <v>Strategic Career Management (A)</v>
      </c>
      <c r="I210" s="106" t="str">
        <f ca="1">IFERROR(__xludf.DUMMYFUNCTION("INDEX(FILTER($P210:$AL210, $P210:$AL210 &lt;&gt; """"), 3)"),"SPORTS ANALYTICS (B)")</f>
        <v>SPORTS ANALYTICS (B)</v>
      </c>
      <c r="J210" s="106" t="str">
        <f ca="1">IFERROR(__xludf.DUMMYFUNCTION("IFERROR(INDEX(FILTER($P210:$AL210, $P210:$AL210 &lt;&gt; """"), 4),)"),"Entrepreneurial Marketing")</f>
        <v>Entrepreneurial Marketing</v>
      </c>
      <c r="K210" s="106" t="str">
        <f ca="1">IFERROR(__xludf.DUMMYFUNCTION("IFERROR(INDEX(FILTER($P210:$AL210, $P210:$AL210 &lt;&gt; """"), 5),)"),"Industry 4.0 in Transport Sector")</f>
        <v>Industry 4.0 in Transport Sector</v>
      </c>
      <c r="L210" s="107"/>
      <c r="M210" s="107"/>
      <c r="N210" s="107"/>
      <c r="O210" s="107"/>
      <c r="P210" s="132" t="str">
        <f>IF(COUNTIF('Fintech-A'!$A:$A, $C210), P$1, "")</f>
        <v/>
      </c>
      <c r="Q210" s="132" t="str">
        <f>IF(COUNTIF('Fintech-B'!$A:$A, $C210), Q$1, "")</f>
        <v/>
      </c>
      <c r="R210" s="132" t="str">
        <f>IF(COUNTIF('BEDM-A'!$A:$A, $C210), R$1, "")</f>
        <v/>
      </c>
      <c r="S210" s="132" t="str">
        <f>IF(COUNTIF('BEDM-B'!$A:$A, $C210), S$1, "")</f>
        <v/>
      </c>
      <c r="T210" s="132" t="str">
        <f>IF(COUNTIF('Art-A'!$A:$A, $C210), T$1, "")</f>
        <v/>
      </c>
      <c r="U210" s="132" t="str">
        <f>IF(COUNTIF('Art-B'!$A:$A, $C210), U$1, "")</f>
        <v/>
      </c>
      <c r="V210" s="132" t="str">
        <f>IF(COUNTIF('WH-A'!$A:$A, $C210), V$1, "")</f>
        <v/>
      </c>
      <c r="W210" s="132" t="str">
        <f>IF(COUNTIF('WH-B'!$A:$A, $C210), W$1, "")</f>
        <v/>
      </c>
      <c r="X210" s="132" t="str">
        <f>IF(COUNTIF(LETV!$A:$A, $C210), X$1, "")</f>
        <v/>
      </c>
      <c r="Y210" s="132" t="str">
        <f>IF(COUNTIF('Film&amp;Firm-A'!$A:$A, $C210), Y$1, "")</f>
        <v/>
      </c>
      <c r="Z210" s="132" t="str">
        <f>IF(COUNTIF('Film&amp;Firm-B'!$A:$A, $C210), Z$1, "")</f>
        <v>Film &amp; the Firm: Visual Culture in Business Contexts (B)</v>
      </c>
      <c r="AA210" s="132" t="str">
        <f>IF(COUNTIF(SHRM!$A:$A, $C210), AA$1, "")</f>
        <v/>
      </c>
      <c r="AB210" s="132" t="str">
        <f>IF(COUNTIF('SCM-A'!$A:$A, $C210), AB$1, "")</f>
        <v>Strategic Career Management (A)</v>
      </c>
      <c r="AC210" s="132" t="str">
        <f>IF(COUNTIF('SCM-B'!$A:$A, $C210), AC$1, "")</f>
        <v/>
      </c>
      <c r="AD210" s="132" t="str">
        <f>IF(COUNTIF(AIS!$A:$A, $C210), AD$1, "")</f>
        <v/>
      </c>
      <c r="AE210" s="132" t="str">
        <f>IF(COUNTIF(EB!$A:$A, $C210), AE$1, "")</f>
        <v/>
      </c>
      <c r="AF210" s="132" t="str">
        <f>IF(COUNTIF('AIAM-A'!$A:$A, $C210), AF$1, "")</f>
        <v/>
      </c>
      <c r="AG210" s="132" t="str">
        <f>IF(COUNTIF('AIAM-B'!$A:$A, $C210), AG$1, "")</f>
        <v/>
      </c>
      <c r="AH210" s="132" t="str">
        <f>IF(COUNTIF('SA-A'!$A:$A, $C210), AH$1, "")</f>
        <v/>
      </c>
      <c r="AI210" s="132" t="str">
        <f>IF(COUNTIF('SA-B'!$A:$A, $C210), AI$1, "")</f>
        <v>SPORTS ANALYTICS (B)</v>
      </c>
      <c r="AJ210" s="132" t="str">
        <f>IF(COUNTIF(CSM!$A:$A, $C210), AJ$1, "")</f>
        <v/>
      </c>
      <c r="AK210" s="132" t="str">
        <f>IF(COUNTIF(EM!$A:$A, $C210), AK$1, "")</f>
        <v>Entrepreneurial Marketing</v>
      </c>
      <c r="AL210" s="132" t="str">
        <f>IF(COUNTIF(I4TS!$A:$A, $C210), AL$1, "")</f>
        <v>Industry 4.0 in Transport Sector</v>
      </c>
    </row>
    <row r="211" spans="1:38" ht="13">
      <c r="A211" s="131">
        <v>210</v>
      </c>
      <c r="B211" s="131" t="s">
        <v>904</v>
      </c>
      <c r="C211" s="131" t="s">
        <v>943</v>
      </c>
      <c r="D211" s="106" t="s">
        <v>944</v>
      </c>
      <c r="E211" s="106" t="s">
        <v>945</v>
      </c>
      <c r="F211" s="131">
        <f t="shared" ca="1" si="0"/>
        <v>5</v>
      </c>
      <c r="G211" s="106" t="str">
        <f ca="1">IFERROR(__xludf.DUMMYFUNCTION("INDEX(FILTER($P211:$AL211, $P211:$AL211 &lt;&gt; """"), 1)"),"The Art, Craft, and Science of Management: Learning through Classics and Best Collections (A)")</f>
        <v>The Art, Craft, and Science of Management: Learning through Classics and Best Collections (A)</v>
      </c>
      <c r="H211" s="106" t="str">
        <f ca="1">IFERROR(__xludf.DUMMYFUNCTION("INDEX(FILTER($P211:$AL211, $P211:$AL211 &lt;&gt; """"), 2)"),"Workplace Happiness: Science &amp; Practice (B)")</f>
        <v>Workplace Happiness: Science &amp; Practice (B)</v>
      </c>
      <c r="I211" s="106" t="str">
        <f ca="1">IFERROR(__xludf.DUMMYFUNCTION("INDEX(FILTER($P211:$AL211, $P211:$AL211 &lt;&gt; """"), 3)"),"Strategic Career Management (A)")</f>
        <v>Strategic Career Management (A)</v>
      </c>
      <c r="J211" s="106" t="str">
        <f ca="1">IFERROR(__xludf.DUMMYFUNCTION("IFERROR(INDEX(FILTER($P211:$AL211, $P211:$AL211 &lt;&gt; """"), 4),)"),"AI Applications in Marketing (B)")</f>
        <v>AI Applications in Marketing (B)</v>
      </c>
      <c r="K211" s="106" t="str">
        <f ca="1">IFERROR(__xludf.DUMMYFUNCTION("IFERROR(INDEX(FILTER($P211:$AL211, $P211:$AL211 &lt;&gt; """"), 5),)"),"Entrepreneurial Marketing")</f>
        <v>Entrepreneurial Marketing</v>
      </c>
      <c r="L211" s="107"/>
      <c r="M211" s="107"/>
      <c r="N211" s="107"/>
      <c r="O211" s="107"/>
      <c r="P211" s="132" t="str">
        <f>IF(COUNTIF('Fintech-A'!$A:$A, $C211), P$1, "")</f>
        <v/>
      </c>
      <c r="Q211" s="132" t="str">
        <f>IF(COUNTIF('Fintech-B'!$A:$A, $C211), Q$1, "")</f>
        <v/>
      </c>
      <c r="R211" s="132" t="str">
        <f>IF(COUNTIF('BEDM-A'!$A:$A, $C211), R$1, "")</f>
        <v/>
      </c>
      <c r="S211" s="132" t="str">
        <f>IF(COUNTIF('BEDM-B'!$A:$A, $C211), S$1, "")</f>
        <v/>
      </c>
      <c r="T211" s="132" t="str">
        <f>IF(COUNTIF('Art-A'!$A:$A, $C211), T$1, "")</f>
        <v>The Art, Craft, and Science of Management: Learning through Classics and Best Collections (A)</v>
      </c>
      <c r="U211" s="132" t="str">
        <f>IF(COUNTIF('Art-B'!$A:$A, $C211), U$1, "")</f>
        <v/>
      </c>
      <c r="V211" s="132" t="str">
        <f>IF(COUNTIF('WH-A'!$A:$A, $C211), V$1, "")</f>
        <v/>
      </c>
      <c r="W211" s="132" t="str">
        <f>IF(COUNTIF('WH-B'!$A:$A, $C211), W$1, "")</f>
        <v>Workplace Happiness: Science &amp; Practice (B)</v>
      </c>
      <c r="X211" s="132" t="str">
        <f>IF(COUNTIF(LETV!$A:$A, $C211), X$1, "")</f>
        <v/>
      </c>
      <c r="Y211" s="132" t="str">
        <f>IF(COUNTIF('Film&amp;Firm-A'!$A:$A, $C211), Y$1, "")</f>
        <v/>
      </c>
      <c r="Z211" s="132" t="str">
        <f>IF(COUNTIF('Film&amp;Firm-B'!$A:$A, $C211), Z$1, "")</f>
        <v/>
      </c>
      <c r="AA211" s="132" t="str">
        <f>IF(COUNTIF(SHRM!$A:$A, $C211), AA$1, "")</f>
        <v/>
      </c>
      <c r="AB211" s="132" t="str">
        <f>IF(COUNTIF('SCM-A'!$A:$A, $C211), AB$1, "")</f>
        <v>Strategic Career Management (A)</v>
      </c>
      <c r="AC211" s="132" t="str">
        <f>IF(COUNTIF('SCM-B'!$A:$A, $C211), AC$1, "")</f>
        <v/>
      </c>
      <c r="AD211" s="132" t="str">
        <f>IF(COUNTIF(AIS!$A:$A, $C211), AD$1, "")</f>
        <v/>
      </c>
      <c r="AE211" s="132" t="str">
        <f>IF(COUNTIF(EB!$A:$A, $C211), AE$1, "")</f>
        <v/>
      </c>
      <c r="AF211" s="132" t="str">
        <f>IF(COUNTIF('AIAM-A'!$A:$A, $C211), AF$1, "")</f>
        <v/>
      </c>
      <c r="AG211" s="132" t="str">
        <f>IF(COUNTIF('AIAM-B'!$A:$A, $C211), AG$1, "")</f>
        <v>AI Applications in Marketing (B)</v>
      </c>
      <c r="AH211" s="132" t="str">
        <f>IF(COUNTIF('SA-A'!$A:$A, $C211), AH$1, "")</f>
        <v/>
      </c>
      <c r="AI211" s="132" t="str">
        <f>IF(COUNTIF('SA-B'!$A:$A, $C211), AI$1, "")</f>
        <v/>
      </c>
      <c r="AJ211" s="132" t="str">
        <f>IF(COUNTIF(CSM!$A:$A, $C211), AJ$1, "")</f>
        <v/>
      </c>
      <c r="AK211" s="132" t="str">
        <f>IF(COUNTIF(EM!$A:$A, $C211), AK$1, "")</f>
        <v>Entrepreneurial Marketing</v>
      </c>
      <c r="AL211" s="132" t="str">
        <f>IF(COUNTIF(I4TS!$A:$A, $C211), AL$1, "")</f>
        <v/>
      </c>
    </row>
    <row r="212" spans="1:38" ht="13">
      <c r="A212" s="131">
        <v>211</v>
      </c>
      <c r="B212" s="131" t="s">
        <v>904</v>
      </c>
      <c r="C212" s="131" t="s">
        <v>946</v>
      </c>
      <c r="D212" s="106" t="s">
        <v>947</v>
      </c>
      <c r="E212" s="106" t="s">
        <v>948</v>
      </c>
      <c r="F212" s="131">
        <f t="shared" ca="1" si="0"/>
        <v>5</v>
      </c>
      <c r="G212" s="106" t="str">
        <f ca="1">IFERROR(__xludf.DUMMYFUNCTION("INDEX(FILTER($P212:$AL212, $P212:$AL212 &lt;&gt; """"), 1)"),"Behavioural Economics and Decision-Making (B)")</f>
        <v>Behavioural Economics and Decision-Making (B)</v>
      </c>
      <c r="H212" s="106" t="str">
        <f ca="1">IFERROR(__xludf.DUMMYFUNCTION("INDEX(FILTER($P212:$AL212, $P212:$AL212 &lt;&gt; """"), 2)"),"Workplace Happiness: Science &amp; Practice (B)")</f>
        <v>Workplace Happiness: Science &amp; Practice (B)</v>
      </c>
      <c r="I212" s="106" t="str">
        <f ca="1">IFERROR(__xludf.DUMMYFUNCTION("INDEX(FILTER($P212:$AL212, $P212:$AL212 &lt;&gt; """"), 3)"),"SPORTS ANALYTICS (A)")</f>
        <v>SPORTS ANALYTICS (A)</v>
      </c>
      <c r="J212" s="106" t="str">
        <f ca="1">IFERROR(__xludf.DUMMYFUNCTION("IFERROR(INDEX(FILTER($P212:$AL212, $P212:$AL212 &lt;&gt; """"), 4),)"),"")</f>
        <v/>
      </c>
      <c r="K212" s="106" t="str">
        <f ca="1">IFERROR(__xludf.DUMMYFUNCTION("IFERROR(INDEX(FILTER($P212:$AL212, $P212:$AL212 &lt;&gt; """"), 5),)"),"")</f>
        <v/>
      </c>
      <c r="L212" s="107"/>
      <c r="M212" s="107"/>
      <c r="N212" s="107"/>
      <c r="O212" s="107"/>
      <c r="P212" s="132" t="str">
        <f>IF(COUNTIF('Fintech-A'!$A:$A, $C212), P$1, "")</f>
        <v/>
      </c>
      <c r="Q212" s="132" t="str">
        <f>IF(COUNTIF('Fintech-B'!$A:$A, $C212), Q$1, "")</f>
        <v/>
      </c>
      <c r="R212" s="132" t="str">
        <f>IF(COUNTIF('BEDM-A'!$A:$A, $C212), R$1, "")</f>
        <v/>
      </c>
      <c r="S212" s="132" t="str">
        <f>IF(COUNTIF('BEDM-B'!$A:$A, $C212), S$1, "")</f>
        <v>Behavioural Economics and Decision-Making (B)</v>
      </c>
      <c r="T212" s="132" t="str">
        <f>IF(COUNTIF('Art-A'!$A:$A, $C212), T$1, "")</f>
        <v/>
      </c>
      <c r="U212" s="132" t="str">
        <f>IF(COUNTIF('Art-B'!$A:$A, $C212), U$1, "")</f>
        <v/>
      </c>
      <c r="V212" s="132" t="str">
        <f>IF(COUNTIF('WH-A'!$A:$A, $C212), V$1, "")</f>
        <v/>
      </c>
      <c r="W212" s="132" t="str">
        <f>IF(COUNTIF('WH-B'!$A:$A, $C212), W$1, "")</f>
        <v>Workplace Happiness: Science &amp; Practice (B)</v>
      </c>
      <c r="X212" s="132" t="str">
        <f>IF(COUNTIF(LETV!$A:$A, $C212), X$1, "")</f>
        <v/>
      </c>
      <c r="Y212" s="132" t="str">
        <f>IF(COUNTIF('Film&amp;Firm-A'!$A:$A, $C212), Y$1, "")</f>
        <v/>
      </c>
      <c r="Z212" s="132" t="str">
        <f>IF(COUNTIF('Film&amp;Firm-B'!$A:$A, $C212), Z$1, "")</f>
        <v/>
      </c>
      <c r="AA212" s="132" t="str">
        <f>IF(COUNTIF(SHRM!$A:$A, $C212), AA$1, "")</f>
        <v/>
      </c>
      <c r="AB212" s="132" t="str">
        <f>IF(COUNTIF('SCM-A'!$A:$A, $C212), AB$1, "")</f>
        <v/>
      </c>
      <c r="AC212" s="132" t="str">
        <f>IF(COUNTIF('SCM-B'!$A:$A, $C212), AC$1, "")</f>
        <v/>
      </c>
      <c r="AD212" s="132" t="str">
        <f>IF(COUNTIF(AIS!$A:$A, $C212), AD$1, "")</f>
        <v/>
      </c>
      <c r="AE212" s="132" t="str">
        <f>IF(COUNTIF(EB!$A:$A, $C212), AE$1, "")</f>
        <v/>
      </c>
      <c r="AF212" s="132" t="str">
        <f>IF(COUNTIF('AIAM-A'!$A:$A, $C212), AF$1, "")</f>
        <v/>
      </c>
      <c r="AG212" s="132" t="str">
        <f>IF(COUNTIF('AIAM-B'!$A:$A, $C212), AG$1, "")</f>
        <v/>
      </c>
      <c r="AH212" s="132" t="str">
        <f>IF(COUNTIF('SA-A'!$A:$A, $C212), AH$1, "")</f>
        <v>SPORTS ANALYTICS (A)</v>
      </c>
      <c r="AI212" s="132" t="str">
        <f>IF(COUNTIF('SA-B'!$A:$A, $C212), AI$1, "")</f>
        <v/>
      </c>
      <c r="AJ212" s="132" t="str">
        <f>IF(COUNTIF(CSM!$A:$A, $C212), AJ$1, "")</f>
        <v/>
      </c>
      <c r="AK212" s="132" t="str">
        <f>IF(COUNTIF(EM!$A:$A, $C212), AK$1, "")</f>
        <v/>
      </c>
      <c r="AL212" s="132" t="str">
        <f>IF(COUNTIF(I4TS!$A:$A, $C212), AL$1, "")</f>
        <v/>
      </c>
    </row>
    <row r="213" spans="1:38" ht="13">
      <c r="A213" s="131">
        <v>212</v>
      </c>
      <c r="B213" s="131" t="s">
        <v>904</v>
      </c>
      <c r="C213" s="131" t="s">
        <v>949</v>
      </c>
      <c r="D213" s="106" t="s">
        <v>950</v>
      </c>
      <c r="E213" s="106" t="s">
        <v>951</v>
      </c>
      <c r="F213" s="131">
        <f t="shared" ca="1" si="0"/>
        <v>5</v>
      </c>
      <c r="G213" s="106" t="str">
        <f ca="1">IFERROR(__xludf.DUMMYFUNCTION("INDEX(FILTER($P213:$AL213, $P213:$AL213 &lt;&gt; """"), 1)"),"Fintech (Digital Transformation in Finance) (B)")</f>
        <v>Fintech (Digital Transformation in Finance) (B)</v>
      </c>
      <c r="H213" s="106" t="str">
        <f ca="1">IFERROR(__xludf.DUMMYFUNCTION("INDEX(FILTER($P213:$AL213, $P213:$AL213 &lt;&gt; """"), 2)"),"Workplace Happiness: Science &amp; Practice (A)")</f>
        <v>Workplace Happiness: Science &amp; Practice (A)</v>
      </c>
      <c r="I213" s="106" t="str">
        <f ca="1">IFERROR(__xludf.DUMMYFUNCTION("INDEX(FILTER($P213:$AL213, $P213:$AL213 &lt;&gt; """"), 3)"),"AI Applications in Marketing (A)")</f>
        <v>AI Applications in Marketing (A)</v>
      </c>
      <c r="J213" s="106" t="str">
        <f ca="1">IFERROR(__xludf.DUMMYFUNCTION("IFERROR(INDEX(FILTER($P213:$AL213, $P213:$AL213 &lt;&gt; """"), 4),)"),"")</f>
        <v/>
      </c>
      <c r="K213" s="106" t="str">
        <f ca="1">IFERROR(__xludf.DUMMYFUNCTION("IFERROR(INDEX(FILTER($P213:$AL213, $P213:$AL213 &lt;&gt; """"), 5),)"),"")</f>
        <v/>
      </c>
      <c r="L213" s="107"/>
      <c r="M213" s="107"/>
      <c r="N213" s="107"/>
      <c r="O213" s="107"/>
      <c r="P213" s="132" t="str">
        <f>IF(COUNTIF('Fintech-A'!$A:$A, $C213), P$1, "")</f>
        <v/>
      </c>
      <c r="Q213" s="132" t="str">
        <f>IF(COUNTIF('Fintech-B'!$A:$A, $C213), Q$1, "")</f>
        <v>Fintech (Digital Transformation in Finance) (B)</v>
      </c>
      <c r="R213" s="132" t="str">
        <f>IF(COUNTIF('BEDM-A'!$A:$A, $C213), R$1, "")</f>
        <v/>
      </c>
      <c r="S213" s="132" t="str">
        <f>IF(COUNTIF('BEDM-B'!$A:$A, $C213), S$1, "")</f>
        <v/>
      </c>
      <c r="T213" s="132" t="str">
        <f>IF(COUNTIF('Art-A'!$A:$A, $C213), T$1, "")</f>
        <v/>
      </c>
      <c r="U213" s="132" t="str">
        <f>IF(COUNTIF('Art-B'!$A:$A, $C213), U$1, "")</f>
        <v/>
      </c>
      <c r="V213" s="132" t="str">
        <f>IF(COUNTIF('WH-A'!$A:$A, $C213), V$1, "")</f>
        <v>Workplace Happiness: Science &amp; Practice (A)</v>
      </c>
      <c r="W213" s="132" t="str">
        <f>IF(COUNTIF('WH-B'!$A:$A, $C213), W$1, "")</f>
        <v/>
      </c>
      <c r="X213" s="132" t="str">
        <f>IF(COUNTIF(LETV!$A:$A, $C213), X$1, "")</f>
        <v/>
      </c>
      <c r="Y213" s="132" t="str">
        <f>IF(COUNTIF('Film&amp;Firm-A'!$A:$A, $C213), Y$1, "")</f>
        <v/>
      </c>
      <c r="Z213" s="132" t="str">
        <f>IF(COUNTIF('Film&amp;Firm-B'!$A:$A, $C213), Z$1, "")</f>
        <v/>
      </c>
      <c r="AA213" s="132" t="str">
        <f>IF(COUNTIF(SHRM!$A:$A, $C213), AA$1, "")</f>
        <v/>
      </c>
      <c r="AB213" s="132" t="str">
        <f>IF(COUNTIF('SCM-A'!$A:$A, $C213), AB$1, "")</f>
        <v/>
      </c>
      <c r="AC213" s="132" t="str">
        <f>IF(COUNTIF('SCM-B'!$A:$A, $C213), AC$1, "")</f>
        <v/>
      </c>
      <c r="AD213" s="132" t="str">
        <f>IF(COUNTIF(AIS!$A:$A, $C213), AD$1, "")</f>
        <v/>
      </c>
      <c r="AE213" s="132" t="str">
        <f>IF(COUNTIF(EB!$A:$A, $C213), AE$1, "")</f>
        <v/>
      </c>
      <c r="AF213" s="132" t="str">
        <f>IF(COUNTIF('AIAM-A'!$A:$A, $C213), AF$1, "")</f>
        <v>AI Applications in Marketing (A)</v>
      </c>
      <c r="AG213" s="132" t="str">
        <f>IF(COUNTIF('AIAM-B'!$A:$A, $C213), AG$1, "")</f>
        <v/>
      </c>
      <c r="AH213" s="132" t="str">
        <f>IF(COUNTIF('SA-A'!$A:$A, $C213), AH$1, "")</f>
        <v/>
      </c>
      <c r="AI213" s="132" t="str">
        <f>IF(COUNTIF('SA-B'!$A:$A, $C213), AI$1, "")</f>
        <v/>
      </c>
      <c r="AJ213" s="132" t="str">
        <f>IF(COUNTIF(CSM!$A:$A, $C213), AJ$1, "")</f>
        <v/>
      </c>
      <c r="AK213" s="132" t="str">
        <f>IF(COUNTIF(EM!$A:$A, $C213), AK$1, "")</f>
        <v/>
      </c>
      <c r="AL213" s="132" t="str">
        <f>IF(COUNTIF(I4TS!$A:$A, $C213), AL$1, "")</f>
        <v/>
      </c>
    </row>
    <row r="214" spans="1:38" ht="13">
      <c r="A214" s="131">
        <v>213</v>
      </c>
      <c r="B214" s="131" t="s">
        <v>904</v>
      </c>
      <c r="C214" s="131" t="s">
        <v>291</v>
      </c>
      <c r="D214" s="106" t="s">
        <v>952</v>
      </c>
      <c r="E214" s="106" t="s">
        <v>953</v>
      </c>
      <c r="F214" s="131">
        <f t="shared" ca="1" si="0"/>
        <v>5</v>
      </c>
      <c r="G214" s="106" t="str">
        <f ca="1">IFERROR(__xludf.DUMMYFUNCTION("INDEX(FILTER($P214:$AL214, $P214:$AL214 &lt;&gt; """"), 1)"),"Fintech (Digital Transformation in Finance) (B)")</f>
        <v>Fintech (Digital Transformation in Finance) (B)</v>
      </c>
      <c r="H214" s="106" t="str">
        <f ca="1">IFERROR(__xludf.DUMMYFUNCTION("INDEX(FILTER($P214:$AL214, $P214:$AL214 &lt;&gt; """"), 2)"),"Strategic Career Management (B)")</f>
        <v>Strategic Career Management (B)</v>
      </c>
      <c r="I214" s="106" t="str">
        <f ca="1">IFERROR(__xludf.DUMMYFUNCTION("INDEX(FILTER($P214:$AL214, $P214:$AL214 &lt;&gt; """"), 3)"),"Customer Success Management")</f>
        <v>Customer Success Management</v>
      </c>
      <c r="J214" s="106" t="str">
        <f ca="1">IFERROR(__xludf.DUMMYFUNCTION("IFERROR(INDEX(FILTER($P214:$AL214, $P214:$AL214 &lt;&gt; """"), 4),)"),"Entrepreneurial Marketing")</f>
        <v>Entrepreneurial Marketing</v>
      </c>
      <c r="K214" s="106" t="str">
        <f ca="1">IFERROR(__xludf.DUMMYFUNCTION("IFERROR(INDEX(FILTER($P214:$AL214, $P214:$AL214 &lt;&gt; """"), 5),)"),"Industry 4.0 in Transport Sector")</f>
        <v>Industry 4.0 in Transport Sector</v>
      </c>
      <c r="L214" s="107"/>
      <c r="M214" s="107"/>
      <c r="N214" s="107"/>
      <c r="O214" s="107"/>
      <c r="P214" s="132" t="str">
        <f>IF(COUNTIF('Fintech-A'!$A:$A, $C214), P$1, "")</f>
        <v/>
      </c>
      <c r="Q214" s="132" t="str">
        <f>IF(COUNTIF('Fintech-B'!$A:$A, $C214), Q$1, "")</f>
        <v>Fintech (Digital Transformation in Finance) (B)</v>
      </c>
      <c r="R214" s="132" t="str">
        <f>IF(COUNTIF('BEDM-A'!$A:$A, $C214), R$1, "")</f>
        <v/>
      </c>
      <c r="S214" s="132" t="str">
        <f>IF(COUNTIF('BEDM-B'!$A:$A, $C214), S$1, "")</f>
        <v/>
      </c>
      <c r="T214" s="132" t="str">
        <f>IF(COUNTIF('Art-A'!$A:$A, $C214), T$1, "")</f>
        <v/>
      </c>
      <c r="U214" s="132" t="str">
        <f>IF(COUNTIF('Art-B'!$A:$A, $C214), U$1, "")</f>
        <v/>
      </c>
      <c r="V214" s="132" t="str">
        <f>IF(COUNTIF('WH-A'!$A:$A, $C214), V$1, "")</f>
        <v/>
      </c>
      <c r="W214" s="132" t="str">
        <f>IF(COUNTIF('WH-B'!$A:$A, $C214), W$1, "")</f>
        <v/>
      </c>
      <c r="X214" s="132" t="str">
        <f>IF(COUNTIF(LETV!$A:$A, $C214), X$1, "")</f>
        <v/>
      </c>
      <c r="Y214" s="132" t="str">
        <f>IF(COUNTIF('Film&amp;Firm-A'!$A:$A, $C214), Y$1, "")</f>
        <v/>
      </c>
      <c r="Z214" s="132" t="str">
        <f>IF(COUNTIF('Film&amp;Firm-B'!$A:$A, $C214), Z$1, "")</f>
        <v/>
      </c>
      <c r="AA214" s="132" t="str">
        <f>IF(COUNTIF(SHRM!$A:$A, $C214), AA$1, "")</f>
        <v/>
      </c>
      <c r="AB214" s="132" t="str">
        <f>IF(COUNTIF('SCM-A'!$A:$A, $C214), AB$1, "")</f>
        <v/>
      </c>
      <c r="AC214" s="132" t="str">
        <f>IF(COUNTIF('SCM-B'!$A:$A, $C214), AC$1, "")</f>
        <v>Strategic Career Management (B)</v>
      </c>
      <c r="AD214" s="132" t="str">
        <f>IF(COUNTIF(AIS!$A:$A, $C214), AD$1, "")</f>
        <v/>
      </c>
      <c r="AE214" s="132" t="str">
        <f>IF(COUNTIF(EB!$A:$A, $C214), AE$1, "")</f>
        <v/>
      </c>
      <c r="AF214" s="132" t="str">
        <f>IF(COUNTIF('AIAM-A'!$A:$A, $C214), AF$1, "")</f>
        <v/>
      </c>
      <c r="AG214" s="132" t="str">
        <f>IF(COUNTIF('AIAM-B'!$A:$A, $C214), AG$1, "")</f>
        <v/>
      </c>
      <c r="AH214" s="132" t="str">
        <f>IF(COUNTIF('SA-A'!$A:$A, $C214), AH$1, "")</f>
        <v/>
      </c>
      <c r="AI214" s="132" t="str">
        <f>IF(COUNTIF('SA-B'!$A:$A, $C214), AI$1, "")</f>
        <v/>
      </c>
      <c r="AJ214" s="132" t="str">
        <f>IF(COUNTIF(CSM!$A:$A, $C214), AJ$1, "")</f>
        <v>Customer Success Management</v>
      </c>
      <c r="AK214" s="132" t="str">
        <f>IF(COUNTIF(EM!$A:$A, $C214), AK$1, "")</f>
        <v>Entrepreneurial Marketing</v>
      </c>
      <c r="AL214" s="132" t="str">
        <f>IF(COUNTIF(I4TS!$A:$A, $C214), AL$1, "")</f>
        <v>Industry 4.0 in Transport Sector</v>
      </c>
    </row>
    <row r="215" spans="1:38" ht="13">
      <c r="A215" s="131">
        <v>214</v>
      </c>
      <c r="B215" s="131" t="s">
        <v>904</v>
      </c>
      <c r="C215" s="131" t="s">
        <v>292</v>
      </c>
      <c r="D215" s="106" t="s">
        <v>954</v>
      </c>
      <c r="E215" s="106" t="s">
        <v>955</v>
      </c>
      <c r="F215" s="131">
        <f t="shared" ca="1" si="0"/>
        <v>5</v>
      </c>
      <c r="G215" s="106" t="str">
        <f ca="1">IFERROR(__xludf.DUMMYFUNCTION("INDEX(FILTER($P215:$AL215, $P215:$AL215 &lt;&gt; """"), 1)"),"Fintech (Digital Transformation in Finance) (B)")</f>
        <v>Fintech (Digital Transformation in Finance) (B)</v>
      </c>
      <c r="H215" s="106" t="str">
        <f ca="1">IFERROR(__xludf.DUMMYFUNCTION("INDEX(FILTER($P215:$AL215, $P215:$AL215 &lt;&gt; """"), 2)"),"Behavioural Economics and Decision-Making (A)")</f>
        <v>Behavioural Economics and Decision-Making (A)</v>
      </c>
      <c r="I215" s="106" t="str">
        <f ca="1">IFERROR(__xludf.DUMMYFUNCTION("INDEX(FILTER($P215:$AL215, $P215:$AL215 &lt;&gt; """"), 3)"),"Workplace Happiness: Science &amp; Practice (B)")</f>
        <v>Workplace Happiness: Science &amp; Practice (B)</v>
      </c>
      <c r="J215" s="106" t="str">
        <f ca="1">IFERROR(__xludf.DUMMYFUNCTION("IFERROR(INDEX(FILTER($P215:$AL215, $P215:$AL215 &lt;&gt; """"), 4),)"),"")</f>
        <v/>
      </c>
      <c r="K215" s="106" t="str">
        <f ca="1">IFERROR(__xludf.DUMMYFUNCTION("IFERROR(INDEX(FILTER($P215:$AL215, $P215:$AL215 &lt;&gt; """"), 5),)"),"")</f>
        <v/>
      </c>
      <c r="L215" s="107"/>
      <c r="M215" s="107"/>
      <c r="N215" s="107"/>
      <c r="O215" s="107"/>
      <c r="P215" s="132" t="str">
        <f>IF(COUNTIF('Fintech-A'!$A:$A, $C215), P$1, "")</f>
        <v/>
      </c>
      <c r="Q215" s="132" t="str">
        <f>IF(COUNTIF('Fintech-B'!$A:$A, $C215), Q$1, "")</f>
        <v>Fintech (Digital Transformation in Finance) (B)</v>
      </c>
      <c r="R215" s="132" t="str">
        <f>IF(COUNTIF('BEDM-A'!$A:$A, $C215), R$1, "")</f>
        <v>Behavioural Economics and Decision-Making (A)</v>
      </c>
      <c r="S215" s="132" t="str">
        <f>IF(COUNTIF('BEDM-B'!$A:$A, $C215), S$1, "")</f>
        <v/>
      </c>
      <c r="T215" s="132" t="str">
        <f>IF(COUNTIF('Art-A'!$A:$A, $C215), T$1, "")</f>
        <v/>
      </c>
      <c r="U215" s="132" t="str">
        <f>IF(COUNTIF('Art-B'!$A:$A, $C215), U$1, "")</f>
        <v/>
      </c>
      <c r="V215" s="132" t="str">
        <f>IF(COUNTIF('WH-A'!$A:$A, $C215), V$1, "")</f>
        <v/>
      </c>
      <c r="W215" s="132" t="str">
        <f>IF(COUNTIF('WH-B'!$A:$A, $C215), W$1, "")</f>
        <v>Workplace Happiness: Science &amp; Practice (B)</v>
      </c>
      <c r="X215" s="132" t="str">
        <f>IF(COUNTIF(LETV!$A:$A, $C215), X$1, "")</f>
        <v/>
      </c>
      <c r="Y215" s="132" t="str">
        <f>IF(COUNTIF('Film&amp;Firm-A'!$A:$A, $C215), Y$1, "")</f>
        <v/>
      </c>
      <c r="Z215" s="132" t="str">
        <f>IF(COUNTIF('Film&amp;Firm-B'!$A:$A, $C215), Z$1, "")</f>
        <v/>
      </c>
      <c r="AA215" s="132" t="str">
        <f>IF(COUNTIF(SHRM!$A:$A, $C215), AA$1, "")</f>
        <v/>
      </c>
      <c r="AB215" s="132" t="str">
        <f>IF(COUNTIF('SCM-A'!$A:$A, $C215), AB$1, "")</f>
        <v/>
      </c>
      <c r="AC215" s="132" t="str">
        <f>IF(COUNTIF('SCM-B'!$A:$A, $C215), AC$1, "")</f>
        <v/>
      </c>
      <c r="AD215" s="132" t="str">
        <f>IF(COUNTIF(AIS!$A:$A, $C215), AD$1, "")</f>
        <v/>
      </c>
      <c r="AE215" s="132" t="str">
        <f>IF(COUNTIF(EB!$A:$A, $C215), AE$1, "")</f>
        <v/>
      </c>
      <c r="AF215" s="132" t="str">
        <f>IF(COUNTIF('AIAM-A'!$A:$A, $C215), AF$1, "")</f>
        <v/>
      </c>
      <c r="AG215" s="132" t="str">
        <f>IF(COUNTIF('AIAM-B'!$A:$A, $C215), AG$1, "")</f>
        <v/>
      </c>
      <c r="AH215" s="132" t="str">
        <f>IF(COUNTIF('SA-A'!$A:$A, $C215), AH$1, "")</f>
        <v/>
      </c>
      <c r="AI215" s="132" t="str">
        <f>IF(COUNTIF('SA-B'!$A:$A, $C215), AI$1, "")</f>
        <v/>
      </c>
      <c r="AJ215" s="132" t="str">
        <f>IF(COUNTIF(CSM!$A:$A, $C215), AJ$1, "")</f>
        <v/>
      </c>
      <c r="AK215" s="132" t="str">
        <f>IF(COUNTIF(EM!$A:$A, $C215), AK$1, "")</f>
        <v/>
      </c>
      <c r="AL215" s="132" t="str">
        <f>IF(COUNTIF(I4TS!$A:$A, $C215), AL$1, "")</f>
        <v/>
      </c>
    </row>
    <row r="216" spans="1:38" ht="13">
      <c r="A216" s="131">
        <v>215</v>
      </c>
      <c r="B216" s="131" t="s">
        <v>904</v>
      </c>
      <c r="C216" s="131" t="s">
        <v>956</v>
      </c>
      <c r="D216" s="106" t="s">
        <v>957</v>
      </c>
      <c r="E216" s="106" t="s">
        <v>958</v>
      </c>
      <c r="F216" s="131">
        <f t="shared" ca="1" si="0"/>
        <v>5</v>
      </c>
      <c r="G216" s="106" t="str">
        <f ca="1">IFERROR(__xludf.DUMMYFUNCTION("INDEX(FILTER($P216:$AL216, $P216:$AL216 &lt;&gt; """"), 1)"),"Behavioural Economics and Decision-Making (A)")</f>
        <v>Behavioural Economics and Decision-Making (A)</v>
      </c>
      <c r="H216" s="106" t="str">
        <f ca="1">IFERROR(__xludf.DUMMYFUNCTION("INDEX(FILTER($P216:$AL216, $P216:$AL216 &lt;&gt; """"), 2)"),"SPORTS ANALYTICS (A)")</f>
        <v>SPORTS ANALYTICS (A)</v>
      </c>
      <c r="I216" s="106" t="str">
        <f ca="1">IFERROR(__xludf.DUMMYFUNCTION("INDEX(FILTER($P216:$AL216, $P216:$AL216 &lt;&gt; """"), 3)"),"Customer Success Management")</f>
        <v>Customer Success Management</v>
      </c>
      <c r="J216" s="106" t="str">
        <f ca="1">IFERROR(__xludf.DUMMYFUNCTION("IFERROR(INDEX(FILTER($P216:$AL216, $P216:$AL216 &lt;&gt; """"), 4),)"),"")</f>
        <v/>
      </c>
      <c r="K216" s="106" t="str">
        <f ca="1">IFERROR(__xludf.DUMMYFUNCTION("IFERROR(INDEX(FILTER($P216:$AL216, $P216:$AL216 &lt;&gt; """"), 5),)"),"")</f>
        <v/>
      </c>
      <c r="L216" s="107"/>
      <c r="M216" s="107"/>
      <c r="N216" s="107"/>
      <c r="O216" s="107"/>
      <c r="P216" s="132" t="str">
        <f>IF(COUNTIF('Fintech-A'!$A:$A, $C216), P$1, "")</f>
        <v/>
      </c>
      <c r="Q216" s="132" t="str">
        <f>IF(COUNTIF('Fintech-B'!$A:$A, $C216), Q$1, "")</f>
        <v/>
      </c>
      <c r="R216" s="132" t="str">
        <f>IF(COUNTIF('BEDM-A'!$A:$A, $C216), R$1, "")</f>
        <v>Behavioural Economics and Decision-Making (A)</v>
      </c>
      <c r="S216" s="132" t="str">
        <f>IF(COUNTIF('BEDM-B'!$A:$A, $C216), S$1, "")</f>
        <v/>
      </c>
      <c r="T216" s="132" t="str">
        <f>IF(COUNTIF('Art-A'!$A:$A, $C216), T$1, "")</f>
        <v/>
      </c>
      <c r="U216" s="132" t="str">
        <f>IF(COUNTIF('Art-B'!$A:$A, $C216), U$1, "")</f>
        <v/>
      </c>
      <c r="V216" s="132" t="str">
        <f>IF(COUNTIF('WH-A'!$A:$A, $C216), V$1, "")</f>
        <v/>
      </c>
      <c r="W216" s="132" t="str">
        <f>IF(COUNTIF('WH-B'!$A:$A, $C216), W$1, "")</f>
        <v/>
      </c>
      <c r="X216" s="132" t="str">
        <f>IF(COUNTIF(LETV!$A:$A, $C216), X$1, "")</f>
        <v/>
      </c>
      <c r="Y216" s="132" t="str">
        <f>IF(COUNTIF('Film&amp;Firm-A'!$A:$A, $C216), Y$1, "")</f>
        <v/>
      </c>
      <c r="Z216" s="132" t="str">
        <f>IF(COUNTIF('Film&amp;Firm-B'!$A:$A, $C216), Z$1, "")</f>
        <v/>
      </c>
      <c r="AA216" s="132" t="str">
        <f>IF(COUNTIF(SHRM!$A:$A, $C216), AA$1, "")</f>
        <v/>
      </c>
      <c r="AB216" s="132" t="str">
        <f>IF(COUNTIF('SCM-A'!$A:$A, $C216), AB$1, "")</f>
        <v/>
      </c>
      <c r="AC216" s="132" t="str">
        <f>IF(COUNTIF('SCM-B'!$A:$A, $C216), AC$1, "")</f>
        <v/>
      </c>
      <c r="AD216" s="132" t="str">
        <f>IF(COUNTIF(AIS!$A:$A, $C216), AD$1, "")</f>
        <v/>
      </c>
      <c r="AE216" s="132" t="str">
        <f>IF(COUNTIF(EB!$A:$A, $C216), AE$1, "")</f>
        <v/>
      </c>
      <c r="AF216" s="132" t="str">
        <f>IF(COUNTIF('AIAM-A'!$A:$A, $C216), AF$1, "")</f>
        <v/>
      </c>
      <c r="AG216" s="132" t="str">
        <f>IF(COUNTIF('AIAM-B'!$A:$A, $C216), AG$1, "")</f>
        <v/>
      </c>
      <c r="AH216" s="132" t="str">
        <f>IF(COUNTIF('SA-A'!$A:$A, $C216), AH$1, "")</f>
        <v>SPORTS ANALYTICS (A)</v>
      </c>
      <c r="AI216" s="132" t="str">
        <f>IF(COUNTIF('SA-B'!$A:$A, $C216), AI$1, "")</f>
        <v/>
      </c>
      <c r="AJ216" s="132" t="str">
        <f>IF(COUNTIF(CSM!$A:$A, $C216), AJ$1, "")</f>
        <v>Customer Success Management</v>
      </c>
      <c r="AK216" s="132" t="str">
        <f>IF(COUNTIF(EM!$A:$A, $C216), AK$1, "")</f>
        <v/>
      </c>
      <c r="AL216" s="132" t="str">
        <f>IF(COUNTIF(I4TS!$A:$A, $C216), AL$1, "")</f>
        <v/>
      </c>
    </row>
    <row r="217" spans="1:38" ht="13">
      <c r="A217" s="131">
        <v>216</v>
      </c>
      <c r="B217" s="131" t="s">
        <v>904</v>
      </c>
      <c r="C217" s="131" t="s">
        <v>293</v>
      </c>
      <c r="D217" s="106" t="s">
        <v>959</v>
      </c>
      <c r="E217" s="106" t="s">
        <v>960</v>
      </c>
      <c r="F217" s="131">
        <f t="shared" ca="1" si="0"/>
        <v>5</v>
      </c>
      <c r="G217" s="106" t="str">
        <f ca="1">IFERROR(__xludf.DUMMYFUNCTION("INDEX(FILTER($P217:$AL217, $P217:$AL217 &lt;&gt; """"), 1)"),"The Art, Craft, and Science of Management: Learning through Classics and Best Collections (A)")</f>
        <v>The Art, Craft, and Science of Management: Learning through Classics and Best Collections (A)</v>
      </c>
      <c r="H217" s="106" t="str">
        <f ca="1">IFERROR(__xludf.DUMMYFUNCTION("INDEX(FILTER($P217:$AL217, $P217:$AL217 &lt;&gt; """"), 2)"),"Film &amp; the Firm: Visual Culture in Business Contexts (A)")</f>
        <v>Film &amp; the Firm: Visual Culture in Business Contexts (A)</v>
      </c>
      <c r="I217" s="106" t="str">
        <f ca="1">IFERROR(__xludf.DUMMYFUNCTION("INDEX(FILTER($P217:$AL217, $P217:$AL217 &lt;&gt; """"), 3)"),"AI Applications in Marketing (B)")</f>
        <v>AI Applications in Marketing (B)</v>
      </c>
      <c r="J217" s="106" t="str">
        <f ca="1">IFERROR(__xludf.DUMMYFUNCTION("IFERROR(INDEX(FILTER($P217:$AL217, $P217:$AL217 &lt;&gt; """"), 4),)"),"")</f>
        <v/>
      </c>
      <c r="K217" s="106" t="str">
        <f ca="1">IFERROR(__xludf.DUMMYFUNCTION("IFERROR(INDEX(FILTER($P217:$AL217, $P217:$AL217 &lt;&gt; """"), 5),)"),"")</f>
        <v/>
      </c>
      <c r="L217" s="107"/>
      <c r="M217" s="107"/>
      <c r="N217" s="107"/>
      <c r="O217" s="107"/>
      <c r="P217" s="132" t="str">
        <f>IF(COUNTIF('Fintech-A'!$A:$A, $C217), P$1, "")</f>
        <v/>
      </c>
      <c r="Q217" s="132" t="str">
        <f>IF(COUNTIF('Fintech-B'!$A:$A, $C217), Q$1, "")</f>
        <v/>
      </c>
      <c r="R217" s="132" t="str">
        <f>IF(COUNTIF('BEDM-A'!$A:$A, $C217), R$1, "")</f>
        <v/>
      </c>
      <c r="S217" s="132" t="str">
        <f>IF(COUNTIF('BEDM-B'!$A:$A, $C217), S$1, "")</f>
        <v/>
      </c>
      <c r="T217" s="132" t="str">
        <f>IF(COUNTIF('Art-A'!$A:$A, $C217), T$1, "")</f>
        <v>The Art, Craft, and Science of Management: Learning through Classics and Best Collections (A)</v>
      </c>
      <c r="U217" s="132" t="str">
        <f>IF(COUNTIF('Art-B'!$A:$A, $C217), U$1, "")</f>
        <v/>
      </c>
      <c r="V217" s="132" t="str">
        <f>IF(COUNTIF('WH-A'!$A:$A, $C217), V$1, "")</f>
        <v/>
      </c>
      <c r="W217" s="132" t="str">
        <f>IF(COUNTIF('WH-B'!$A:$A, $C217), W$1, "")</f>
        <v/>
      </c>
      <c r="X217" s="132" t="str">
        <f>IF(COUNTIF(LETV!$A:$A, $C217), X$1, "")</f>
        <v/>
      </c>
      <c r="Y217" s="132" t="str">
        <f>IF(COUNTIF('Film&amp;Firm-A'!$A:$A, $C217), Y$1, "")</f>
        <v>Film &amp; the Firm: Visual Culture in Business Contexts (A)</v>
      </c>
      <c r="Z217" s="132" t="str">
        <f>IF(COUNTIF('Film&amp;Firm-B'!$A:$A, $C217), Z$1, "")</f>
        <v/>
      </c>
      <c r="AA217" s="132" t="str">
        <f>IF(COUNTIF(SHRM!$A:$A, $C217), AA$1, "")</f>
        <v/>
      </c>
      <c r="AB217" s="132" t="str">
        <f>IF(COUNTIF('SCM-A'!$A:$A, $C217), AB$1, "")</f>
        <v/>
      </c>
      <c r="AC217" s="132" t="str">
        <f>IF(COUNTIF('SCM-B'!$A:$A, $C217), AC$1, "")</f>
        <v/>
      </c>
      <c r="AD217" s="132" t="str">
        <f>IF(COUNTIF(AIS!$A:$A, $C217), AD$1, "")</f>
        <v/>
      </c>
      <c r="AE217" s="132" t="str">
        <f>IF(COUNTIF(EB!$A:$A, $C217), AE$1, "")</f>
        <v/>
      </c>
      <c r="AF217" s="132" t="str">
        <f>IF(COUNTIF('AIAM-A'!$A:$A, $C217), AF$1, "")</f>
        <v/>
      </c>
      <c r="AG217" s="132" t="str">
        <f>IF(COUNTIF('AIAM-B'!$A:$A, $C217), AG$1, "")</f>
        <v>AI Applications in Marketing (B)</v>
      </c>
      <c r="AH217" s="132" t="str">
        <f>IF(COUNTIF('SA-A'!$A:$A, $C217), AH$1, "")</f>
        <v/>
      </c>
      <c r="AI217" s="132" t="str">
        <f>IF(COUNTIF('SA-B'!$A:$A, $C217), AI$1, "")</f>
        <v/>
      </c>
      <c r="AJ217" s="132" t="str">
        <f>IF(COUNTIF(CSM!$A:$A, $C217), AJ$1, "")</f>
        <v/>
      </c>
      <c r="AK217" s="132" t="str">
        <f>IF(COUNTIF(EM!$A:$A, $C217), AK$1, "")</f>
        <v/>
      </c>
      <c r="AL217" s="132" t="str">
        <f>IF(COUNTIF(I4TS!$A:$A, $C217), AL$1, "")</f>
        <v/>
      </c>
    </row>
    <row r="218" spans="1:38" ht="13">
      <c r="A218" s="131">
        <v>217</v>
      </c>
      <c r="B218" s="131" t="s">
        <v>904</v>
      </c>
      <c r="C218" s="131" t="s">
        <v>294</v>
      </c>
      <c r="D218" s="106" t="s">
        <v>961</v>
      </c>
      <c r="E218" s="106" t="s">
        <v>962</v>
      </c>
      <c r="F218" s="131">
        <f t="shared" ca="1" si="0"/>
        <v>5</v>
      </c>
      <c r="G218" s="106" t="str">
        <f ca="1">IFERROR(__xludf.DUMMYFUNCTION("INDEX(FILTER($P218:$AL218, $P218:$AL218 &lt;&gt; """"), 1)"),"Fintech (Digital Transformation in Finance) (A)")</f>
        <v>Fintech (Digital Transformation in Finance) (A)</v>
      </c>
      <c r="H218" s="106" t="str">
        <f ca="1">IFERROR(__xludf.DUMMYFUNCTION("INDEX(FILTER($P218:$AL218, $P218:$AL218 &lt;&gt; """"), 2)"),"AI AND  STRATEGY")</f>
        <v>AI AND  STRATEGY</v>
      </c>
      <c r="I218" s="106" t="str">
        <f ca="1">IFERROR(__xludf.DUMMYFUNCTION("INDEX(FILTER($P218:$AL218, $P218:$AL218 &lt;&gt; """"), 3)"),"Customer Success Management")</f>
        <v>Customer Success Management</v>
      </c>
      <c r="J218" s="106" t="str">
        <f ca="1">IFERROR(__xludf.DUMMYFUNCTION("IFERROR(INDEX(FILTER($P218:$AL218, $P218:$AL218 &lt;&gt; """"), 4),)"),"")</f>
        <v/>
      </c>
      <c r="K218" s="106" t="str">
        <f ca="1">IFERROR(__xludf.DUMMYFUNCTION("IFERROR(INDEX(FILTER($P218:$AL218, $P218:$AL218 &lt;&gt; """"), 5),)"),"")</f>
        <v/>
      </c>
      <c r="L218" s="107"/>
      <c r="M218" s="107"/>
      <c r="N218" s="107"/>
      <c r="O218" s="107"/>
      <c r="P218" s="132" t="str">
        <f>IF(COUNTIF('Fintech-A'!$A:$A, $C218), P$1, "")</f>
        <v>Fintech (Digital Transformation in Finance) (A)</v>
      </c>
      <c r="Q218" s="132" t="str">
        <f>IF(COUNTIF('Fintech-B'!$A:$A, $C218), Q$1, "")</f>
        <v/>
      </c>
      <c r="R218" s="132" t="str">
        <f>IF(COUNTIF('BEDM-A'!$A:$A, $C218), R$1, "")</f>
        <v/>
      </c>
      <c r="S218" s="132" t="str">
        <f>IF(COUNTIF('BEDM-B'!$A:$A, $C218), S$1, "")</f>
        <v/>
      </c>
      <c r="T218" s="132" t="str">
        <f>IF(COUNTIF('Art-A'!$A:$A, $C218), T$1, "")</f>
        <v/>
      </c>
      <c r="U218" s="132" t="str">
        <f>IF(COUNTIF('Art-B'!$A:$A, $C218), U$1, "")</f>
        <v/>
      </c>
      <c r="V218" s="132" t="str">
        <f>IF(COUNTIF('WH-A'!$A:$A, $C218), V$1, "")</f>
        <v/>
      </c>
      <c r="W218" s="132" t="str">
        <f>IF(COUNTIF('WH-B'!$A:$A, $C218), W$1, "")</f>
        <v/>
      </c>
      <c r="X218" s="132" t="str">
        <f>IF(COUNTIF(LETV!$A:$A, $C218), X$1, "")</f>
        <v/>
      </c>
      <c r="Y218" s="132" t="str">
        <f>IF(COUNTIF('Film&amp;Firm-A'!$A:$A, $C218), Y$1, "")</f>
        <v/>
      </c>
      <c r="Z218" s="132" t="str">
        <f>IF(COUNTIF('Film&amp;Firm-B'!$A:$A, $C218), Z$1, "")</f>
        <v/>
      </c>
      <c r="AA218" s="132" t="str">
        <f>IF(COUNTIF(SHRM!$A:$A, $C218), AA$1, "")</f>
        <v/>
      </c>
      <c r="AB218" s="132" t="str">
        <f>IF(COUNTIF('SCM-A'!$A:$A, $C218), AB$1, "")</f>
        <v/>
      </c>
      <c r="AC218" s="132" t="str">
        <f>IF(COUNTIF('SCM-B'!$A:$A, $C218), AC$1, "")</f>
        <v/>
      </c>
      <c r="AD218" s="132" t="str">
        <f>IF(COUNTIF(AIS!$A:$A, $C218), AD$1, "")</f>
        <v>AI AND  STRATEGY</v>
      </c>
      <c r="AE218" s="132" t="str">
        <f>IF(COUNTIF(EB!$A:$A, $C218), AE$1, "")</f>
        <v/>
      </c>
      <c r="AF218" s="132" t="str">
        <f>IF(COUNTIF('AIAM-A'!$A:$A, $C218), AF$1, "")</f>
        <v/>
      </c>
      <c r="AG218" s="132" t="str">
        <f>IF(COUNTIF('AIAM-B'!$A:$A, $C218), AG$1, "")</f>
        <v/>
      </c>
      <c r="AH218" s="132" t="str">
        <f>IF(COUNTIF('SA-A'!$A:$A, $C218), AH$1, "")</f>
        <v/>
      </c>
      <c r="AI218" s="132" t="str">
        <f>IF(COUNTIF('SA-B'!$A:$A, $C218), AI$1, "")</f>
        <v/>
      </c>
      <c r="AJ218" s="132" t="str">
        <f>IF(COUNTIF(CSM!$A:$A, $C218), AJ$1, "")</f>
        <v>Customer Success Management</v>
      </c>
      <c r="AK218" s="132" t="str">
        <f>IF(COUNTIF(EM!$A:$A, $C218), AK$1, "")</f>
        <v/>
      </c>
      <c r="AL218" s="132" t="str">
        <f>IF(COUNTIF(I4TS!$A:$A, $C218), AL$1, "")</f>
        <v/>
      </c>
    </row>
    <row r="219" spans="1:38" ht="13">
      <c r="A219" s="131">
        <v>218</v>
      </c>
      <c r="B219" s="131" t="s">
        <v>904</v>
      </c>
      <c r="C219" s="131" t="s">
        <v>295</v>
      </c>
      <c r="D219" s="106" t="s">
        <v>963</v>
      </c>
      <c r="E219" s="106" t="s">
        <v>964</v>
      </c>
      <c r="F219" s="131">
        <f t="shared" ca="1" si="0"/>
        <v>5</v>
      </c>
      <c r="G219" s="106" t="str">
        <f ca="1">IFERROR(__xludf.DUMMYFUNCTION("INDEX(FILTER($P219:$AL219, $P219:$AL219 &lt;&gt; """"), 1)"),"AI AND  STRATEGY")</f>
        <v>AI AND  STRATEGY</v>
      </c>
      <c r="H219" s="106" t="str">
        <f ca="1">IFERROR(__xludf.DUMMYFUNCTION("INDEX(FILTER($P219:$AL219, $P219:$AL219 &lt;&gt; """"), 2)"),"AI Applications in Marketing (B)")</f>
        <v>AI Applications in Marketing (B)</v>
      </c>
      <c r="I219" s="106" t="str">
        <f ca="1">IFERROR(__xludf.DUMMYFUNCTION("INDEX(FILTER($P219:$AL219, $P219:$AL219 &lt;&gt; """"), 3)"),"SPORTS ANALYTICS (B)")</f>
        <v>SPORTS ANALYTICS (B)</v>
      </c>
      <c r="J219" s="106" t="str">
        <f ca="1">IFERROR(__xludf.DUMMYFUNCTION("IFERROR(INDEX(FILTER($P219:$AL219, $P219:$AL219 &lt;&gt; """"), 4),)"),"")</f>
        <v/>
      </c>
      <c r="K219" s="106" t="str">
        <f ca="1">IFERROR(__xludf.DUMMYFUNCTION("IFERROR(INDEX(FILTER($P219:$AL219, $P219:$AL219 &lt;&gt; """"), 5),)"),"")</f>
        <v/>
      </c>
      <c r="L219" s="107"/>
      <c r="M219" s="107"/>
      <c r="N219" s="107"/>
      <c r="O219" s="107"/>
      <c r="P219" s="132" t="str">
        <f>IF(COUNTIF('Fintech-A'!$A:$A, $C219), P$1, "")</f>
        <v/>
      </c>
      <c r="Q219" s="132" t="str">
        <f>IF(COUNTIF('Fintech-B'!$A:$A, $C219), Q$1, "")</f>
        <v/>
      </c>
      <c r="R219" s="132" t="str">
        <f>IF(COUNTIF('BEDM-A'!$A:$A, $C219), R$1, "")</f>
        <v/>
      </c>
      <c r="S219" s="132" t="str">
        <f>IF(COUNTIF('BEDM-B'!$A:$A, $C219), S$1, "")</f>
        <v/>
      </c>
      <c r="T219" s="132" t="str">
        <f>IF(COUNTIF('Art-A'!$A:$A, $C219), T$1, "")</f>
        <v/>
      </c>
      <c r="U219" s="132" t="str">
        <f>IF(COUNTIF('Art-B'!$A:$A, $C219), U$1, "")</f>
        <v/>
      </c>
      <c r="V219" s="132" t="str">
        <f>IF(COUNTIF('WH-A'!$A:$A, $C219), V$1, "")</f>
        <v/>
      </c>
      <c r="W219" s="132" t="str">
        <f>IF(COUNTIF('WH-B'!$A:$A, $C219), W$1, "")</f>
        <v/>
      </c>
      <c r="X219" s="132" t="str">
        <f>IF(COUNTIF(LETV!$A:$A, $C219), X$1, "")</f>
        <v/>
      </c>
      <c r="Y219" s="132" t="str">
        <f>IF(COUNTIF('Film&amp;Firm-A'!$A:$A, $C219), Y$1, "")</f>
        <v/>
      </c>
      <c r="Z219" s="132" t="str">
        <f>IF(COUNTIF('Film&amp;Firm-B'!$A:$A, $C219), Z$1, "")</f>
        <v/>
      </c>
      <c r="AA219" s="132" t="str">
        <f>IF(COUNTIF(SHRM!$A:$A, $C219), AA$1, "")</f>
        <v/>
      </c>
      <c r="AB219" s="132" t="str">
        <f>IF(COUNTIF('SCM-A'!$A:$A, $C219), AB$1, "")</f>
        <v/>
      </c>
      <c r="AC219" s="132" t="str">
        <f>IF(COUNTIF('SCM-B'!$A:$A, $C219), AC$1, "")</f>
        <v/>
      </c>
      <c r="AD219" s="132" t="str">
        <f>IF(COUNTIF(AIS!$A:$A, $C219), AD$1, "")</f>
        <v>AI AND  STRATEGY</v>
      </c>
      <c r="AE219" s="132" t="str">
        <f>IF(COUNTIF(EB!$A:$A, $C219), AE$1, "")</f>
        <v/>
      </c>
      <c r="AF219" s="132" t="str">
        <f>IF(COUNTIF('AIAM-A'!$A:$A, $C219), AF$1, "")</f>
        <v/>
      </c>
      <c r="AG219" s="132" t="str">
        <f>IF(COUNTIF('AIAM-B'!$A:$A, $C219), AG$1, "")</f>
        <v>AI Applications in Marketing (B)</v>
      </c>
      <c r="AH219" s="132" t="str">
        <f>IF(COUNTIF('SA-A'!$A:$A, $C219), AH$1, "")</f>
        <v/>
      </c>
      <c r="AI219" s="132" t="str">
        <f>IF(COUNTIF('SA-B'!$A:$A, $C219), AI$1, "")</f>
        <v>SPORTS ANALYTICS (B)</v>
      </c>
      <c r="AJ219" s="132" t="str">
        <f>IF(COUNTIF(CSM!$A:$A, $C219), AJ$1, "")</f>
        <v/>
      </c>
      <c r="AK219" s="132" t="str">
        <f>IF(COUNTIF(EM!$A:$A, $C219), AK$1, "")</f>
        <v/>
      </c>
      <c r="AL219" s="132" t="str">
        <f>IF(COUNTIF(I4TS!$A:$A, $C219), AL$1, "")</f>
        <v/>
      </c>
    </row>
    <row r="220" spans="1:38" ht="13">
      <c r="A220" s="131">
        <v>219</v>
      </c>
      <c r="B220" s="131" t="s">
        <v>904</v>
      </c>
      <c r="C220" s="131" t="s">
        <v>965</v>
      </c>
      <c r="D220" s="106" t="s">
        <v>966</v>
      </c>
      <c r="E220" s="106" t="s">
        <v>967</v>
      </c>
      <c r="F220" s="131">
        <f t="shared" ca="1" si="0"/>
        <v>5</v>
      </c>
      <c r="G220" s="106" t="str">
        <f ca="1">IFERROR(__xludf.DUMMYFUNCTION("INDEX(FILTER($P220:$AL220, $P220:$AL220 &lt;&gt; """"), 1)"),"Fintech (Digital Transformation in Finance) (A)")</f>
        <v>Fintech (Digital Transformation in Finance) (A)</v>
      </c>
      <c r="H220" s="106" t="str">
        <f ca="1">IFERROR(__xludf.DUMMYFUNCTION("INDEX(FILTER($P220:$AL220, $P220:$AL220 &lt;&gt; """"), 2)"),"Behavioural Economics and Decision-Making (B)")</f>
        <v>Behavioural Economics and Decision-Making (B)</v>
      </c>
      <c r="I220" s="106" t="str">
        <f ca="1">IFERROR(__xludf.DUMMYFUNCTION("INDEX(FILTER($P220:$AL220, $P220:$AL220 &lt;&gt; """"), 3)"),"Leadership Excellence Through Values : Wisdom from the Mahabharata")</f>
        <v>Leadership Excellence Through Values : Wisdom from the Mahabharata</v>
      </c>
      <c r="J220" s="106" t="str">
        <f ca="1">IFERROR(__xludf.DUMMYFUNCTION("IFERROR(INDEX(FILTER($P220:$AL220, $P220:$AL220 &lt;&gt; """"), 4),)"),"")</f>
        <v/>
      </c>
      <c r="K220" s="106" t="str">
        <f ca="1">IFERROR(__xludf.DUMMYFUNCTION("IFERROR(INDEX(FILTER($P220:$AL220, $P220:$AL220 &lt;&gt; """"), 5),)"),"")</f>
        <v/>
      </c>
      <c r="L220" s="107"/>
      <c r="M220" s="107"/>
      <c r="N220" s="107"/>
      <c r="O220" s="107"/>
      <c r="P220" s="132" t="str">
        <f>IF(COUNTIF('Fintech-A'!$A:$A, $C220), P$1, "")</f>
        <v>Fintech (Digital Transformation in Finance) (A)</v>
      </c>
      <c r="Q220" s="132" t="str">
        <f>IF(COUNTIF('Fintech-B'!$A:$A, $C220), Q$1, "")</f>
        <v/>
      </c>
      <c r="R220" s="132" t="str">
        <f>IF(COUNTIF('BEDM-A'!$A:$A, $C220), R$1, "")</f>
        <v/>
      </c>
      <c r="S220" s="132" t="str">
        <f>IF(COUNTIF('BEDM-B'!$A:$A, $C220), S$1, "")</f>
        <v>Behavioural Economics and Decision-Making (B)</v>
      </c>
      <c r="T220" s="132" t="str">
        <f>IF(COUNTIF('Art-A'!$A:$A, $C220), T$1, "")</f>
        <v/>
      </c>
      <c r="U220" s="132" t="str">
        <f>IF(COUNTIF('Art-B'!$A:$A, $C220), U$1, "")</f>
        <v/>
      </c>
      <c r="V220" s="132" t="str">
        <f>IF(COUNTIF('WH-A'!$A:$A, $C220), V$1, "")</f>
        <v/>
      </c>
      <c r="W220" s="132" t="str">
        <f>IF(COUNTIF('WH-B'!$A:$A, $C220), W$1, "")</f>
        <v/>
      </c>
      <c r="X220" s="132" t="str">
        <f>IF(COUNTIF(LETV!$A:$A, $C220), X$1, "")</f>
        <v>Leadership Excellence Through Values : Wisdom from the Mahabharata</v>
      </c>
      <c r="Y220" s="132" t="str">
        <f>IF(COUNTIF('Film&amp;Firm-A'!$A:$A, $C220), Y$1, "")</f>
        <v/>
      </c>
      <c r="Z220" s="132" t="str">
        <f>IF(COUNTIF('Film&amp;Firm-B'!$A:$A, $C220), Z$1, "")</f>
        <v/>
      </c>
      <c r="AA220" s="132" t="str">
        <f>IF(COUNTIF(SHRM!$A:$A, $C220), AA$1, "")</f>
        <v/>
      </c>
      <c r="AB220" s="132" t="str">
        <f>IF(COUNTIF('SCM-A'!$A:$A, $C220), AB$1, "")</f>
        <v/>
      </c>
      <c r="AC220" s="132" t="str">
        <f>IF(COUNTIF('SCM-B'!$A:$A, $C220), AC$1, "")</f>
        <v/>
      </c>
      <c r="AD220" s="132" t="str">
        <f>IF(COUNTIF(AIS!$A:$A, $C220), AD$1, "")</f>
        <v/>
      </c>
      <c r="AE220" s="132" t="str">
        <f>IF(COUNTIF(EB!$A:$A, $C220), AE$1, "")</f>
        <v/>
      </c>
      <c r="AF220" s="132" t="str">
        <f>IF(COUNTIF('AIAM-A'!$A:$A, $C220), AF$1, "")</f>
        <v/>
      </c>
      <c r="AG220" s="132" t="str">
        <f>IF(COUNTIF('AIAM-B'!$A:$A, $C220), AG$1, "")</f>
        <v/>
      </c>
      <c r="AH220" s="132" t="str">
        <f>IF(COUNTIF('SA-A'!$A:$A, $C220), AH$1, "")</f>
        <v/>
      </c>
      <c r="AI220" s="132" t="str">
        <f>IF(COUNTIF('SA-B'!$A:$A, $C220), AI$1, "")</f>
        <v/>
      </c>
      <c r="AJ220" s="132" t="str">
        <f>IF(COUNTIF(CSM!$A:$A, $C220), AJ$1, "")</f>
        <v/>
      </c>
      <c r="AK220" s="132" t="str">
        <f>IF(COUNTIF(EM!$A:$A, $C220), AK$1, "")</f>
        <v/>
      </c>
      <c r="AL220" s="132" t="str">
        <f>IF(COUNTIF(I4TS!$A:$A, $C220), AL$1, "")</f>
        <v/>
      </c>
    </row>
    <row r="221" spans="1:38" ht="13">
      <c r="A221" s="131">
        <v>220</v>
      </c>
      <c r="B221" s="131" t="s">
        <v>904</v>
      </c>
      <c r="C221" s="131" t="s">
        <v>968</v>
      </c>
      <c r="D221" s="106" t="s">
        <v>969</v>
      </c>
      <c r="E221" s="106" t="s">
        <v>970</v>
      </c>
      <c r="F221" s="131">
        <f t="shared" ca="1" si="0"/>
        <v>5</v>
      </c>
      <c r="G221" s="106" t="str">
        <f ca="1">IFERROR(__xludf.DUMMYFUNCTION("INDEX(FILTER($P221:$AL221, $P221:$AL221 &lt;&gt; """"), 1)"),"Leadership Excellence Through Values : Wisdom from the Mahabharata")</f>
        <v>Leadership Excellence Through Values : Wisdom from the Mahabharata</v>
      </c>
      <c r="H221" s="106" t="str">
        <f ca="1">IFERROR(__xludf.DUMMYFUNCTION("INDEX(FILTER($P221:$AL221, $P221:$AL221 &lt;&gt; """"), 2)"),"Strategic Career Management (B)")</f>
        <v>Strategic Career Management (B)</v>
      </c>
      <c r="I221" s="106" t="str">
        <f ca="1">IFERROR(__xludf.DUMMYFUNCTION("INDEX(FILTER($P221:$AL221, $P221:$AL221 &lt;&gt; """"), 3)"),"AI Applications in Marketing (A)")</f>
        <v>AI Applications in Marketing (A)</v>
      </c>
      <c r="J221" s="106" t="str">
        <f ca="1">IFERROR(__xludf.DUMMYFUNCTION("IFERROR(INDEX(FILTER($P221:$AL221, $P221:$AL221 &lt;&gt; """"), 4),)"),"")</f>
        <v/>
      </c>
      <c r="K221" s="106" t="str">
        <f ca="1">IFERROR(__xludf.DUMMYFUNCTION("IFERROR(INDEX(FILTER($P221:$AL221, $P221:$AL221 &lt;&gt; """"), 5),)"),"")</f>
        <v/>
      </c>
      <c r="L221" s="107"/>
      <c r="M221" s="107"/>
      <c r="N221" s="107"/>
      <c r="O221" s="107"/>
      <c r="P221" s="132" t="str">
        <f>IF(COUNTIF('Fintech-A'!$A:$A, $C221), P$1, "")</f>
        <v/>
      </c>
      <c r="Q221" s="132" t="str">
        <f>IF(COUNTIF('Fintech-B'!$A:$A, $C221), Q$1, "")</f>
        <v/>
      </c>
      <c r="R221" s="132" t="str">
        <f>IF(COUNTIF('BEDM-A'!$A:$A, $C221), R$1, "")</f>
        <v/>
      </c>
      <c r="S221" s="132" t="str">
        <f>IF(COUNTIF('BEDM-B'!$A:$A, $C221), S$1, "")</f>
        <v/>
      </c>
      <c r="T221" s="132" t="str">
        <f>IF(COUNTIF('Art-A'!$A:$A, $C221), T$1, "")</f>
        <v/>
      </c>
      <c r="U221" s="132" t="str">
        <f>IF(COUNTIF('Art-B'!$A:$A, $C221), U$1, "")</f>
        <v/>
      </c>
      <c r="V221" s="132" t="str">
        <f>IF(COUNTIF('WH-A'!$A:$A, $C221), V$1, "")</f>
        <v/>
      </c>
      <c r="W221" s="132" t="str">
        <f>IF(COUNTIF('WH-B'!$A:$A, $C221), W$1, "")</f>
        <v/>
      </c>
      <c r="X221" s="132" t="str">
        <f>IF(COUNTIF(LETV!$A:$A, $C221), X$1, "")</f>
        <v>Leadership Excellence Through Values : Wisdom from the Mahabharata</v>
      </c>
      <c r="Y221" s="132" t="str">
        <f>IF(COUNTIF('Film&amp;Firm-A'!$A:$A, $C221), Y$1, "")</f>
        <v/>
      </c>
      <c r="Z221" s="132" t="str">
        <f>IF(COUNTIF('Film&amp;Firm-B'!$A:$A, $C221), Z$1, "")</f>
        <v/>
      </c>
      <c r="AA221" s="132" t="str">
        <f>IF(COUNTIF(SHRM!$A:$A, $C221), AA$1, "")</f>
        <v/>
      </c>
      <c r="AB221" s="132" t="str">
        <f>IF(COUNTIF('SCM-A'!$A:$A, $C221), AB$1, "")</f>
        <v/>
      </c>
      <c r="AC221" s="132" t="str">
        <f>IF(COUNTIF('SCM-B'!$A:$A, $C221), AC$1, "")</f>
        <v>Strategic Career Management (B)</v>
      </c>
      <c r="AD221" s="132" t="str">
        <f>IF(COUNTIF(AIS!$A:$A, $C221), AD$1, "")</f>
        <v/>
      </c>
      <c r="AE221" s="132" t="str">
        <f>IF(COUNTIF(EB!$A:$A, $C221), AE$1, "")</f>
        <v/>
      </c>
      <c r="AF221" s="132" t="str">
        <f>IF(COUNTIF('AIAM-A'!$A:$A, $C221), AF$1, "")</f>
        <v>AI Applications in Marketing (A)</v>
      </c>
      <c r="AG221" s="132" t="str">
        <f>IF(COUNTIF('AIAM-B'!$A:$A, $C221), AG$1, "")</f>
        <v/>
      </c>
      <c r="AH221" s="132" t="str">
        <f>IF(COUNTIF('SA-A'!$A:$A, $C221), AH$1, "")</f>
        <v/>
      </c>
      <c r="AI221" s="132" t="str">
        <f>IF(COUNTIF('SA-B'!$A:$A, $C221), AI$1, "")</f>
        <v/>
      </c>
      <c r="AJ221" s="132" t="str">
        <f>IF(COUNTIF(CSM!$A:$A, $C221), AJ$1, "")</f>
        <v/>
      </c>
      <c r="AK221" s="132" t="str">
        <f>IF(COUNTIF(EM!$A:$A, $C221), AK$1, "")</f>
        <v/>
      </c>
      <c r="AL221" s="132" t="str">
        <f>IF(COUNTIF(I4TS!$A:$A, $C221), AL$1, "")</f>
        <v/>
      </c>
    </row>
    <row r="222" spans="1:38" ht="13">
      <c r="A222" s="131">
        <v>221</v>
      </c>
      <c r="B222" s="131" t="s">
        <v>904</v>
      </c>
      <c r="C222" s="131" t="s">
        <v>296</v>
      </c>
      <c r="D222" s="106" t="s">
        <v>971</v>
      </c>
      <c r="E222" s="106" t="s">
        <v>972</v>
      </c>
      <c r="F222" s="131">
        <f t="shared" ca="1" si="0"/>
        <v>5</v>
      </c>
      <c r="G222" s="106" t="str">
        <f ca="1">IFERROR(__xludf.DUMMYFUNCTION("INDEX(FILTER($P222:$AL222, $P222:$AL222 &lt;&gt; """"), 1)"),"Fintech (Digital Transformation in Finance) (B)")</f>
        <v>Fintech (Digital Transformation in Finance) (B)</v>
      </c>
      <c r="H222" s="106" t="str">
        <f ca="1">IFERROR(__xludf.DUMMYFUNCTION("INDEX(FILTER($P222:$AL222, $P222:$AL222 &lt;&gt; """"), 2)"),"Workplace Happiness: Science &amp; Practice (A)")</f>
        <v>Workplace Happiness: Science &amp; Practice (A)</v>
      </c>
      <c r="I222" s="106" t="str">
        <f ca="1">IFERROR(__xludf.DUMMYFUNCTION("INDEX(FILTER($P222:$AL222, $P222:$AL222 &lt;&gt; """"), 3)"),"SPORTS ANALYTICS (A)")</f>
        <v>SPORTS ANALYTICS (A)</v>
      </c>
      <c r="J222" s="106" t="str">
        <f ca="1">IFERROR(__xludf.DUMMYFUNCTION("IFERROR(INDEX(FILTER($P222:$AL222, $P222:$AL222 &lt;&gt; """"), 4),)"),"")</f>
        <v/>
      </c>
      <c r="K222" s="106" t="str">
        <f ca="1">IFERROR(__xludf.DUMMYFUNCTION("IFERROR(INDEX(FILTER($P222:$AL222, $P222:$AL222 &lt;&gt; """"), 5),)"),"")</f>
        <v/>
      </c>
      <c r="L222" s="107"/>
      <c r="M222" s="107"/>
      <c r="N222" s="107"/>
      <c r="O222" s="107"/>
      <c r="P222" s="132" t="str">
        <f>IF(COUNTIF('Fintech-A'!$A:$A, $C222), P$1, "")</f>
        <v/>
      </c>
      <c r="Q222" s="132" t="str">
        <f>IF(COUNTIF('Fintech-B'!$A:$A, $C222), Q$1, "")</f>
        <v>Fintech (Digital Transformation in Finance) (B)</v>
      </c>
      <c r="R222" s="132" t="str">
        <f>IF(COUNTIF('BEDM-A'!$A:$A, $C222), R$1, "")</f>
        <v/>
      </c>
      <c r="S222" s="132" t="str">
        <f>IF(COUNTIF('BEDM-B'!$A:$A, $C222), S$1, "")</f>
        <v/>
      </c>
      <c r="T222" s="132" t="str">
        <f>IF(COUNTIF('Art-A'!$A:$A, $C222), T$1, "")</f>
        <v/>
      </c>
      <c r="U222" s="132" t="str">
        <f>IF(COUNTIF('Art-B'!$A:$A, $C222), U$1, "")</f>
        <v/>
      </c>
      <c r="V222" s="132" t="str">
        <f>IF(COUNTIF('WH-A'!$A:$A, $C222), V$1, "")</f>
        <v>Workplace Happiness: Science &amp; Practice (A)</v>
      </c>
      <c r="W222" s="132" t="str">
        <f>IF(COUNTIF('WH-B'!$A:$A, $C222), W$1, "")</f>
        <v/>
      </c>
      <c r="X222" s="132" t="str">
        <f>IF(COUNTIF(LETV!$A:$A, $C222), X$1, "")</f>
        <v/>
      </c>
      <c r="Y222" s="132" t="str">
        <f>IF(COUNTIF('Film&amp;Firm-A'!$A:$A, $C222), Y$1, "")</f>
        <v/>
      </c>
      <c r="Z222" s="132" t="str">
        <f>IF(COUNTIF('Film&amp;Firm-B'!$A:$A, $C222), Z$1, "")</f>
        <v/>
      </c>
      <c r="AA222" s="132" t="str">
        <f>IF(COUNTIF(SHRM!$A:$A, $C222), AA$1, "")</f>
        <v/>
      </c>
      <c r="AB222" s="132" t="str">
        <f>IF(COUNTIF('SCM-A'!$A:$A, $C222), AB$1, "")</f>
        <v/>
      </c>
      <c r="AC222" s="132" t="str">
        <f>IF(COUNTIF('SCM-B'!$A:$A, $C222), AC$1, "")</f>
        <v/>
      </c>
      <c r="AD222" s="132" t="str">
        <f>IF(COUNTIF(AIS!$A:$A, $C222), AD$1, "")</f>
        <v/>
      </c>
      <c r="AE222" s="132" t="str">
        <f>IF(COUNTIF(EB!$A:$A, $C222), AE$1, "")</f>
        <v/>
      </c>
      <c r="AF222" s="132" t="str">
        <f>IF(COUNTIF('AIAM-A'!$A:$A, $C222), AF$1, "")</f>
        <v/>
      </c>
      <c r="AG222" s="132" t="str">
        <f>IF(COUNTIF('AIAM-B'!$A:$A, $C222), AG$1, "")</f>
        <v/>
      </c>
      <c r="AH222" s="132" t="str">
        <f>IF(COUNTIF('SA-A'!$A:$A, $C222), AH$1, "")</f>
        <v>SPORTS ANALYTICS (A)</v>
      </c>
      <c r="AI222" s="132" t="str">
        <f>IF(COUNTIF('SA-B'!$A:$A, $C222), AI$1, "")</f>
        <v/>
      </c>
      <c r="AJ222" s="132" t="str">
        <f>IF(COUNTIF(CSM!$A:$A, $C222), AJ$1, "")</f>
        <v/>
      </c>
      <c r="AK222" s="132" t="str">
        <f>IF(COUNTIF(EM!$A:$A, $C222), AK$1, "")</f>
        <v/>
      </c>
      <c r="AL222" s="132" t="str">
        <f>IF(COUNTIF(I4TS!$A:$A, $C222), AL$1, "")</f>
        <v/>
      </c>
    </row>
    <row r="223" spans="1:38" ht="13">
      <c r="A223" s="131">
        <v>222</v>
      </c>
      <c r="B223" s="131" t="s">
        <v>904</v>
      </c>
      <c r="C223" s="131" t="s">
        <v>973</v>
      </c>
      <c r="D223" s="106" t="s">
        <v>974</v>
      </c>
      <c r="E223" s="106" t="s">
        <v>975</v>
      </c>
      <c r="F223" s="131">
        <f t="shared" ca="1" si="0"/>
        <v>5</v>
      </c>
      <c r="G223" s="106" t="str">
        <f ca="1">IFERROR(__xludf.DUMMYFUNCTION("INDEX(FILTER($P223:$AL223, $P223:$AL223 &lt;&gt; """"), 1)"),"Film &amp; the Firm: Visual Culture in Business Contexts (B)")</f>
        <v>Film &amp; the Firm: Visual Culture in Business Contexts (B)</v>
      </c>
      <c r="H223" s="106" t="str">
        <f ca="1">IFERROR(__xludf.DUMMYFUNCTION("INDEX(FILTER($P223:$AL223, $P223:$AL223 &lt;&gt; """"), 2)"),"Strategic HRM")</f>
        <v>Strategic HRM</v>
      </c>
      <c r="I223" s="106" t="str">
        <f ca="1">IFERROR(__xludf.DUMMYFUNCTION("INDEX(FILTER($P223:$AL223, $P223:$AL223 &lt;&gt; """"), 3)"),"Strategic Career Management (A)")</f>
        <v>Strategic Career Management (A)</v>
      </c>
      <c r="J223" s="106" t="str">
        <f ca="1">IFERROR(__xludf.DUMMYFUNCTION("IFERROR(INDEX(FILTER($P223:$AL223, $P223:$AL223 &lt;&gt; """"), 4),)"),"AI Applications in Marketing (A)")</f>
        <v>AI Applications in Marketing (A)</v>
      </c>
      <c r="K223" s="106" t="str">
        <f ca="1">IFERROR(__xludf.DUMMYFUNCTION("IFERROR(INDEX(FILTER($P223:$AL223, $P223:$AL223 &lt;&gt; """"), 5),)"),"Entrepreneurial Marketing")</f>
        <v>Entrepreneurial Marketing</v>
      </c>
      <c r="L223" s="107"/>
      <c r="M223" s="107"/>
      <c r="N223" s="107"/>
      <c r="O223" s="107"/>
      <c r="P223" s="132" t="str">
        <f>IF(COUNTIF('Fintech-A'!$A:$A, $C223), P$1, "")</f>
        <v/>
      </c>
      <c r="Q223" s="132" t="str">
        <f>IF(COUNTIF('Fintech-B'!$A:$A, $C223), Q$1, "")</f>
        <v/>
      </c>
      <c r="R223" s="132" t="str">
        <f>IF(COUNTIF('BEDM-A'!$A:$A, $C223), R$1, "")</f>
        <v/>
      </c>
      <c r="S223" s="132" t="str">
        <f>IF(COUNTIF('BEDM-B'!$A:$A, $C223), S$1, "")</f>
        <v/>
      </c>
      <c r="T223" s="132" t="str">
        <f>IF(COUNTIF('Art-A'!$A:$A, $C223), T$1, "")</f>
        <v/>
      </c>
      <c r="U223" s="132" t="str">
        <f>IF(COUNTIF('Art-B'!$A:$A, $C223), U$1, "")</f>
        <v/>
      </c>
      <c r="V223" s="132" t="str">
        <f>IF(COUNTIF('WH-A'!$A:$A, $C223), V$1, "")</f>
        <v/>
      </c>
      <c r="W223" s="132" t="str">
        <f>IF(COUNTIF('WH-B'!$A:$A, $C223), W$1, "")</f>
        <v/>
      </c>
      <c r="X223" s="132" t="str">
        <f>IF(COUNTIF(LETV!$A:$A, $C223), X$1, "")</f>
        <v/>
      </c>
      <c r="Y223" s="132" t="str">
        <f>IF(COUNTIF('Film&amp;Firm-A'!$A:$A, $C223), Y$1, "")</f>
        <v/>
      </c>
      <c r="Z223" s="132" t="str">
        <f>IF(COUNTIF('Film&amp;Firm-B'!$A:$A, $C223), Z$1, "")</f>
        <v>Film &amp; the Firm: Visual Culture in Business Contexts (B)</v>
      </c>
      <c r="AA223" s="132" t="str">
        <f>IF(COUNTIF(SHRM!$A:$A, $C223), AA$1, "")</f>
        <v>Strategic HRM</v>
      </c>
      <c r="AB223" s="132" t="str">
        <f>IF(COUNTIF('SCM-A'!$A:$A, $C223), AB$1, "")</f>
        <v>Strategic Career Management (A)</v>
      </c>
      <c r="AC223" s="132" t="str">
        <f>IF(COUNTIF('SCM-B'!$A:$A, $C223), AC$1, "")</f>
        <v/>
      </c>
      <c r="AD223" s="132" t="str">
        <f>IF(COUNTIF(AIS!$A:$A, $C223), AD$1, "")</f>
        <v/>
      </c>
      <c r="AE223" s="132" t="str">
        <f>IF(COUNTIF(EB!$A:$A, $C223), AE$1, "")</f>
        <v/>
      </c>
      <c r="AF223" s="132" t="str">
        <f>IF(COUNTIF('AIAM-A'!$A:$A, $C223), AF$1, "")</f>
        <v>AI Applications in Marketing (A)</v>
      </c>
      <c r="AG223" s="132" t="str">
        <f>IF(COUNTIF('AIAM-B'!$A:$A, $C223), AG$1, "")</f>
        <v/>
      </c>
      <c r="AH223" s="132" t="str">
        <f>IF(COUNTIF('SA-A'!$A:$A, $C223), AH$1, "")</f>
        <v/>
      </c>
      <c r="AI223" s="132" t="str">
        <f>IF(COUNTIF('SA-B'!$A:$A, $C223), AI$1, "")</f>
        <v/>
      </c>
      <c r="AJ223" s="132" t="str">
        <f>IF(COUNTIF(CSM!$A:$A, $C223), AJ$1, "")</f>
        <v/>
      </c>
      <c r="AK223" s="132" t="str">
        <f>IF(COUNTIF(EM!$A:$A, $C223), AK$1, "")</f>
        <v>Entrepreneurial Marketing</v>
      </c>
      <c r="AL223" s="132" t="str">
        <f>IF(COUNTIF(I4TS!$A:$A, $C223), AL$1, "")</f>
        <v/>
      </c>
    </row>
    <row r="224" spans="1:38" ht="13">
      <c r="A224" s="131">
        <v>223</v>
      </c>
      <c r="B224" s="131" t="s">
        <v>904</v>
      </c>
      <c r="C224" s="131" t="s">
        <v>976</v>
      </c>
      <c r="D224" s="106" t="s">
        <v>977</v>
      </c>
      <c r="E224" s="106" t="s">
        <v>978</v>
      </c>
      <c r="F224" s="131">
        <f t="shared" ca="1" si="0"/>
        <v>5</v>
      </c>
      <c r="G224" s="106" t="str">
        <f ca="1">IFERROR(__xludf.DUMMYFUNCTION("INDEX(FILTER($P224:$AL224, $P224:$AL224 &lt;&gt; """"), 1)"),"SPORTS ANALYTICS (A)")</f>
        <v>SPORTS ANALYTICS (A)</v>
      </c>
      <c r="H224" s="106" t="str">
        <f ca="1">IFERROR(__xludf.DUMMYFUNCTION("INDEX(FILTER($P224:$AL224, $P224:$AL224 &lt;&gt; """"), 2)"),"Customer Success Management")</f>
        <v>Customer Success Management</v>
      </c>
      <c r="I224" s="106" t="str">
        <f ca="1">IFERROR(__xludf.DUMMYFUNCTION("INDEX(FILTER($P224:$AL224, $P224:$AL224 &lt;&gt; """"), 3)"),"Industry 4.0 in Transport Sector")</f>
        <v>Industry 4.0 in Transport Sector</v>
      </c>
      <c r="J224" s="106" t="str">
        <f ca="1">IFERROR(__xludf.DUMMYFUNCTION("IFERROR(INDEX(FILTER($P224:$AL224, $P224:$AL224 &lt;&gt; """"), 4),)"),"")</f>
        <v/>
      </c>
      <c r="K224" s="106" t="str">
        <f ca="1">IFERROR(__xludf.DUMMYFUNCTION("IFERROR(INDEX(FILTER($P224:$AL224, $P224:$AL224 &lt;&gt; """"), 5),)"),"")</f>
        <v/>
      </c>
      <c r="L224" s="107"/>
      <c r="M224" s="107"/>
      <c r="N224" s="107"/>
      <c r="O224" s="107"/>
      <c r="P224" s="132" t="str">
        <f>IF(COUNTIF('Fintech-A'!$A:$A, $C224), P$1, "")</f>
        <v/>
      </c>
      <c r="Q224" s="132" t="str">
        <f>IF(COUNTIF('Fintech-B'!$A:$A, $C224), Q$1, "")</f>
        <v/>
      </c>
      <c r="R224" s="132" t="str">
        <f>IF(COUNTIF('BEDM-A'!$A:$A, $C224), R$1, "")</f>
        <v/>
      </c>
      <c r="S224" s="132" t="str">
        <f>IF(COUNTIF('BEDM-B'!$A:$A, $C224), S$1, "")</f>
        <v/>
      </c>
      <c r="T224" s="132" t="str">
        <f>IF(COUNTIF('Art-A'!$A:$A, $C224), T$1, "")</f>
        <v/>
      </c>
      <c r="U224" s="132" t="str">
        <f>IF(COUNTIF('Art-B'!$A:$A, $C224), U$1, "")</f>
        <v/>
      </c>
      <c r="V224" s="132" t="str">
        <f>IF(COUNTIF('WH-A'!$A:$A, $C224), V$1, "")</f>
        <v/>
      </c>
      <c r="W224" s="132" t="str">
        <f>IF(COUNTIF('WH-B'!$A:$A, $C224), W$1, "")</f>
        <v/>
      </c>
      <c r="X224" s="132" t="str">
        <f>IF(COUNTIF(LETV!$A:$A, $C224), X$1, "")</f>
        <v/>
      </c>
      <c r="Y224" s="132" t="str">
        <f>IF(COUNTIF('Film&amp;Firm-A'!$A:$A, $C224), Y$1, "")</f>
        <v/>
      </c>
      <c r="Z224" s="132" t="str">
        <f>IF(COUNTIF('Film&amp;Firm-B'!$A:$A, $C224), Z$1, "")</f>
        <v/>
      </c>
      <c r="AA224" s="132" t="str">
        <f>IF(COUNTIF(SHRM!$A:$A, $C224), AA$1, "")</f>
        <v/>
      </c>
      <c r="AB224" s="132" t="str">
        <f>IF(COUNTIF('SCM-A'!$A:$A, $C224), AB$1, "")</f>
        <v/>
      </c>
      <c r="AC224" s="132" t="str">
        <f>IF(COUNTIF('SCM-B'!$A:$A, $C224), AC$1, "")</f>
        <v/>
      </c>
      <c r="AD224" s="132" t="str">
        <f>IF(COUNTIF(AIS!$A:$A, $C224), AD$1, "")</f>
        <v/>
      </c>
      <c r="AE224" s="132" t="str">
        <f>IF(COUNTIF(EB!$A:$A, $C224), AE$1, "")</f>
        <v/>
      </c>
      <c r="AF224" s="132" t="str">
        <f>IF(COUNTIF('AIAM-A'!$A:$A, $C224), AF$1, "")</f>
        <v/>
      </c>
      <c r="AG224" s="132" t="str">
        <f>IF(COUNTIF('AIAM-B'!$A:$A, $C224), AG$1, "")</f>
        <v/>
      </c>
      <c r="AH224" s="132" t="str">
        <f>IF(COUNTIF('SA-A'!$A:$A, $C224), AH$1, "")</f>
        <v>SPORTS ANALYTICS (A)</v>
      </c>
      <c r="AI224" s="132" t="str">
        <f>IF(COUNTIF('SA-B'!$A:$A, $C224), AI$1, "")</f>
        <v/>
      </c>
      <c r="AJ224" s="132" t="str">
        <f>IF(COUNTIF(CSM!$A:$A, $C224), AJ$1, "")</f>
        <v>Customer Success Management</v>
      </c>
      <c r="AK224" s="132" t="str">
        <f>IF(COUNTIF(EM!$A:$A, $C224), AK$1, "")</f>
        <v/>
      </c>
      <c r="AL224" s="132" t="str">
        <f>IF(COUNTIF(I4TS!$A:$A, $C224), AL$1, "")</f>
        <v>Industry 4.0 in Transport Sector</v>
      </c>
    </row>
    <row r="225" spans="1:38" ht="13">
      <c r="A225" s="131">
        <v>224</v>
      </c>
      <c r="B225" s="131" t="s">
        <v>904</v>
      </c>
      <c r="C225" s="131" t="s">
        <v>297</v>
      </c>
      <c r="D225" s="106" t="s">
        <v>979</v>
      </c>
      <c r="E225" s="106" t="s">
        <v>980</v>
      </c>
      <c r="F225" s="131">
        <f t="shared" ca="1" si="0"/>
        <v>5</v>
      </c>
      <c r="G225" s="106" t="str">
        <f ca="1">IFERROR(__xludf.DUMMYFUNCTION("INDEX(FILTER($P225:$AL225, $P225:$AL225 &lt;&gt; """"), 1)"),"Film &amp; the Firm: Visual Culture in Business Contexts (B)")</f>
        <v>Film &amp; the Firm: Visual Culture in Business Contexts (B)</v>
      </c>
      <c r="H225" s="106" t="str">
        <f ca="1">IFERROR(__xludf.DUMMYFUNCTION("INDEX(FILTER($P225:$AL225, $P225:$AL225 &lt;&gt; """"), 2)"),"SPORTS ANALYTICS (A)")</f>
        <v>SPORTS ANALYTICS (A)</v>
      </c>
      <c r="I225" s="106" t="str">
        <f ca="1">IFERROR(__xludf.DUMMYFUNCTION("INDEX(FILTER($P225:$AL225, $P225:$AL225 &lt;&gt; """"), 3)"),"Customer Success Management")</f>
        <v>Customer Success Management</v>
      </c>
      <c r="J225" s="106" t="str">
        <f ca="1">IFERROR(__xludf.DUMMYFUNCTION("IFERROR(INDEX(FILTER($P225:$AL225, $P225:$AL225 &lt;&gt; """"), 4),)"),"")</f>
        <v/>
      </c>
      <c r="K225" s="106" t="str">
        <f ca="1">IFERROR(__xludf.DUMMYFUNCTION("IFERROR(INDEX(FILTER($P225:$AL225, $P225:$AL225 &lt;&gt; """"), 5),)"),"")</f>
        <v/>
      </c>
      <c r="L225" s="107"/>
      <c r="M225" s="107"/>
      <c r="N225" s="107"/>
      <c r="O225" s="107"/>
      <c r="P225" s="132" t="str">
        <f>IF(COUNTIF('Fintech-A'!$A:$A, $C225), P$1, "")</f>
        <v/>
      </c>
      <c r="Q225" s="132" t="str">
        <f>IF(COUNTIF('Fintech-B'!$A:$A, $C225), Q$1, "")</f>
        <v/>
      </c>
      <c r="R225" s="132" t="str">
        <f>IF(COUNTIF('BEDM-A'!$A:$A, $C225), R$1, "")</f>
        <v/>
      </c>
      <c r="S225" s="132" t="str">
        <f>IF(COUNTIF('BEDM-B'!$A:$A, $C225), S$1, "")</f>
        <v/>
      </c>
      <c r="T225" s="132" t="str">
        <f>IF(COUNTIF('Art-A'!$A:$A, $C225), T$1, "")</f>
        <v/>
      </c>
      <c r="U225" s="132" t="str">
        <f>IF(COUNTIF('Art-B'!$A:$A, $C225), U$1, "")</f>
        <v/>
      </c>
      <c r="V225" s="132" t="str">
        <f>IF(COUNTIF('WH-A'!$A:$A, $C225), V$1, "")</f>
        <v/>
      </c>
      <c r="W225" s="132" t="str">
        <f>IF(COUNTIF('WH-B'!$A:$A, $C225), W$1, "")</f>
        <v/>
      </c>
      <c r="X225" s="132" t="str">
        <f>IF(COUNTIF(LETV!$A:$A, $C225), X$1, "")</f>
        <v/>
      </c>
      <c r="Y225" s="132" t="str">
        <f>IF(COUNTIF('Film&amp;Firm-A'!$A:$A, $C225), Y$1, "")</f>
        <v/>
      </c>
      <c r="Z225" s="132" t="str">
        <f>IF(COUNTIF('Film&amp;Firm-B'!$A:$A, $C225), Z$1, "")</f>
        <v>Film &amp; the Firm: Visual Culture in Business Contexts (B)</v>
      </c>
      <c r="AA225" s="132" t="str">
        <f>IF(COUNTIF(SHRM!$A:$A, $C225), AA$1, "")</f>
        <v/>
      </c>
      <c r="AB225" s="132" t="str">
        <f>IF(COUNTIF('SCM-A'!$A:$A, $C225), AB$1, "")</f>
        <v/>
      </c>
      <c r="AC225" s="132" t="str">
        <f>IF(COUNTIF('SCM-B'!$A:$A, $C225), AC$1, "")</f>
        <v/>
      </c>
      <c r="AD225" s="132" t="str">
        <f>IF(COUNTIF(AIS!$A:$A, $C225), AD$1, "")</f>
        <v/>
      </c>
      <c r="AE225" s="132" t="str">
        <f>IF(COUNTIF(EB!$A:$A, $C225), AE$1, "")</f>
        <v/>
      </c>
      <c r="AF225" s="132" t="str">
        <f>IF(COUNTIF('AIAM-A'!$A:$A, $C225), AF$1, "")</f>
        <v/>
      </c>
      <c r="AG225" s="132" t="str">
        <f>IF(COUNTIF('AIAM-B'!$A:$A, $C225), AG$1, "")</f>
        <v/>
      </c>
      <c r="AH225" s="132" t="str">
        <f>IF(COUNTIF('SA-A'!$A:$A, $C225), AH$1, "")</f>
        <v>SPORTS ANALYTICS (A)</v>
      </c>
      <c r="AI225" s="132" t="str">
        <f>IF(COUNTIF('SA-B'!$A:$A, $C225), AI$1, "")</f>
        <v/>
      </c>
      <c r="AJ225" s="132" t="str">
        <f>IF(COUNTIF(CSM!$A:$A, $C225), AJ$1, "")</f>
        <v>Customer Success Management</v>
      </c>
      <c r="AK225" s="132" t="str">
        <f>IF(COUNTIF(EM!$A:$A, $C225), AK$1, "")</f>
        <v/>
      </c>
      <c r="AL225" s="132" t="str">
        <f>IF(COUNTIF(I4TS!$A:$A, $C225), AL$1, "")</f>
        <v/>
      </c>
    </row>
    <row r="226" spans="1:38" ht="13">
      <c r="A226" s="131">
        <v>225</v>
      </c>
      <c r="B226" s="131" t="s">
        <v>904</v>
      </c>
      <c r="C226" s="131" t="s">
        <v>981</v>
      </c>
      <c r="D226" s="106" t="s">
        <v>982</v>
      </c>
      <c r="E226" s="106" t="s">
        <v>983</v>
      </c>
      <c r="F226" s="131">
        <f t="shared" ca="1" si="0"/>
        <v>5</v>
      </c>
      <c r="G226" s="106" t="str">
        <f ca="1">IFERROR(__xludf.DUMMYFUNCTION("INDEX(FILTER($P226:$AL226, $P226:$AL226 &lt;&gt; """"), 1)"),"Fintech (Digital Transformation in Finance) (A)")</f>
        <v>Fintech (Digital Transformation in Finance) (A)</v>
      </c>
      <c r="H226" s="106" t="str">
        <f ca="1">IFERROR(__xludf.DUMMYFUNCTION("INDEX(FILTER($P226:$AL226, $P226:$AL226 &lt;&gt; """"), 2)"),"Behavioural Economics and Decision-Making (A)")</f>
        <v>Behavioural Economics and Decision-Making (A)</v>
      </c>
      <c r="I226" s="106" t="str">
        <f ca="1">IFERROR(__xludf.DUMMYFUNCTION("INDEX(FILTER($P226:$AL226, $P226:$AL226 &lt;&gt; """"), 3)"),"The Art, Craft, and Science of Management: Learning through Classics and Best Collections (A)")</f>
        <v>The Art, Craft, and Science of Management: Learning through Classics and Best Collections (A)</v>
      </c>
      <c r="J226" s="106" t="str">
        <f ca="1">IFERROR(__xludf.DUMMYFUNCTION("IFERROR(INDEX(FILTER($P226:$AL226, $P226:$AL226 &lt;&gt; """"), 4),)"),"")</f>
        <v/>
      </c>
      <c r="K226" s="106" t="str">
        <f ca="1">IFERROR(__xludf.DUMMYFUNCTION("IFERROR(INDEX(FILTER($P226:$AL226, $P226:$AL226 &lt;&gt; """"), 5),)"),"")</f>
        <v/>
      </c>
      <c r="L226" s="107"/>
      <c r="M226" s="107"/>
      <c r="N226" s="107"/>
      <c r="O226" s="107"/>
      <c r="P226" s="132" t="str">
        <f>IF(COUNTIF('Fintech-A'!$A:$A, $C226), P$1, "")</f>
        <v>Fintech (Digital Transformation in Finance) (A)</v>
      </c>
      <c r="Q226" s="132" t="str">
        <f>IF(COUNTIF('Fintech-B'!$A:$A, $C226), Q$1, "")</f>
        <v/>
      </c>
      <c r="R226" s="132" t="str">
        <f>IF(COUNTIF('BEDM-A'!$A:$A, $C226), R$1, "")</f>
        <v>Behavioural Economics and Decision-Making (A)</v>
      </c>
      <c r="S226" s="132" t="str">
        <f>IF(COUNTIF('BEDM-B'!$A:$A, $C226), S$1, "")</f>
        <v/>
      </c>
      <c r="T226" s="132" t="str">
        <f>IF(COUNTIF('Art-A'!$A:$A, $C226), T$1, "")</f>
        <v>The Art, Craft, and Science of Management: Learning through Classics and Best Collections (A)</v>
      </c>
      <c r="U226" s="132" t="str">
        <f>IF(COUNTIF('Art-B'!$A:$A, $C226), U$1, "")</f>
        <v/>
      </c>
      <c r="V226" s="132" t="str">
        <f>IF(COUNTIF('WH-A'!$A:$A, $C226), V$1, "")</f>
        <v/>
      </c>
      <c r="W226" s="132" t="str">
        <f>IF(COUNTIF('WH-B'!$A:$A, $C226), W$1, "")</f>
        <v/>
      </c>
      <c r="X226" s="132" t="str">
        <f>IF(COUNTIF(LETV!$A:$A, $C226), X$1, "")</f>
        <v/>
      </c>
      <c r="Y226" s="132" t="str">
        <f>IF(COUNTIF('Film&amp;Firm-A'!$A:$A, $C226), Y$1, "")</f>
        <v/>
      </c>
      <c r="Z226" s="132" t="str">
        <f>IF(COUNTIF('Film&amp;Firm-B'!$A:$A, $C226), Z$1, "")</f>
        <v/>
      </c>
      <c r="AA226" s="132" t="str">
        <f>IF(COUNTIF(SHRM!$A:$A, $C226), AA$1, "")</f>
        <v/>
      </c>
      <c r="AB226" s="132" t="str">
        <f>IF(COUNTIF('SCM-A'!$A:$A, $C226), AB$1, "")</f>
        <v/>
      </c>
      <c r="AC226" s="132" t="str">
        <f>IF(COUNTIF('SCM-B'!$A:$A, $C226), AC$1, "")</f>
        <v/>
      </c>
      <c r="AD226" s="132" t="str">
        <f>IF(COUNTIF(AIS!$A:$A, $C226), AD$1, "")</f>
        <v/>
      </c>
      <c r="AE226" s="132" t="str">
        <f>IF(COUNTIF(EB!$A:$A, $C226), AE$1, "")</f>
        <v/>
      </c>
      <c r="AF226" s="132" t="str">
        <f>IF(COUNTIF('AIAM-A'!$A:$A, $C226), AF$1, "")</f>
        <v/>
      </c>
      <c r="AG226" s="132" t="str">
        <f>IF(COUNTIF('AIAM-B'!$A:$A, $C226), AG$1, "")</f>
        <v/>
      </c>
      <c r="AH226" s="132" t="str">
        <f>IF(COUNTIF('SA-A'!$A:$A, $C226), AH$1, "")</f>
        <v/>
      </c>
      <c r="AI226" s="132" t="str">
        <f>IF(COUNTIF('SA-B'!$A:$A, $C226), AI$1, "")</f>
        <v/>
      </c>
      <c r="AJ226" s="132" t="str">
        <f>IF(COUNTIF(CSM!$A:$A, $C226), AJ$1, "")</f>
        <v/>
      </c>
      <c r="AK226" s="132" t="str">
        <f>IF(COUNTIF(EM!$A:$A, $C226), AK$1, "")</f>
        <v/>
      </c>
      <c r="AL226" s="132" t="str">
        <f>IF(COUNTIF(I4TS!$A:$A, $C226), AL$1, "")</f>
        <v/>
      </c>
    </row>
    <row r="227" spans="1:38" ht="13">
      <c r="A227" s="131">
        <v>226</v>
      </c>
      <c r="B227" s="131" t="s">
        <v>904</v>
      </c>
      <c r="C227" s="131" t="s">
        <v>984</v>
      </c>
      <c r="D227" s="106" t="s">
        <v>985</v>
      </c>
      <c r="E227" s="106" t="s">
        <v>986</v>
      </c>
      <c r="F227" s="131">
        <f t="shared" ca="1" si="0"/>
        <v>5</v>
      </c>
      <c r="G227" s="106" t="str">
        <f ca="1">IFERROR(__xludf.DUMMYFUNCTION("INDEX(FILTER($P227:$AL227, $P227:$AL227 &lt;&gt; """"), 1)"),"Employer Branding")</f>
        <v>Employer Branding</v>
      </c>
      <c r="H227" s="106" t="str">
        <f ca="1">IFERROR(__xludf.DUMMYFUNCTION("INDEX(FILTER($P227:$AL227, $P227:$AL227 &lt;&gt; """"), 2)"),"AI Applications in Marketing (B)")</f>
        <v>AI Applications in Marketing (B)</v>
      </c>
      <c r="I227" s="106" t="str">
        <f ca="1">IFERROR(__xludf.DUMMYFUNCTION("INDEX(FILTER($P227:$AL227, $P227:$AL227 &lt;&gt; """"), 3)"),"Industry 4.0 in Transport Sector")</f>
        <v>Industry 4.0 in Transport Sector</v>
      </c>
      <c r="J227" s="106" t="str">
        <f ca="1">IFERROR(__xludf.DUMMYFUNCTION("IFERROR(INDEX(FILTER($P227:$AL227, $P227:$AL227 &lt;&gt; """"), 4),)"),"")</f>
        <v/>
      </c>
      <c r="K227" s="106" t="str">
        <f ca="1">IFERROR(__xludf.DUMMYFUNCTION("IFERROR(INDEX(FILTER($P227:$AL227, $P227:$AL227 &lt;&gt; """"), 5),)"),"")</f>
        <v/>
      </c>
      <c r="L227" s="107"/>
      <c r="M227" s="107"/>
      <c r="N227" s="107"/>
      <c r="O227" s="107"/>
      <c r="P227" s="132" t="str">
        <f>IF(COUNTIF('Fintech-A'!$A:$A, $C227), P$1, "")</f>
        <v/>
      </c>
      <c r="Q227" s="132" t="str">
        <f>IF(COUNTIF('Fintech-B'!$A:$A, $C227), Q$1, "")</f>
        <v/>
      </c>
      <c r="R227" s="132" t="str">
        <f>IF(COUNTIF('BEDM-A'!$A:$A, $C227), R$1, "")</f>
        <v/>
      </c>
      <c r="S227" s="132" t="str">
        <f>IF(COUNTIF('BEDM-B'!$A:$A, $C227), S$1, "")</f>
        <v/>
      </c>
      <c r="T227" s="132" t="str">
        <f>IF(COUNTIF('Art-A'!$A:$A, $C227), T$1, "")</f>
        <v/>
      </c>
      <c r="U227" s="132" t="str">
        <f>IF(COUNTIF('Art-B'!$A:$A, $C227), U$1, "")</f>
        <v/>
      </c>
      <c r="V227" s="132" t="str">
        <f>IF(COUNTIF('WH-A'!$A:$A, $C227), V$1, "")</f>
        <v/>
      </c>
      <c r="W227" s="132" t="str">
        <f>IF(COUNTIF('WH-B'!$A:$A, $C227), W$1, "")</f>
        <v/>
      </c>
      <c r="X227" s="132" t="str">
        <f>IF(COUNTIF(LETV!$A:$A, $C227), X$1, "")</f>
        <v/>
      </c>
      <c r="Y227" s="132" t="str">
        <f>IF(COUNTIF('Film&amp;Firm-A'!$A:$A, $C227), Y$1, "")</f>
        <v/>
      </c>
      <c r="Z227" s="132" t="str">
        <f>IF(COUNTIF('Film&amp;Firm-B'!$A:$A, $C227), Z$1, "")</f>
        <v/>
      </c>
      <c r="AA227" s="132" t="str">
        <f>IF(COUNTIF(SHRM!$A:$A, $C227), AA$1, "")</f>
        <v/>
      </c>
      <c r="AB227" s="132" t="str">
        <f>IF(COUNTIF('SCM-A'!$A:$A, $C227), AB$1, "")</f>
        <v/>
      </c>
      <c r="AC227" s="132" t="str">
        <f>IF(COUNTIF('SCM-B'!$A:$A, $C227), AC$1, "")</f>
        <v/>
      </c>
      <c r="AD227" s="132" t="str">
        <f>IF(COUNTIF(AIS!$A:$A, $C227), AD$1, "")</f>
        <v/>
      </c>
      <c r="AE227" s="132" t="str">
        <f>IF(COUNTIF(EB!$A:$A, $C227), AE$1, "")</f>
        <v>Employer Branding</v>
      </c>
      <c r="AF227" s="132" t="str">
        <f>IF(COUNTIF('AIAM-A'!$A:$A, $C227), AF$1, "")</f>
        <v/>
      </c>
      <c r="AG227" s="132" t="str">
        <f>IF(COUNTIF('AIAM-B'!$A:$A, $C227), AG$1, "")</f>
        <v>AI Applications in Marketing (B)</v>
      </c>
      <c r="AH227" s="132" t="str">
        <f>IF(COUNTIF('SA-A'!$A:$A, $C227), AH$1, "")</f>
        <v/>
      </c>
      <c r="AI227" s="132" t="str">
        <f>IF(COUNTIF('SA-B'!$A:$A, $C227), AI$1, "")</f>
        <v/>
      </c>
      <c r="AJ227" s="132" t="str">
        <f>IF(COUNTIF(CSM!$A:$A, $C227), AJ$1, "")</f>
        <v/>
      </c>
      <c r="AK227" s="132" t="str">
        <f>IF(COUNTIF(EM!$A:$A, $C227), AK$1, "")</f>
        <v/>
      </c>
      <c r="AL227" s="132" t="str">
        <f>IF(COUNTIF(I4TS!$A:$A, $C227), AL$1, "")</f>
        <v>Industry 4.0 in Transport Sector</v>
      </c>
    </row>
    <row r="228" spans="1:38" ht="13">
      <c r="A228" s="131">
        <v>227</v>
      </c>
      <c r="B228" s="131" t="s">
        <v>904</v>
      </c>
      <c r="C228" s="131" t="s">
        <v>299</v>
      </c>
      <c r="D228" s="106" t="s">
        <v>987</v>
      </c>
      <c r="E228" s="106" t="s">
        <v>988</v>
      </c>
      <c r="F228" s="131">
        <f t="shared" ca="1" si="0"/>
        <v>5</v>
      </c>
      <c r="G228" s="106" t="str">
        <f ca="1">IFERROR(__xludf.DUMMYFUNCTION("INDEX(FILTER($P228:$AL228, $P228:$AL228 &lt;&gt; """"), 1)"),"Leadership Excellence Through Values : Wisdom from the Mahabharata")</f>
        <v>Leadership Excellence Through Values : Wisdom from the Mahabharata</v>
      </c>
      <c r="H228" s="106" t="str">
        <f ca="1">IFERROR(__xludf.DUMMYFUNCTION("INDEX(FILTER($P228:$AL228, $P228:$AL228 &lt;&gt; """"), 2)"),"Film &amp; the Firm: Visual Culture in Business Contexts (B)")</f>
        <v>Film &amp; the Firm: Visual Culture in Business Contexts (B)</v>
      </c>
      <c r="I228" s="106" t="str">
        <f ca="1">IFERROR(__xludf.DUMMYFUNCTION("INDEX(FILTER($P228:$AL228, $P228:$AL228 &lt;&gt; """"), 3)"),"Entrepreneurial Marketing")</f>
        <v>Entrepreneurial Marketing</v>
      </c>
      <c r="J228" s="106" t="str">
        <f ca="1">IFERROR(__xludf.DUMMYFUNCTION("IFERROR(INDEX(FILTER($P228:$AL228, $P228:$AL228 &lt;&gt; """"), 4),)"),"")</f>
        <v/>
      </c>
      <c r="K228" s="106" t="str">
        <f ca="1">IFERROR(__xludf.DUMMYFUNCTION("IFERROR(INDEX(FILTER($P228:$AL228, $P228:$AL228 &lt;&gt; """"), 5),)"),"")</f>
        <v/>
      </c>
      <c r="L228" s="107"/>
      <c r="M228" s="107"/>
      <c r="N228" s="107"/>
      <c r="O228" s="107"/>
      <c r="P228" s="132" t="str">
        <f>IF(COUNTIF('Fintech-A'!$A:$A, $C228), P$1, "")</f>
        <v/>
      </c>
      <c r="Q228" s="132" t="str">
        <f>IF(COUNTIF('Fintech-B'!$A:$A, $C228), Q$1, "")</f>
        <v/>
      </c>
      <c r="R228" s="132" t="str">
        <f>IF(COUNTIF('BEDM-A'!$A:$A, $C228), R$1, "")</f>
        <v/>
      </c>
      <c r="S228" s="132" t="str">
        <f>IF(COUNTIF('BEDM-B'!$A:$A, $C228), S$1, "")</f>
        <v/>
      </c>
      <c r="T228" s="132" t="str">
        <f>IF(COUNTIF('Art-A'!$A:$A, $C228), T$1, "")</f>
        <v/>
      </c>
      <c r="U228" s="132" t="str">
        <f>IF(COUNTIF('Art-B'!$A:$A, $C228), U$1, "")</f>
        <v/>
      </c>
      <c r="V228" s="132" t="str">
        <f>IF(COUNTIF('WH-A'!$A:$A, $C228), V$1, "")</f>
        <v/>
      </c>
      <c r="W228" s="132" t="str">
        <f>IF(COUNTIF('WH-B'!$A:$A, $C228), W$1, "")</f>
        <v/>
      </c>
      <c r="X228" s="132" t="str">
        <f>IF(COUNTIF(LETV!$A:$A, $C228), X$1, "")</f>
        <v>Leadership Excellence Through Values : Wisdom from the Mahabharata</v>
      </c>
      <c r="Y228" s="132" t="str">
        <f>IF(COUNTIF('Film&amp;Firm-A'!$A:$A, $C228), Y$1, "")</f>
        <v/>
      </c>
      <c r="Z228" s="132" t="str">
        <f>IF(COUNTIF('Film&amp;Firm-B'!$A:$A, $C228), Z$1, "")</f>
        <v>Film &amp; the Firm: Visual Culture in Business Contexts (B)</v>
      </c>
      <c r="AA228" s="132" t="str">
        <f>IF(COUNTIF(SHRM!$A:$A, $C228), AA$1, "")</f>
        <v/>
      </c>
      <c r="AB228" s="132" t="str">
        <f>IF(COUNTIF('SCM-A'!$A:$A, $C228), AB$1, "")</f>
        <v/>
      </c>
      <c r="AC228" s="132" t="str">
        <f>IF(COUNTIF('SCM-B'!$A:$A, $C228), AC$1, "")</f>
        <v/>
      </c>
      <c r="AD228" s="132" t="str">
        <f>IF(COUNTIF(AIS!$A:$A, $C228), AD$1, "")</f>
        <v/>
      </c>
      <c r="AE228" s="132" t="str">
        <f>IF(COUNTIF(EB!$A:$A, $C228), AE$1, "")</f>
        <v/>
      </c>
      <c r="AF228" s="132" t="str">
        <f>IF(COUNTIF('AIAM-A'!$A:$A, $C228), AF$1, "")</f>
        <v/>
      </c>
      <c r="AG228" s="132" t="str">
        <f>IF(COUNTIF('AIAM-B'!$A:$A, $C228), AG$1, "")</f>
        <v/>
      </c>
      <c r="AH228" s="132" t="str">
        <f>IF(COUNTIF('SA-A'!$A:$A, $C228), AH$1, "")</f>
        <v/>
      </c>
      <c r="AI228" s="132" t="str">
        <f>IF(COUNTIF('SA-B'!$A:$A, $C228), AI$1, "")</f>
        <v/>
      </c>
      <c r="AJ228" s="132" t="str">
        <f>IF(COUNTIF(CSM!$A:$A, $C228), AJ$1, "")</f>
        <v/>
      </c>
      <c r="AK228" s="132" t="str">
        <f>IF(COUNTIF(EM!$A:$A, $C228), AK$1, "")</f>
        <v>Entrepreneurial Marketing</v>
      </c>
      <c r="AL228" s="132" t="str">
        <f>IF(COUNTIF(I4TS!$A:$A, $C228), AL$1, "")</f>
        <v/>
      </c>
    </row>
    <row r="229" spans="1:38" ht="13">
      <c r="A229" s="131">
        <v>228</v>
      </c>
      <c r="B229" s="131" t="s">
        <v>904</v>
      </c>
      <c r="C229" s="131" t="s">
        <v>989</v>
      </c>
      <c r="D229" s="106" t="s">
        <v>990</v>
      </c>
      <c r="E229" s="106" t="s">
        <v>991</v>
      </c>
      <c r="F229" s="131">
        <f t="shared" ca="1" si="0"/>
        <v>5</v>
      </c>
      <c r="G229" s="106" t="str">
        <f ca="1">IFERROR(__xludf.DUMMYFUNCTION("INDEX(FILTER($P229:$AL229, $P229:$AL229 &lt;&gt; """"), 1)"),"Workplace Happiness: Science &amp; Practice (B)")</f>
        <v>Workplace Happiness: Science &amp; Practice (B)</v>
      </c>
      <c r="H229" s="106" t="str">
        <f ca="1">IFERROR(__xludf.DUMMYFUNCTION("INDEX(FILTER($P229:$AL229, $P229:$AL229 &lt;&gt; """"), 2)"),"Strategic HRM")</f>
        <v>Strategic HRM</v>
      </c>
      <c r="I229" s="106" t="str">
        <f ca="1">IFERROR(__xludf.DUMMYFUNCTION("INDEX(FILTER($P229:$AL229, $P229:$AL229 &lt;&gt; """"), 3)"),"Strategic Career Management (A)")</f>
        <v>Strategic Career Management (A)</v>
      </c>
      <c r="J229" s="106" t="str">
        <f ca="1">IFERROR(__xludf.DUMMYFUNCTION("IFERROR(INDEX(FILTER($P229:$AL229, $P229:$AL229 &lt;&gt; """"), 4),)"),"")</f>
        <v/>
      </c>
      <c r="K229" s="106" t="str">
        <f ca="1">IFERROR(__xludf.DUMMYFUNCTION("IFERROR(INDEX(FILTER($P229:$AL229, $P229:$AL229 &lt;&gt; """"), 5),)"),"")</f>
        <v/>
      </c>
      <c r="L229" s="107"/>
      <c r="M229" s="107"/>
      <c r="N229" s="107"/>
      <c r="O229" s="107"/>
      <c r="P229" s="132" t="str">
        <f>IF(COUNTIF('Fintech-A'!$A:$A, $C229), P$1, "")</f>
        <v/>
      </c>
      <c r="Q229" s="132" t="str">
        <f>IF(COUNTIF('Fintech-B'!$A:$A, $C229), Q$1, "")</f>
        <v/>
      </c>
      <c r="R229" s="132" t="str">
        <f>IF(COUNTIF('BEDM-A'!$A:$A, $C229), R$1, "")</f>
        <v/>
      </c>
      <c r="S229" s="132" t="str">
        <f>IF(COUNTIF('BEDM-B'!$A:$A, $C229), S$1, "")</f>
        <v/>
      </c>
      <c r="T229" s="132" t="str">
        <f>IF(COUNTIF('Art-A'!$A:$A, $C229), T$1, "")</f>
        <v/>
      </c>
      <c r="U229" s="132" t="str">
        <f>IF(COUNTIF('Art-B'!$A:$A, $C229), U$1, "")</f>
        <v/>
      </c>
      <c r="V229" s="132" t="str">
        <f>IF(COUNTIF('WH-A'!$A:$A, $C229), V$1, "")</f>
        <v/>
      </c>
      <c r="W229" s="132" t="str">
        <f>IF(COUNTIF('WH-B'!$A:$A, $C229), W$1, "")</f>
        <v>Workplace Happiness: Science &amp; Practice (B)</v>
      </c>
      <c r="X229" s="132" t="str">
        <f>IF(COUNTIF(LETV!$A:$A, $C229), X$1, "")</f>
        <v/>
      </c>
      <c r="Y229" s="132" t="str">
        <f>IF(COUNTIF('Film&amp;Firm-A'!$A:$A, $C229), Y$1, "")</f>
        <v/>
      </c>
      <c r="Z229" s="132" t="str">
        <f>IF(COUNTIF('Film&amp;Firm-B'!$A:$A, $C229), Z$1, "")</f>
        <v/>
      </c>
      <c r="AA229" s="132" t="str">
        <f>IF(COUNTIF(SHRM!$A:$A, $C229), AA$1, "")</f>
        <v>Strategic HRM</v>
      </c>
      <c r="AB229" s="132" t="str">
        <f>IF(COUNTIF('SCM-A'!$A:$A, $C229), AB$1, "")</f>
        <v>Strategic Career Management (A)</v>
      </c>
      <c r="AC229" s="132" t="str">
        <f>IF(COUNTIF('SCM-B'!$A:$A, $C229), AC$1, "")</f>
        <v/>
      </c>
      <c r="AD229" s="132" t="str">
        <f>IF(COUNTIF(AIS!$A:$A, $C229), AD$1, "")</f>
        <v/>
      </c>
      <c r="AE229" s="132" t="str">
        <f>IF(COUNTIF(EB!$A:$A, $C229), AE$1, "")</f>
        <v/>
      </c>
      <c r="AF229" s="132" t="str">
        <f>IF(COUNTIF('AIAM-A'!$A:$A, $C229), AF$1, "")</f>
        <v/>
      </c>
      <c r="AG229" s="132" t="str">
        <f>IF(COUNTIF('AIAM-B'!$A:$A, $C229), AG$1, "")</f>
        <v/>
      </c>
      <c r="AH229" s="132" t="str">
        <f>IF(COUNTIF('SA-A'!$A:$A, $C229), AH$1, "")</f>
        <v/>
      </c>
      <c r="AI229" s="132" t="str">
        <f>IF(COUNTIF('SA-B'!$A:$A, $C229), AI$1, "")</f>
        <v/>
      </c>
      <c r="AJ229" s="132" t="str">
        <f>IF(COUNTIF(CSM!$A:$A, $C229), AJ$1, "")</f>
        <v/>
      </c>
      <c r="AK229" s="132" t="str">
        <f>IF(COUNTIF(EM!$A:$A, $C229), AK$1, "")</f>
        <v/>
      </c>
      <c r="AL229" s="132" t="str">
        <f>IF(COUNTIF(I4TS!$A:$A, $C229), AL$1, "")</f>
        <v/>
      </c>
    </row>
    <row r="230" spans="1:38" ht="13">
      <c r="A230" s="131">
        <v>229</v>
      </c>
      <c r="B230" s="131" t="s">
        <v>904</v>
      </c>
      <c r="C230" s="131" t="s">
        <v>992</v>
      </c>
      <c r="D230" s="106" t="s">
        <v>993</v>
      </c>
      <c r="E230" s="106" t="s">
        <v>994</v>
      </c>
      <c r="F230" s="131">
        <f t="shared" ca="1" si="0"/>
        <v>5</v>
      </c>
      <c r="G230" s="106" t="str">
        <f ca="1">IFERROR(__xludf.DUMMYFUNCTION("INDEX(FILTER($P230:$AL230, $P230:$AL230 &lt;&gt; """"), 1)"),"Workplace Happiness: Science &amp; Practice (A)")</f>
        <v>Workplace Happiness: Science &amp; Practice (A)</v>
      </c>
      <c r="H230" s="106" t="str">
        <f ca="1">IFERROR(__xludf.DUMMYFUNCTION("INDEX(FILTER($P230:$AL230, $P230:$AL230 &lt;&gt; """"), 2)"),"Strategic Career Management (B)")</f>
        <v>Strategic Career Management (B)</v>
      </c>
      <c r="I230" s="106" t="str">
        <f ca="1">IFERROR(__xludf.DUMMYFUNCTION("INDEX(FILTER($P230:$AL230, $P230:$AL230 &lt;&gt; """"), 3)"),"AI Applications in Marketing (A)")</f>
        <v>AI Applications in Marketing (A)</v>
      </c>
      <c r="J230" s="106" t="str">
        <f ca="1">IFERROR(__xludf.DUMMYFUNCTION("IFERROR(INDEX(FILTER($P230:$AL230, $P230:$AL230 &lt;&gt; """"), 4),)"),"")</f>
        <v/>
      </c>
      <c r="K230" s="106" t="str">
        <f ca="1">IFERROR(__xludf.DUMMYFUNCTION("IFERROR(INDEX(FILTER($P230:$AL230, $P230:$AL230 &lt;&gt; """"), 5),)"),"")</f>
        <v/>
      </c>
      <c r="L230" s="107"/>
      <c r="M230" s="107"/>
      <c r="N230" s="107"/>
      <c r="O230" s="107"/>
      <c r="P230" s="132" t="str">
        <f>IF(COUNTIF('Fintech-A'!$A:$A, $C230), P$1, "")</f>
        <v/>
      </c>
      <c r="Q230" s="132" t="str">
        <f>IF(COUNTIF('Fintech-B'!$A:$A, $C230), Q$1, "")</f>
        <v/>
      </c>
      <c r="R230" s="132" t="str">
        <f>IF(COUNTIF('BEDM-A'!$A:$A, $C230), R$1, "")</f>
        <v/>
      </c>
      <c r="S230" s="132" t="str">
        <f>IF(COUNTIF('BEDM-B'!$A:$A, $C230), S$1, "")</f>
        <v/>
      </c>
      <c r="T230" s="132" t="str">
        <f>IF(COUNTIF('Art-A'!$A:$A, $C230), T$1, "")</f>
        <v/>
      </c>
      <c r="U230" s="132" t="str">
        <f>IF(COUNTIF('Art-B'!$A:$A, $C230), U$1, "")</f>
        <v/>
      </c>
      <c r="V230" s="132" t="str">
        <f>IF(COUNTIF('WH-A'!$A:$A, $C230), V$1, "")</f>
        <v>Workplace Happiness: Science &amp; Practice (A)</v>
      </c>
      <c r="W230" s="132" t="str">
        <f>IF(COUNTIF('WH-B'!$A:$A, $C230), W$1, "")</f>
        <v/>
      </c>
      <c r="X230" s="132" t="str">
        <f>IF(COUNTIF(LETV!$A:$A, $C230), X$1, "")</f>
        <v/>
      </c>
      <c r="Y230" s="132" t="str">
        <f>IF(COUNTIF('Film&amp;Firm-A'!$A:$A, $C230), Y$1, "")</f>
        <v/>
      </c>
      <c r="Z230" s="132" t="str">
        <f>IF(COUNTIF('Film&amp;Firm-B'!$A:$A, $C230), Z$1, "")</f>
        <v/>
      </c>
      <c r="AA230" s="132" t="str">
        <f>IF(COUNTIF(SHRM!$A:$A, $C230), AA$1, "")</f>
        <v/>
      </c>
      <c r="AB230" s="132" t="str">
        <f>IF(COUNTIF('SCM-A'!$A:$A, $C230), AB$1, "")</f>
        <v/>
      </c>
      <c r="AC230" s="132" t="str">
        <f>IF(COUNTIF('SCM-B'!$A:$A, $C230), AC$1, "")</f>
        <v>Strategic Career Management (B)</v>
      </c>
      <c r="AD230" s="132" t="str">
        <f>IF(COUNTIF(AIS!$A:$A, $C230), AD$1, "")</f>
        <v/>
      </c>
      <c r="AE230" s="132" t="str">
        <f>IF(COUNTIF(EB!$A:$A, $C230), AE$1, "")</f>
        <v/>
      </c>
      <c r="AF230" s="132" t="str">
        <f>IF(COUNTIF('AIAM-A'!$A:$A, $C230), AF$1, "")</f>
        <v>AI Applications in Marketing (A)</v>
      </c>
      <c r="AG230" s="132" t="str">
        <f>IF(COUNTIF('AIAM-B'!$A:$A, $C230), AG$1, "")</f>
        <v/>
      </c>
      <c r="AH230" s="132" t="str">
        <f>IF(COUNTIF('SA-A'!$A:$A, $C230), AH$1, "")</f>
        <v/>
      </c>
      <c r="AI230" s="132" t="str">
        <f>IF(COUNTIF('SA-B'!$A:$A, $C230), AI$1, "")</f>
        <v/>
      </c>
      <c r="AJ230" s="132" t="str">
        <f>IF(COUNTIF(CSM!$A:$A, $C230), AJ$1, "")</f>
        <v/>
      </c>
      <c r="AK230" s="132" t="str">
        <f>IF(COUNTIF(EM!$A:$A, $C230), AK$1, "")</f>
        <v/>
      </c>
      <c r="AL230" s="132" t="str">
        <f>IF(COUNTIF(I4TS!$A:$A, $C230), AL$1, "")</f>
        <v/>
      </c>
    </row>
    <row r="231" spans="1:38" ht="13">
      <c r="A231" s="131">
        <v>230</v>
      </c>
      <c r="B231" s="131" t="s">
        <v>904</v>
      </c>
      <c r="C231" s="131" t="s">
        <v>300</v>
      </c>
      <c r="D231" s="106" t="s">
        <v>995</v>
      </c>
      <c r="E231" s="106" t="s">
        <v>996</v>
      </c>
      <c r="F231" s="131">
        <f t="shared" ca="1" si="0"/>
        <v>5</v>
      </c>
      <c r="G231" s="106" t="str">
        <f ca="1">IFERROR(__xludf.DUMMYFUNCTION("INDEX(FILTER($P231:$AL231, $P231:$AL231 &lt;&gt; """"), 1)"),"Fintech (Digital Transformation in Finance) (A)")</f>
        <v>Fintech (Digital Transformation in Finance) (A)</v>
      </c>
      <c r="H231" s="106" t="str">
        <f ca="1">IFERROR(__xludf.DUMMYFUNCTION("INDEX(FILTER($P231:$AL231, $P231:$AL231 &lt;&gt; """"), 2)"),"Behavioural Economics and Decision-Making (A)")</f>
        <v>Behavioural Economics and Decision-Making (A)</v>
      </c>
      <c r="I231" s="106" t="str">
        <f ca="1">IFERROR(__xludf.DUMMYFUNCTION("INDEX(FILTER($P231:$AL231, $P231:$AL231 &lt;&gt; """"), 3)"),"AI AND  STRATEGY")</f>
        <v>AI AND  STRATEGY</v>
      </c>
      <c r="J231" s="106" t="str">
        <f ca="1">IFERROR(__xludf.DUMMYFUNCTION("IFERROR(INDEX(FILTER($P231:$AL231, $P231:$AL231 &lt;&gt; """"), 4),)"),"")</f>
        <v/>
      </c>
      <c r="K231" s="106" t="str">
        <f ca="1">IFERROR(__xludf.DUMMYFUNCTION("IFERROR(INDEX(FILTER($P231:$AL231, $P231:$AL231 &lt;&gt; """"), 5),)"),"")</f>
        <v/>
      </c>
      <c r="L231" s="107"/>
      <c r="M231" s="107"/>
      <c r="N231" s="107"/>
      <c r="O231" s="107"/>
      <c r="P231" s="132" t="str">
        <f>IF(COUNTIF('Fintech-A'!$A:$A, $C231), P$1, "")</f>
        <v>Fintech (Digital Transformation in Finance) (A)</v>
      </c>
      <c r="Q231" s="132" t="str">
        <f>IF(COUNTIF('Fintech-B'!$A:$A, $C231), Q$1, "")</f>
        <v/>
      </c>
      <c r="R231" s="132" t="str">
        <f>IF(COUNTIF('BEDM-A'!$A:$A, $C231), R$1, "")</f>
        <v>Behavioural Economics and Decision-Making (A)</v>
      </c>
      <c r="S231" s="132" t="str">
        <f>IF(COUNTIF('BEDM-B'!$A:$A, $C231), S$1, "")</f>
        <v/>
      </c>
      <c r="T231" s="132" t="str">
        <f>IF(COUNTIF('Art-A'!$A:$A, $C231), T$1, "")</f>
        <v/>
      </c>
      <c r="U231" s="132" t="str">
        <f>IF(COUNTIF('Art-B'!$A:$A, $C231), U$1, "")</f>
        <v/>
      </c>
      <c r="V231" s="132" t="str">
        <f>IF(COUNTIF('WH-A'!$A:$A, $C231), V$1, "")</f>
        <v/>
      </c>
      <c r="W231" s="132" t="str">
        <f>IF(COUNTIF('WH-B'!$A:$A, $C231), W$1, "")</f>
        <v/>
      </c>
      <c r="X231" s="132" t="str">
        <f>IF(COUNTIF(LETV!$A:$A, $C231), X$1, "")</f>
        <v/>
      </c>
      <c r="Y231" s="132" t="str">
        <f>IF(COUNTIF('Film&amp;Firm-A'!$A:$A, $C231), Y$1, "")</f>
        <v/>
      </c>
      <c r="Z231" s="132" t="str">
        <f>IF(COUNTIF('Film&amp;Firm-B'!$A:$A, $C231), Z$1, "")</f>
        <v/>
      </c>
      <c r="AA231" s="132" t="str">
        <f>IF(COUNTIF(SHRM!$A:$A, $C231), AA$1, "")</f>
        <v/>
      </c>
      <c r="AB231" s="132" t="str">
        <f>IF(COUNTIF('SCM-A'!$A:$A, $C231), AB$1, "")</f>
        <v/>
      </c>
      <c r="AC231" s="132" t="str">
        <f>IF(COUNTIF('SCM-B'!$A:$A, $C231), AC$1, "")</f>
        <v/>
      </c>
      <c r="AD231" s="132" t="str">
        <f>IF(COUNTIF(AIS!$A:$A, $C231), AD$1, "")</f>
        <v>AI AND  STRATEGY</v>
      </c>
      <c r="AE231" s="132" t="str">
        <f>IF(COUNTIF(EB!$A:$A, $C231), AE$1, "")</f>
        <v/>
      </c>
      <c r="AF231" s="132" t="str">
        <f>IF(COUNTIF('AIAM-A'!$A:$A, $C231), AF$1, "")</f>
        <v/>
      </c>
      <c r="AG231" s="132" t="str">
        <f>IF(COUNTIF('AIAM-B'!$A:$A, $C231), AG$1, "")</f>
        <v/>
      </c>
      <c r="AH231" s="132" t="str">
        <f>IF(COUNTIF('SA-A'!$A:$A, $C231), AH$1, "")</f>
        <v/>
      </c>
      <c r="AI231" s="132" t="str">
        <f>IF(COUNTIF('SA-B'!$A:$A, $C231), AI$1, "")</f>
        <v/>
      </c>
      <c r="AJ231" s="132" t="str">
        <f>IF(COUNTIF(CSM!$A:$A, $C231), AJ$1, "")</f>
        <v/>
      </c>
      <c r="AK231" s="132" t="str">
        <f>IF(COUNTIF(EM!$A:$A, $C231), AK$1, "")</f>
        <v/>
      </c>
      <c r="AL231" s="132" t="str">
        <f>IF(COUNTIF(I4TS!$A:$A, $C231), AL$1, "")</f>
        <v/>
      </c>
    </row>
    <row r="232" spans="1:38" ht="13">
      <c r="A232" s="131">
        <v>231</v>
      </c>
      <c r="B232" s="131" t="s">
        <v>904</v>
      </c>
      <c r="C232" s="131" t="s">
        <v>997</v>
      </c>
      <c r="D232" s="106" t="s">
        <v>998</v>
      </c>
      <c r="E232" s="106" t="s">
        <v>999</v>
      </c>
      <c r="F232" s="131">
        <f t="shared" ca="1" si="0"/>
        <v>5</v>
      </c>
      <c r="G232" s="106" t="str">
        <f ca="1">IFERROR(__xludf.DUMMYFUNCTION("INDEX(FILTER($P232:$AL232, $P232:$AL232 &lt;&gt; """"), 1)"),"Film &amp; the Firm: Visual Culture in Business Contexts (A)")</f>
        <v>Film &amp; the Firm: Visual Culture in Business Contexts (A)</v>
      </c>
      <c r="H232" s="106" t="str">
        <f ca="1">IFERROR(__xludf.DUMMYFUNCTION("INDEX(FILTER($P232:$AL232, $P232:$AL232 &lt;&gt; """"), 2)"),"AI AND  STRATEGY")</f>
        <v>AI AND  STRATEGY</v>
      </c>
      <c r="I232" s="106" t="str">
        <f ca="1">IFERROR(__xludf.DUMMYFUNCTION("INDEX(FILTER($P232:$AL232, $P232:$AL232 &lt;&gt; """"), 3)"),"AI Applications in Marketing (B)")</f>
        <v>AI Applications in Marketing (B)</v>
      </c>
      <c r="J232" s="106" t="str">
        <f ca="1">IFERROR(__xludf.DUMMYFUNCTION("IFERROR(INDEX(FILTER($P232:$AL232, $P232:$AL232 &lt;&gt; """"), 4),)"),"")</f>
        <v/>
      </c>
      <c r="K232" s="106" t="str">
        <f ca="1">IFERROR(__xludf.DUMMYFUNCTION("IFERROR(INDEX(FILTER($P232:$AL232, $P232:$AL232 &lt;&gt; """"), 5),)"),"")</f>
        <v/>
      </c>
      <c r="L232" s="107"/>
      <c r="M232" s="107"/>
      <c r="N232" s="107"/>
      <c r="O232" s="107"/>
      <c r="P232" s="132" t="str">
        <f>IF(COUNTIF('Fintech-A'!$A:$A, $C232), P$1, "")</f>
        <v/>
      </c>
      <c r="Q232" s="132" t="str">
        <f>IF(COUNTIF('Fintech-B'!$A:$A, $C232), Q$1, "")</f>
        <v/>
      </c>
      <c r="R232" s="132" t="str">
        <f>IF(COUNTIF('BEDM-A'!$A:$A, $C232), R$1, "")</f>
        <v/>
      </c>
      <c r="S232" s="132" t="str">
        <f>IF(COUNTIF('BEDM-B'!$A:$A, $C232), S$1, "")</f>
        <v/>
      </c>
      <c r="T232" s="132" t="str">
        <f>IF(COUNTIF('Art-A'!$A:$A, $C232), T$1, "")</f>
        <v/>
      </c>
      <c r="U232" s="132" t="str">
        <f>IF(COUNTIF('Art-B'!$A:$A, $C232), U$1, "")</f>
        <v/>
      </c>
      <c r="V232" s="132" t="str">
        <f>IF(COUNTIF('WH-A'!$A:$A, $C232), V$1, "")</f>
        <v/>
      </c>
      <c r="W232" s="132" t="str">
        <f>IF(COUNTIF('WH-B'!$A:$A, $C232), W$1, "")</f>
        <v/>
      </c>
      <c r="X232" s="132" t="str">
        <f>IF(COUNTIF(LETV!$A:$A, $C232), X$1, "")</f>
        <v/>
      </c>
      <c r="Y232" s="132" t="str">
        <f>IF(COUNTIF('Film&amp;Firm-A'!$A:$A, $C232), Y$1, "")</f>
        <v>Film &amp; the Firm: Visual Culture in Business Contexts (A)</v>
      </c>
      <c r="Z232" s="132" t="str">
        <f>IF(COUNTIF('Film&amp;Firm-B'!$A:$A, $C232), Z$1, "")</f>
        <v/>
      </c>
      <c r="AA232" s="132" t="str">
        <f>IF(COUNTIF(SHRM!$A:$A, $C232), AA$1, "")</f>
        <v/>
      </c>
      <c r="AB232" s="132" t="str">
        <f>IF(COUNTIF('SCM-A'!$A:$A, $C232), AB$1, "")</f>
        <v/>
      </c>
      <c r="AC232" s="132" t="str">
        <f>IF(COUNTIF('SCM-B'!$A:$A, $C232), AC$1, "")</f>
        <v/>
      </c>
      <c r="AD232" s="132" t="str">
        <f>IF(COUNTIF(AIS!$A:$A, $C232), AD$1, "")</f>
        <v>AI AND  STRATEGY</v>
      </c>
      <c r="AE232" s="132" t="str">
        <f>IF(COUNTIF(EB!$A:$A, $C232), AE$1, "")</f>
        <v/>
      </c>
      <c r="AF232" s="132" t="str">
        <f>IF(COUNTIF('AIAM-A'!$A:$A, $C232), AF$1, "")</f>
        <v/>
      </c>
      <c r="AG232" s="132" t="str">
        <f>IF(COUNTIF('AIAM-B'!$A:$A, $C232), AG$1, "")</f>
        <v>AI Applications in Marketing (B)</v>
      </c>
      <c r="AH232" s="132" t="str">
        <f>IF(COUNTIF('SA-A'!$A:$A, $C232), AH$1, "")</f>
        <v/>
      </c>
      <c r="AI232" s="132" t="str">
        <f>IF(COUNTIF('SA-B'!$A:$A, $C232), AI$1, "")</f>
        <v/>
      </c>
      <c r="AJ232" s="132" t="str">
        <f>IF(COUNTIF(CSM!$A:$A, $C232), AJ$1, "")</f>
        <v/>
      </c>
      <c r="AK232" s="132" t="str">
        <f>IF(COUNTIF(EM!$A:$A, $C232), AK$1, "")</f>
        <v/>
      </c>
      <c r="AL232" s="132" t="str">
        <f>IF(COUNTIF(I4TS!$A:$A, $C232), AL$1, "")</f>
        <v/>
      </c>
    </row>
    <row r="233" spans="1:38" ht="13">
      <c r="A233" s="131">
        <v>232</v>
      </c>
      <c r="B233" s="131" t="s">
        <v>904</v>
      </c>
      <c r="C233" s="131" t="s">
        <v>301</v>
      </c>
      <c r="D233" s="106" t="s">
        <v>1000</v>
      </c>
      <c r="E233" s="106" t="s">
        <v>1001</v>
      </c>
      <c r="F233" s="131">
        <f t="shared" ca="1" si="0"/>
        <v>5</v>
      </c>
      <c r="G233" s="106" t="str">
        <f ca="1">IFERROR(__xludf.DUMMYFUNCTION("INDEX(FILTER($P233:$AL233, $P233:$AL233 &lt;&gt; """"), 1)"),"Fintech (Digital Transformation in Finance) (A)")</f>
        <v>Fintech (Digital Transformation in Finance) (A)</v>
      </c>
      <c r="H233" s="106" t="str">
        <f ca="1">IFERROR(__xludf.DUMMYFUNCTION("INDEX(FILTER($P233:$AL233, $P233:$AL233 &lt;&gt; """"), 2)"),"Strategic Career Management (B)")</f>
        <v>Strategic Career Management (B)</v>
      </c>
      <c r="I233" s="106" t="str">
        <f ca="1">IFERROR(__xludf.DUMMYFUNCTION("INDEX(FILTER($P233:$AL233, $P233:$AL233 &lt;&gt; """"), 3)"),"Customer Success Management")</f>
        <v>Customer Success Management</v>
      </c>
      <c r="J233" s="106" t="str">
        <f ca="1">IFERROR(__xludf.DUMMYFUNCTION("IFERROR(INDEX(FILTER($P233:$AL233, $P233:$AL233 &lt;&gt; """"), 4),)"),"Entrepreneurial Marketing")</f>
        <v>Entrepreneurial Marketing</v>
      </c>
      <c r="K233" s="106" t="str">
        <f ca="1">IFERROR(__xludf.DUMMYFUNCTION("IFERROR(INDEX(FILTER($P233:$AL233, $P233:$AL233 &lt;&gt; """"), 5),)"),"Industry 4.0 in Transport Sector")</f>
        <v>Industry 4.0 in Transport Sector</v>
      </c>
      <c r="L233" s="107"/>
      <c r="M233" s="107"/>
      <c r="N233" s="107"/>
      <c r="O233" s="107"/>
      <c r="P233" s="132" t="str">
        <f>IF(COUNTIF('Fintech-A'!$A:$A, $C233), P$1, "")</f>
        <v>Fintech (Digital Transformation in Finance) (A)</v>
      </c>
      <c r="Q233" s="132" t="str">
        <f>IF(COUNTIF('Fintech-B'!$A:$A, $C233), Q$1, "")</f>
        <v/>
      </c>
      <c r="R233" s="132" t="str">
        <f>IF(COUNTIF('BEDM-A'!$A:$A, $C233), R$1, "")</f>
        <v/>
      </c>
      <c r="S233" s="132" t="str">
        <f>IF(COUNTIF('BEDM-B'!$A:$A, $C233), S$1, "")</f>
        <v/>
      </c>
      <c r="T233" s="132" t="str">
        <f>IF(COUNTIF('Art-A'!$A:$A, $C233), T$1, "")</f>
        <v/>
      </c>
      <c r="U233" s="132" t="str">
        <f>IF(COUNTIF('Art-B'!$A:$A, $C233), U$1, "")</f>
        <v/>
      </c>
      <c r="V233" s="132" t="str">
        <f>IF(COUNTIF('WH-A'!$A:$A, $C233), V$1, "")</f>
        <v/>
      </c>
      <c r="W233" s="132" t="str">
        <f>IF(COUNTIF('WH-B'!$A:$A, $C233), W$1, "")</f>
        <v/>
      </c>
      <c r="X233" s="132" t="str">
        <f>IF(COUNTIF(LETV!$A:$A, $C233), X$1, "")</f>
        <v/>
      </c>
      <c r="Y233" s="132" t="str">
        <f>IF(COUNTIF('Film&amp;Firm-A'!$A:$A, $C233), Y$1, "")</f>
        <v/>
      </c>
      <c r="Z233" s="132" t="str">
        <f>IF(COUNTIF('Film&amp;Firm-B'!$A:$A, $C233), Z$1, "")</f>
        <v/>
      </c>
      <c r="AA233" s="132" t="str">
        <f>IF(COUNTIF(SHRM!$A:$A, $C233), AA$1, "")</f>
        <v/>
      </c>
      <c r="AB233" s="132" t="str">
        <f>IF(COUNTIF('SCM-A'!$A:$A, $C233), AB$1, "")</f>
        <v/>
      </c>
      <c r="AC233" s="132" t="str">
        <f>IF(COUNTIF('SCM-B'!$A:$A, $C233), AC$1, "")</f>
        <v>Strategic Career Management (B)</v>
      </c>
      <c r="AD233" s="132" t="str">
        <f>IF(COUNTIF(AIS!$A:$A, $C233), AD$1, "")</f>
        <v/>
      </c>
      <c r="AE233" s="132" t="str">
        <f>IF(COUNTIF(EB!$A:$A, $C233), AE$1, "")</f>
        <v/>
      </c>
      <c r="AF233" s="132" t="str">
        <f>IF(COUNTIF('AIAM-A'!$A:$A, $C233), AF$1, "")</f>
        <v/>
      </c>
      <c r="AG233" s="132" t="str">
        <f>IF(COUNTIF('AIAM-B'!$A:$A, $C233), AG$1, "")</f>
        <v/>
      </c>
      <c r="AH233" s="132" t="str">
        <f>IF(COUNTIF('SA-A'!$A:$A, $C233), AH$1, "")</f>
        <v/>
      </c>
      <c r="AI233" s="132" t="str">
        <f>IF(COUNTIF('SA-B'!$A:$A, $C233), AI$1, "")</f>
        <v/>
      </c>
      <c r="AJ233" s="132" t="str">
        <f>IF(COUNTIF(CSM!$A:$A, $C233), AJ$1, "")</f>
        <v>Customer Success Management</v>
      </c>
      <c r="AK233" s="132" t="str">
        <f>IF(COUNTIF(EM!$A:$A, $C233), AK$1, "")</f>
        <v>Entrepreneurial Marketing</v>
      </c>
      <c r="AL233" s="132" t="str">
        <f>IF(COUNTIF(I4TS!$A:$A, $C233), AL$1, "")</f>
        <v>Industry 4.0 in Transport Sector</v>
      </c>
    </row>
    <row r="234" spans="1:38" ht="13">
      <c r="A234" s="131">
        <v>233</v>
      </c>
      <c r="B234" s="131" t="s">
        <v>904</v>
      </c>
      <c r="C234" s="131" t="s">
        <v>1002</v>
      </c>
      <c r="D234" s="106" t="s">
        <v>1003</v>
      </c>
      <c r="E234" s="106" t="s">
        <v>1004</v>
      </c>
      <c r="F234" s="131">
        <f t="shared" ca="1" si="0"/>
        <v>5</v>
      </c>
      <c r="G234" s="106" t="str">
        <f ca="1">IFERROR(__xludf.DUMMYFUNCTION("INDEX(FILTER($P234:$AL234, $P234:$AL234 &lt;&gt; """"), 1)"),"Workplace Happiness: Science &amp; Practice (A)")</f>
        <v>Workplace Happiness: Science &amp; Practice (A)</v>
      </c>
      <c r="H234" s="106" t="str">
        <f ca="1">IFERROR(__xludf.DUMMYFUNCTION("INDEX(FILTER($P234:$AL234, $P234:$AL234 &lt;&gt; """"), 2)"),"Strategic HRM")</f>
        <v>Strategic HRM</v>
      </c>
      <c r="I234" s="106" t="str">
        <f ca="1">IFERROR(__xludf.DUMMYFUNCTION("INDEX(FILTER($P234:$AL234, $P234:$AL234 &lt;&gt; """"), 3)"),"Strategic Career Management (B)")</f>
        <v>Strategic Career Management (B)</v>
      </c>
      <c r="J234" s="106" t="str">
        <f ca="1">IFERROR(__xludf.DUMMYFUNCTION("IFERROR(INDEX(FILTER($P234:$AL234, $P234:$AL234 &lt;&gt; """"), 4),)"),"Customer Success Management")</f>
        <v>Customer Success Management</v>
      </c>
      <c r="K234" s="106" t="str">
        <f ca="1">IFERROR(__xludf.DUMMYFUNCTION("IFERROR(INDEX(FILTER($P234:$AL234, $P234:$AL234 &lt;&gt; """"), 5),)"),"Entrepreneurial Marketing")</f>
        <v>Entrepreneurial Marketing</v>
      </c>
      <c r="L234" s="107"/>
      <c r="M234" s="107"/>
      <c r="N234" s="107"/>
      <c r="O234" s="107"/>
      <c r="P234" s="132" t="str">
        <f>IF(COUNTIF('Fintech-A'!$A:$A, $C234), P$1, "")</f>
        <v/>
      </c>
      <c r="Q234" s="132" t="str">
        <f>IF(COUNTIF('Fintech-B'!$A:$A, $C234), Q$1, "")</f>
        <v/>
      </c>
      <c r="R234" s="132" t="str">
        <f>IF(COUNTIF('BEDM-A'!$A:$A, $C234), R$1, "")</f>
        <v/>
      </c>
      <c r="S234" s="132" t="str">
        <f>IF(COUNTIF('BEDM-B'!$A:$A, $C234), S$1, "")</f>
        <v/>
      </c>
      <c r="T234" s="132" t="str">
        <f>IF(COUNTIF('Art-A'!$A:$A, $C234), T$1, "")</f>
        <v/>
      </c>
      <c r="U234" s="132" t="str">
        <f>IF(COUNTIF('Art-B'!$A:$A, $C234), U$1, "")</f>
        <v/>
      </c>
      <c r="V234" s="132" t="str">
        <f>IF(COUNTIF('WH-A'!$A:$A, $C234), V$1, "")</f>
        <v>Workplace Happiness: Science &amp; Practice (A)</v>
      </c>
      <c r="W234" s="132" t="str">
        <f>IF(COUNTIF('WH-B'!$A:$A, $C234), W$1, "")</f>
        <v/>
      </c>
      <c r="X234" s="132" t="str">
        <f>IF(COUNTIF(LETV!$A:$A, $C234), X$1, "")</f>
        <v/>
      </c>
      <c r="Y234" s="132" t="str">
        <f>IF(COUNTIF('Film&amp;Firm-A'!$A:$A, $C234), Y$1, "")</f>
        <v/>
      </c>
      <c r="Z234" s="132" t="str">
        <f>IF(COUNTIF('Film&amp;Firm-B'!$A:$A, $C234), Z$1, "")</f>
        <v/>
      </c>
      <c r="AA234" s="132" t="str">
        <f>IF(COUNTIF(SHRM!$A:$A, $C234), AA$1, "")</f>
        <v>Strategic HRM</v>
      </c>
      <c r="AB234" s="132" t="str">
        <f>IF(COUNTIF('SCM-A'!$A:$A, $C234), AB$1, "")</f>
        <v/>
      </c>
      <c r="AC234" s="132" t="str">
        <f>IF(COUNTIF('SCM-B'!$A:$A, $C234), AC$1, "")</f>
        <v>Strategic Career Management (B)</v>
      </c>
      <c r="AD234" s="132" t="str">
        <f>IF(COUNTIF(AIS!$A:$A, $C234), AD$1, "")</f>
        <v/>
      </c>
      <c r="AE234" s="132" t="str">
        <f>IF(COUNTIF(EB!$A:$A, $C234), AE$1, "")</f>
        <v/>
      </c>
      <c r="AF234" s="132" t="str">
        <f>IF(COUNTIF('AIAM-A'!$A:$A, $C234), AF$1, "")</f>
        <v/>
      </c>
      <c r="AG234" s="132" t="str">
        <f>IF(COUNTIF('AIAM-B'!$A:$A, $C234), AG$1, "")</f>
        <v/>
      </c>
      <c r="AH234" s="132" t="str">
        <f>IF(COUNTIF('SA-A'!$A:$A, $C234), AH$1, "")</f>
        <v/>
      </c>
      <c r="AI234" s="132" t="str">
        <f>IF(COUNTIF('SA-B'!$A:$A, $C234), AI$1, "")</f>
        <v/>
      </c>
      <c r="AJ234" s="132" t="str">
        <f>IF(COUNTIF(CSM!$A:$A, $C234), AJ$1, "")</f>
        <v>Customer Success Management</v>
      </c>
      <c r="AK234" s="132" t="str">
        <f>IF(COUNTIF(EM!$A:$A, $C234), AK$1, "")</f>
        <v>Entrepreneurial Marketing</v>
      </c>
      <c r="AL234" s="132" t="str">
        <f>IF(COUNTIF(I4TS!$A:$A, $C234), AL$1, "")</f>
        <v/>
      </c>
    </row>
    <row r="235" spans="1:38" ht="13">
      <c r="A235" s="131">
        <v>234</v>
      </c>
      <c r="B235" s="131" t="s">
        <v>904</v>
      </c>
      <c r="C235" s="131" t="s">
        <v>1005</v>
      </c>
      <c r="D235" s="106" t="s">
        <v>1006</v>
      </c>
      <c r="E235" s="106" t="s">
        <v>1007</v>
      </c>
      <c r="F235" s="131">
        <f t="shared" ca="1" si="0"/>
        <v>5</v>
      </c>
      <c r="G235" s="106" t="str">
        <f ca="1">IFERROR(__xludf.DUMMYFUNCTION("INDEX(FILTER($P235:$AL235, $P235:$AL235 &lt;&gt; """"), 1)"),"The Art, Craft, and Science of Management: Learning through Classics and Best Collections (A)")</f>
        <v>The Art, Craft, and Science of Management: Learning through Classics and Best Collections (A)</v>
      </c>
      <c r="H235" s="106" t="str">
        <f ca="1">IFERROR(__xludf.DUMMYFUNCTION("INDEX(FILTER($P235:$AL235, $P235:$AL235 &lt;&gt; """"), 2)"),"AI AND  STRATEGY")</f>
        <v>AI AND  STRATEGY</v>
      </c>
      <c r="I235" s="106" t="str">
        <f ca="1">IFERROR(__xludf.DUMMYFUNCTION("INDEX(FILTER($P235:$AL235, $P235:$AL235 &lt;&gt; """"), 3)"),"Entrepreneurial Marketing")</f>
        <v>Entrepreneurial Marketing</v>
      </c>
      <c r="J235" s="106" t="str">
        <f ca="1">IFERROR(__xludf.DUMMYFUNCTION("IFERROR(INDEX(FILTER($P235:$AL235, $P235:$AL235 &lt;&gt; """"), 4),)"),"")</f>
        <v/>
      </c>
      <c r="K235" s="106" t="str">
        <f ca="1">IFERROR(__xludf.DUMMYFUNCTION("IFERROR(INDEX(FILTER($P235:$AL235, $P235:$AL235 &lt;&gt; """"), 5),)"),"")</f>
        <v/>
      </c>
      <c r="L235" s="107"/>
      <c r="M235" s="107"/>
      <c r="N235" s="107"/>
      <c r="O235" s="107"/>
      <c r="P235" s="132" t="str">
        <f>IF(COUNTIF('Fintech-A'!$A:$A, $C235), P$1, "")</f>
        <v/>
      </c>
      <c r="Q235" s="132" t="str">
        <f>IF(COUNTIF('Fintech-B'!$A:$A, $C235), Q$1, "")</f>
        <v/>
      </c>
      <c r="R235" s="132" t="str">
        <f>IF(COUNTIF('BEDM-A'!$A:$A, $C235), R$1, "")</f>
        <v/>
      </c>
      <c r="S235" s="132" t="str">
        <f>IF(COUNTIF('BEDM-B'!$A:$A, $C235), S$1, "")</f>
        <v/>
      </c>
      <c r="T235" s="132" t="str">
        <f>IF(COUNTIF('Art-A'!$A:$A, $C235), T$1, "")</f>
        <v>The Art, Craft, and Science of Management: Learning through Classics and Best Collections (A)</v>
      </c>
      <c r="U235" s="132" t="str">
        <f>IF(COUNTIF('Art-B'!$A:$A, $C235), U$1, "")</f>
        <v/>
      </c>
      <c r="V235" s="132" t="str">
        <f>IF(COUNTIF('WH-A'!$A:$A, $C235), V$1, "")</f>
        <v/>
      </c>
      <c r="W235" s="132" t="str">
        <f>IF(COUNTIF('WH-B'!$A:$A, $C235), W$1, "")</f>
        <v/>
      </c>
      <c r="X235" s="132" t="str">
        <f>IF(COUNTIF(LETV!$A:$A, $C235), X$1, "")</f>
        <v/>
      </c>
      <c r="Y235" s="132" t="str">
        <f>IF(COUNTIF('Film&amp;Firm-A'!$A:$A, $C235), Y$1, "")</f>
        <v/>
      </c>
      <c r="Z235" s="132" t="str">
        <f>IF(COUNTIF('Film&amp;Firm-B'!$A:$A, $C235), Z$1, "")</f>
        <v/>
      </c>
      <c r="AA235" s="132" t="str">
        <f>IF(COUNTIF(SHRM!$A:$A, $C235), AA$1, "")</f>
        <v/>
      </c>
      <c r="AB235" s="132" t="str">
        <f>IF(COUNTIF('SCM-A'!$A:$A, $C235), AB$1, "")</f>
        <v/>
      </c>
      <c r="AC235" s="132" t="str">
        <f>IF(COUNTIF('SCM-B'!$A:$A, $C235), AC$1, "")</f>
        <v/>
      </c>
      <c r="AD235" s="132" t="str">
        <f>IF(COUNTIF(AIS!$A:$A, $C235), AD$1, "")</f>
        <v>AI AND  STRATEGY</v>
      </c>
      <c r="AE235" s="132" t="str">
        <f>IF(COUNTIF(EB!$A:$A, $C235), AE$1, "")</f>
        <v/>
      </c>
      <c r="AF235" s="132" t="str">
        <f>IF(COUNTIF('AIAM-A'!$A:$A, $C235), AF$1, "")</f>
        <v/>
      </c>
      <c r="AG235" s="132" t="str">
        <f>IF(COUNTIF('AIAM-B'!$A:$A, $C235), AG$1, "")</f>
        <v/>
      </c>
      <c r="AH235" s="132" t="str">
        <f>IF(COUNTIF('SA-A'!$A:$A, $C235), AH$1, "")</f>
        <v/>
      </c>
      <c r="AI235" s="132" t="str">
        <f>IF(COUNTIF('SA-B'!$A:$A, $C235), AI$1, "")</f>
        <v/>
      </c>
      <c r="AJ235" s="132" t="str">
        <f>IF(COUNTIF(CSM!$A:$A, $C235), AJ$1, "")</f>
        <v/>
      </c>
      <c r="AK235" s="132" t="str">
        <f>IF(COUNTIF(EM!$A:$A, $C235), AK$1, "")</f>
        <v>Entrepreneurial Marketing</v>
      </c>
      <c r="AL235" s="132" t="str">
        <f>IF(COUNTIF(I4TS!$A:$A, $C235), AL$1, "")</f>
        <v/>
      </c>
    </row>
    <row r="236" spans="1:38" ht="13">
      <c r="A236" s="131">
        <v>235</v>
      </c>
      <c r="B236" s="131" t="s">
        <v>904</v>
      </c>
      <c r="C236" s="131" t="s">
        <v>302</v>
      </c>
      <c r="D236" s="106" t="s">
        <v>1008</v>
      </c>
      <c r="E236" s="106" t="s">
        <v>1009</v>
      </c>
      <c r="F236" s="131">
        <f t="shared" ca="1" si="0"/>
        <v>5</v>
      </c>
      <c r="G236" s="106" t="str">
        <f ca="1">IFERROR(__xludf.DUMMYFUNCTION("INDEX(FILTER($P236:$AL236, $P236:$AL236 &lt;&gt; """"), 1)"),"The Art, Craft, and Science of Management: Learning through Classics and Best Collections (A)")</f>
        <v>The Art, Craft, and Science of Management: Learning through Classics and Best Collections (A)</v>
      </c>
      <c r="H236" s="106" t="str">
        <f ca="1">IFERROR(__xludf.DUMMYFUNCTION("INDEX(FILTER($P236:$AL236, $P236:$AL236 &lt;&gt; """"), 2)"),"Workplace Happiness: Science &amp; Practice (B)")</f>
        <v>Workplace Happiness: Science &amp; Practice (B)</v>
      </c>
      <c r="I236" s="106" t="str">
        <f ca="1">IFERROR(__xludf.DUMMYFUNCTION("INDEX(FILTER($P236:$AL236, $P236:$AL236 &lt;&gt; """"), 3)"),"Strategic HRM")</f>
        <v>Strategic HRM</v>
      </c>
      <c r="J236" s="106" t="str">
        <f ca="1">IFERROR(__xludf.DUMMYFUNCTION("IFERROR(INDEX(FILTER($P236:$AL236, $P236:$AL236 &lt;&gt; """"), 4),)"),"Strategic Career Management (A)")</f>
        <v>Strategic Career Management (A)</v>
      </c>
      <c r="K236" s="106" t="str">
        <f ca="1">IFERROR(__xludf.DUMMYFUNCTION("IFERROR(INDEX(FILTER($P236:$AL236, $P236:$AL236 &lt;&gt; """"), 5),)"),"Entrepreneurial Marketing")</f>
        <v>Entrepreneurial Marketing</v>
      </c>
      <c r="L236" s="107"/>
      <c r="M236" s="107"/>
      <c r="N236" s="107"/>
      <c r="O236" s="107"/>
      <c r="P236" s="132" t="str">
        <f>IF(COUNTIF('Fintech-A'!$A:$A, $C236), P$1, "")</f>
        <v/>
      </c>
      <c r="Q236" s="132" t="str">
        <f>IF(COUNTIF('Fintech-B'!$A:$A, $C236), Q$1, "")</f>
        <v/>
      </c>
      <c r="R236" s="132" t="str">
        <f>IF(COUNTIF('BEDM-A'!$A:$A, $C236), R$1, "")</f>
        <v/>
      </c>
      <c r="S236" s="132" t="str">
        <f>IF(COUNTIF('BEDM-B'!$A:$A, $C236), S$1, "")</f>
        <v/>
      </c>
      <c r="T236" s="132" t="str">
        <f>IF(COUNTIF('Art-A'!$A:$A, $C236), T$1, "")</f>
        <v>The Art, Craft, and Science of Management: Learning through Classics and Best Collections (A)</v>
      </c>
      <c r="U236" s="132" t="str">
        <f>IF(COUNTIF('Art-B'!$A:$A, $C236), U$1, "")</f>
        <v/>
      </c>
      <c r="V236" s="132" t="str">
        <f>IF(COUNTIF('WH-A'!$A:$A, $C236), V$1, "")</f>
        <v/>
      </c>
      <c r="W236" s="132" t="str">
        <f>IF(COUNTIF('WH-B'!$A:$A, $C236), W$1, "")</f>
        <v>Workplace Happiness: Science &amp; Practice (B)</v>
      </c>
      <c r="X236" s="132" t="str">
        <f>IF(COUNTIF(LETV!$A:$A, $C236), X$1, "")</f>
        <v/>
      </c>
      <c r="Y236" s="132" t="str">
        <f>IF(COUNTIF('Film&amp;Firm-A'!$A:$A, $C236), Y$1, "")</f>
        <v/>
      </c>
      <c r="Z236" s="132" t="str">
        <f>IF(COUNTIF('Film&amp;Firm-B'!$A:$A, $C236), Z$1, "")</f>
        <v/>
      </c>
      <c r="AA236" s="132" t="str">
        <f>IF(COUNTIF(SHRM!$A:$A, $C236), AA$1, "")</f>
        <v>Strategic HRM</v>
      </c>
      <c r="AB236" s="132" t="str">
        <f>IF(COUNTIF('SCM-A'!$A:$A, $C236), AB$1, "")</f>
        <v>Strategic Career Management (A)</v>
      </c>
      <c r="AC236" s="132" t="str">
        <f>IF(COUNTIF('SCM-B'!$A:$A, $C236), AC$1, "")</f>
        <v/>
      </c>
      <c r="AD236" s="132" t="str">
        <f>IF(COUNTIF(AIS!$A:$A, $C236), AD$1, "")</f>
        <v/>
      </c>
      <c r="AE236" s="132" t="str">
        <f>IF(COUNTIF(EB!$A:$A, $C236), AE$1, "")</f>
        <v/>
      </c>
      <c r="AF236" s="132" t="str">
        <f>IF(COUNTIF('AIAM-A'!$A:$A, $C236), AF$1, "")</f>
        <v/>
      </c>
      <c r="AG236" s="132" t="str">
        <f>IF(COUNTIF('AIAM-B'!$A:$A, $C236), AG$1, "")</f>
        <v/>
      </c>
      <c r="AH236" s="132" t="str">
        <f>IF(COUNTIF('SA-A'!$A:$A, $C236), AH$1, "")</f>
        <v/>
      </c>
      <c r="AI236" s="132" t="str">
        <f>IF(COUNTIF('SA-B'!$A:$A, $C236), AI$1, "")</f>
        <v/>
      </c>
      <c r="AJ236" s="132" t="str">
        <f>IF(COUNTIF(CSM!$A:$A, $C236), AJ$1, "")</f>
        <v/>
      </c>
      <c r="AK236" s="132" t="str">
        <f>IF(COUNTIF(EM!$A:$A, $C236), AK$1, "")</f>
        <v>Entrepreneurial Marketing</v>
      </c>
      <c r="AL236" s="132" t="str">
        <f>IF(COUNTIF(I4TS!$A:$A, $C236), AL$1, "")</f>
        <v/>
      </c>
    </row>
    <row r="237" spans="1:38" ht="13">
      <c r="A237" s="131">
        <v>236</v>
      </c>
      <c r="B237" s="131" t="s">
        <v>904</v>
      </c>
      <c r="C237" s="131" t="s">
        <v>1010</v>
      </c>
      <c r="D237" s="106" t="s">
        <v>1011</v>
      </c>
      <c r="E237" s="106" t="s">
        <v>1012</v>
      </c>
      <c r="F237" s="131">
        <f t="shared" ca="1" si="0"/>
        <v>5</v>
      </c>
      <c r="G237" s="106" t="str">
        <f ca="1">IFERROR(__xludf.DUMMYFUNCTION("INDEX(FILTER($P237:$AL237, $P237:$AL237 &lt;&gt; """"), 1)"),"The Art, Craft, and Science of Management: Learning through Classics and Best Collections (A)")</f>
        <v>The Art, Craft, and Science of Management: Learning through Classics and Best Collections (A)</v>
      </c>
      <c r="H237" s="106" t="str">
        <f ca="1">IFERROR(__xludf.DUMMYFUNCTION("INDEX(FILTER($P237:$AL237, $P237:$AL237 &lt;&gt; """"), 2)"),"Employer Branding")</f>
        <v>Employer Branding</v>
      </c>
      <c r="I237" s="106" t="str">
        <f ca="1">IFERROR(__xludf.DUMMYFUNCTION("INDEX(FILTER($P237:$AL237, $P237:$AL237 &lt;&gt; """"), 3)"),"AI Applications in Marketing (B)")</f>
        <v>AI Applications in Marketing (B)</v>
      </c>
      <c r="J237" s="106" t="str">
        <f ca="1">IFERROR(__xludf.DUMMYFUNCTION("IFERROR(INDEX(FILTER($P237:$AL237, $P237:$AL237 &lt;&gt; """"), 4),)"),"")</f>
        <v/>
      </c>
      <c r="K237" s="106" t="str">
        <f ca="1">IFERROR(__xludf.DUMMYFUNCTION("IFERROR(INDEX(FILTER($P237:$AL237, $P237:$AL237 &lt;&gt; """"), 5),)"),"")</f>
        <v/>
      </c>
      <c r="L237" s="107"/>
      <c r="M237" s="107"/>
      <c r="N237" s="107"/>
      <c r="O237" s="107"/>
      <c r="P237" s="132" t="str">
        <f>IF(COUNTIF('Fintech-A'!$A:$A, $C237), P$1, "")</f>
        <v/>
      </c>
      <c r="Q237" s="132" t="str">
        <f>IF(COUNTIF('Fintech-B'!$A:$A, $C237), Q$1, "")</f>
        <v/>
      </c>
      <c r="R237" s="132" t="str">
        <f>IF(COUNTIF('BEDM-A'!$A:$A, $C237), R$1, "")</f>
        <v/>
      </c>
      <c r="S237" s="132" t="str">
        <f>IF(COUNTIF('BEDM-B'!$A:$A, $C237), S$1, "")</f>
        <v/>
      </c>
      <c r="T237" s="132" t="str">
        <f>IF(COUNTIF('Art-A'!$A:$A, $C237), T$1, "")</f>
        <v>The Art, Craft, and Science of Management: Learning through Classics and Best Collections (A)</v>
      </c>
      <c r="U237" s="132" t="str">
        <f>IF(COUNTIF('Art-B'!$A:$A, $C237), U$1, "")</f>
        <v/>
      </c>
      <c r="V237" s="132" t="str">
        <f>IF(COUNTIF('WH-A'!$A:$A, $C237), V$1, "")</f>
        <v/>
      </c>
      <c r="W237" s="132" t="str">
        <f>IF(COUNTIF('WH-B'!$A:$A, $C237), W$1, "")</f>
        <v/>
      </c>
      <c r="X237" s="132" t="str">
        <f>IF(COUNTIF(LETV!$A:$A, $C237), X$1, "")</f>
        <v/>
      </c>
      <c r="Y237" s="132" t="str">
        <f>IF(COUNTIF('Film&amp;Firm-A'!$A:$A, $C237), Y$1, "")</f>
        <v/>
      </c>
      <c r="Z237" s="132" t="str">
        <f>IF(COUNTIF('Film&amp;Firm-B'!$A:$A, $C237), Z$1, "")</f>
        <v/>
      </c>
      <c r="AA237" s="132" t="str">
        <f>IF(COUNTIF(SHRM!$A:$A, $C237), AA$1, "")</f>
        <v/>
      </c>
      <c r="AB237" s="132" t="str">
        <f>IF(COUNTIF('SCM-A'!$A:$A, $C237), AB$1, "")</f>
        <v/>
      </c>
      <c r="AC237" s="132" t="str">
        <f>IF(COUNTIF('SCM-B'!$A:$A, $C237), AC$1, "")</f>
        <v/>
      </c>
      <c r="AD237" s="132" t="str">
        <f>IF(COUNTIF(AIS!$A:$A, $C237), AD$1, "")</f>
        <v/>
      </c>
      <c r="AE237" s="132" t="str">
        <f>IF(COUNTIF(EB!$A:$A, $C237), AE$1, "")</f>
        <v>Employer Branding</v>
      </c>
      <c r="AF237" s="132" t="str">
        <f>IF(COUNTIF('AIAM-A'!$A:$A, $C237), AF$1, "")</f>
        <v/>
      </c>
      <c r="AG237" s="132" t="str">
        <f>IF(COUNTIF('AIAM-B'!$A:$A, $C237), AG$1, "")</f>
        <v>AI Applications in Marketing (B)</v>
      </c>
      <c r="AH237" s="132" t="str">
        <f>IF(COUNTIF('SA-A'!$A:$A, $C237), AH$1, "")</f>
        <v/>
      </c>
      <c r="AI237" s="132" t="str">
        <f>IF(COUNTIF('SA-B'!$A:$A, $C237), AI$1, "")</f>
        <v/>
      </c>
      <c r="AJ237" s="132" t="str">
        <f>IF(COUNTIF(CSM!$A:$A, $C237), AJ$1, "")</f>
        <v/>
      </c>
      <c r="AK237" s="132" t="str">
        <f>IF(COUNTIF(EM!$A:$A, $C237), AK$1, "")</f>
        <v/>
      </c>
      <c r="AL237" s="132" t="str">
        <f>IF(COUNTIF(I4TS!$A:$A, $C237), AL$1, "")</f>
        <v/>
      </c>
    </row>
    <row r="238" spans="1:38" ht="13">
      <c r="A238" s="131">
        <v>237</v>
      </c>
      <c r="B238" s="131" t="s">
        <v>904</v>
      </c>
      <c r="C238" s="131" t="s">
        <v>1013</v>
      </c>
      <c r="D238" s="106" t="s">
        <v>1014</v>
      </c>
      <c r="E238" s="106" t="s">
        <v>1015</v>
      </c>
      <c r="F238" s="131">
        <f t="shared" ca="1" si="0"/>
        <v>5</v>
      </c>
      <c r="G238" s="106" t="str">
        <f ca="1">IFERROR(__xludf.DUMMYFUNCTION("INDEX(FILTER($P238:$AL238, $P238:$AL238 &lt;&gt; """"), 1)"),"The Art, Craft, and Science of Management: Learning through Classics and Best Collections (A)")</f>
        <v>The Art, Craft, and Science of Management: Learning through Classics and Best Collections (A)</v>
      </c>
      <c r="H238" s="106" t="str">
        <f ca="1">IFERROR(__xludf.DUMMYFUNCTION("INDEX(FILTER($P238:$AL238, $P238:$AL238 &lt;&gt; """"), 2)"),"AI AND  STRATEGY")</f>
        <v>AI AND  STRATEGY</v>
      </c>
      <c r="I238" s="106" t="str">
        <f ca="1">IFERROR(__xludf.DUMMYFUNCTION("INDEX(FILTER($P238:$AL238, $P238:$AL238 &lt;&gt; """"), 3)"),"Entrepreneurial Marketing")</f>
        <v>Entrepreneurial Marketing</v>
      </c>
      <c r="J238" s="106" t="str">
        <f ca="1">IFERROR(__xludf.DUMMYFUNCTION("IFERROR(INDEX(FILTER($P238:$AL238, $P238:$AL238 &lt;&gt; """"), 4),)"),"")</f>
        <v/>
      </c>
      <c r="K238" s="106" t="str">
        <f ca="1">IFERROR(__xludf.DUMMYFUNCTION("IFERROR(INDEX(FILTER($P238:$AL238, $P238:$AL238 &lt;&gt; """"), 5),)"),"")</f>
        <v/>
      </c>
      <c r="L238" s="107"/>
      <c r="M238" s="107"/>
      <c r="N238" s="107"/>
      <c r="O238" s="107"/>
      <c r="P238" s="132" t="str">
        <f>IF(COUNTIF('Fintech-A'!$A:$A, $C238), P$1, "")</f>
        <v/>
      </c>
      <c r="Q238" s="132" t="str">
        <f>IF(COUNTIF('Fintech-B'!$A:$A, $C238), Q$1, "")</f>
        <v/>
      </c>
      <c r="R238" s="132" t="str">
        <f>IF(COUNTIF('BEDM-A'!$A:$A, $C238), R$1, "")</f>
        <v/>
      </c>
      <c r="S238" s="132" t="str">
        <f>IF(COUNTIF('BEDM-B'!$A:$A, $C238), S$1, "")</f>
        <v/>
      </c>
      <c r="T238" s="132" t="str">
        <f>IF(COUNTIF('Art-A'!$A:$A, $C238), T$1, "")</f>
        <v>The Art, Craft, and Science of Management: Learning through Classics and Best Collections (A)</v>
      </c>
      <c r="U238" s="132" t="str">
        <f>IF(COUNTIF('Art-B'!$A:$A, $C238), U$1, "")</f>
        <v/>
      </c>
      <c r="V238" s="132" t="str">
        <f>IF(COUNTIF('WH-A'!$A:$A, $C238), V$1, "")</f>
        <v/>
      </c>
      <c r="W238" s="132" t="str">
        <f>IF(COUNTIF('WH-B'!$A:$A, $C238), W$1, "")</f>
        <v/>
      </c>
      <c r="X238" s="132" t="str">
        <f>IF(COUNTIF(LETV!$A:$A, $C238), X$1, "")</f>
        <v/>
      </c>
      <c r="Y238" s="132" t="str">
        <f>IF(COUNTIF('Film&amp;Firm-A'!$A:$A, $C238), Y$1, "")</f>
        <v/>
      </c>
      <c r="Z238" s="132" t="str">
        <f>IF(COUNTIF('Film&amp;Firm-B'!$A:$A, $C238), Z$1, "")</f>
        <v/>
      </c>
      <c r="AA238" s="132" t="str">
        <f>IF(COUNTIF(SHRM!$A:$A, $C238), AA$1, "")</f>
        <v/>
      </c>
      <c r="AB238" s="132" t="str">
        <f>IF(COUNTIF('SCM-A'!$A:$A, $C238), AB$1, "")</f>
        <v/>
      </c>
      <c r="AC238" s="132" t="str">
        <f>IF(COUNTIF('SCM-B'!$A:$A, $C238), AC$1, "")</f>
        <v/>
      </c>
      <c r="AD238" s="132" t="str">
        <f>IF(COUNTIF(AIS!$A:$A, $C238), AD$1, "")</f>
        <v>AI AND  STRATEGY</v>
      </c>
      <c r="AE238" s="132" t="str">
        <f>IF(COUNTIF(EB!$A:$A, $C238), AE$1, "")</f>
        <v/>
      </c>
      <c r="AF238" s="132" t="str">
        <f>IF(COUNTIF('AIAM-A'!$A:$A, $C238), AF$1, "")</f>
        <v/>
      </c>
      <c r="AG238" s="132" t="str">
        <f>IF(COUNTIF('AIAM-B'!$A:$A, $C238), AG$1, "")</f>
        <v/>
      </c>
      <c r="AH238" s="132" t="str">
        <f>IF(COUNTIF('SA-A'!$A:$A, $C238), AH$1, "")</f>
        <v/>
      </c>
      <c r="AI238" s="132" t="str">
        <f>IF(COUNTIF('SA-B'!$A:$A, $C238), AI$1, "")</f>
        <v/>
      </c>
      <c r="AJ238" s="132" t="str">
        <f>IF(COUNTIF(CSM!$A:$A, $C238), AJ$1, "")</f>
        <v/>
      </c>
      <c r="AK238" s="132" t="str">
        <f>IF(COUNTIF(EM!$A:$A, $C238), AK$1, "")</f>
        <v>Entrepreneurial Marketing</v>
      </c>
      <c r="AL238" s="132" t="str">
        <f>IF(COUNTIF(I4TS!$A:$A, $C238), AL$1, "")</f>
        <v/>
      </c>
    </row>
    <row r="239" spans="1:38" ht="13">
      <c r="A239" s="131">
        <v>238</v>
      </c>
      <c r="B239" s="131" t="s">
        <v>904</v>
      </c>
      <c r="C239" s="131" t="s">
        <v>1016</v>
      </c>
      <c r="D239" s="106" t="s">
        <v>1017</v>
      </c>
      <c r="E239" s="106" t="s">
        <v>1018</v>
      </c>
      <c r="F239" s="131">
        <f t="shared" ca="1" si="0"/>
        <v>5</v>
      </c>
      <c r="G239" s="106" t="str">
        <f ca="1">IFERROR(__xludf.DUMMYFUNCTION("INDEX(FILTER($P239:$AL239, $P239:$AL239 &lt;&gt; """"), 1)"),"The Art, Craft, and Science of Management: Learning through Classics and Best Collections (A)")</f>
        <v>The Art, Craft, and Science of Management: Learning through Classics and Best Collections (A)</v>
      </c>
      <c r="H239" s="106" t="str">
        <f ca="1">IFERROR(__xludf.DUMMYFUNCTION("INDEX(FILTER($P239:$AL239, $P239:$AL239 &lt;&gt; """"), 2)"),"Entrepreneurial Marketing")</f>
        <v>Entrepreneurial Marketing</v>
      </c>
      <c r="I239" s="106" t="str">
        <f ca="1">IFERROR(__xludf.DUMMYFUNCTION("INDEX(FILTER($P239:$AL239, $P239:$AL239 &lt;&gt; """"), 3)"),"Industry 4.0 in Transport Sector")</f>
        <v>Industry 4.0 in Transport Sector</v>
      </c>
      <c r="J239" s="106" t="str">
        <f ca="1">IFERROR(__xludf.DUMMYFUNCTION("IFERROR(INDEX(FILTER($P239:$AL239, $P239:$AL239 &lt;&gt; """"), 4),)"),"")</f>
        <v/>
      </c>
      <c r="K239" s="106" t="str">
        <f ca="1">IFERROR(__xludf.DUMMYFUNCTION("IFERROR(INDEX(FILTER($P239:$AL239, $P239:$AL239 &lt;&gt; """"), 5),)"),"")</f>
        <v/>
      </c>
      <c r="L239" s="107"/>
      <c r="M239" s="107"/>
      <c r="N239" s="107"/>
      <c r="O239" s="107"/>
      <c r="P239" s="132" t="str">
        <f>IF(COUNTIF('Fintech-A'!$A:$A, $C239), P$1, "")</f>
        <v/>
      </c>
      <c r="Q239" s="132" t="str">
        <f>IF(COUNTIF('Fintech-B'!$A:$A, $C239), Q$1, "")</f>
        <v/>
      </c>
      <c r="R239" s="132" t="str">
        <f>IF(COUNTIF('BEDM-A'!$A:$A, $C239), R$1, "")</f>
        <v/>
      </c>
      <c r="S239" s="132" t="str">
        <f>IF(COUNTIF('BEDM-B'!$A:$A, $C239), S$1, "")</f>
        <v/>
      </c>
      <c r="T239" s="132" t="str">
        <f>IF(COUNTIF('Art-A'!$A:$A, $C239), T$1, "")</f>
        <v>The Art, Craft, and Science of Management: Learning through Classics and Best Collections (A)</v>
      </c>
      <c r="U239" s="132" t="str">
        <f>IF(COUNTIF('Art-B'!$A:$A, $C239), U$1, "")</f>
        <v/>
      </c>
      <c r="V239" s="132" t="str">
        <f>IF(COUNTIF('WH-A'!$A:$A, $C239), V$1, "")</f>
        <v/>
      </c>
      <c r="W239" s="132" t="str">
        <f>IF(COUNTIF('WH-B'!$A:$A, $C239), W$1, "")</f>
        <v/>
      </c>
      <c r="X239" s="132" t="str">
        <f>IF(COUNTIF(LETV!$A:$A, $C239), X$1, "")</f>
        <v/>
      </c>
      <c r="Y239" s="132" t="str">
        <f>IF(COUNTIF('Film&amp;Firm-A'!$A:$A, $C239), Y$1, "")</f>
        <v/>
      </c>
      <c r="Z239" s="132" t="str">
        <f>IF(COUNTIF('Film&amp;Firm-B'!$A:$A, $C239), Z$1, "")</f>
        <v/>
      </c>
      <c r="AA239" s="132" t="str">
        <f>IF(COUNTIF(SHRM!$A:$A, $C239), AA$1, "")</f>
        <v/>
      </c>
      <c r="AB239" s="132" t="str">
        <f>IF(COUNTIF('SCM-A'!$A:$A, $C239), AB$1, "")</f>
        <v/>
      </c>
      <c r="AC239" s="132" t="str">
        <f>IF(COUNTIF('SCM-B'!$A:$A, $C239), AC$1, "")</f>
        <v/>
      </c>
      <c r="AD239" s="132" t="str">
        <f>IF(COUNTIF(AIS!$A:$A, $C239), AD$1, "")</f>
        <v/>
      </c>
      <c r="AE239" s="132" t="str">
        <f>IF(COUNTIF(EB!$A:$A, $C239), AE$1, "")</f>
        <v/>
      </c>
      <c r="AF239" s="132" t="str">
        <f>IF(COUNTIF('AIAM-A'!$A:$A, $C239), AF$1, "")</f>
        <v/>
      </c>
      <c r="AG239" s="132" t="str">
        <f>IF(COUNTIF('AIAM-B'!$A:$A, $C239), AG$1, "")</f>
        <v/>
      </c>
      <c r="AH239" s="132" t="str">
        <f>IF(COUNTIF('SA-A'!$A:$A, $C239), AH$1, "")</f>
        <v/>
      </c>
      <c r="AI239" s="132" t="str">
        <f>IF(COUNTIF('SA-B'!$A:$A, $C239), AI$1, "")</f>
        <v/>
      </c>
      <c r="AJ239" s="132" t="str">
        <f>IF(COUNTIF(CSM!$A:$A, $C239), AJ$1, "")</f>
        <v/>
      </c>
      <c r="AK239" s="132" t="str">
        <f>IF(COUNTIF(EM!$A:$A, $C239), AK$1, "")</f>
        <v>Entrepreneurial Marketing</v>
      </c>
      <c r="AL239" s="132" t="str">
        <f>IF(COUNTIF(I4TS!$A:$A, $C239), AL$1, "")</f>
        <v>Industry 4.0 in Transport Sector</v>
      </c>
    </row>
    <row r="240" spans="1:38" ht="13">
      <c r="A240" s="131">
        <v>239</v>
      </c>
      <c r="B240" s="131" t="s">
        <v>904</v>
      </c>
      <c r="C240" s="131" t="s">
        <v>1019</v>
      </c>
      <c r="D240" s="106" t="s">
        <v>1020</v>
      </c>
      <c r="E240" s="106" t="s">
        <v>1021</v>
      </c>
      <c r="F240" s="131">
        <f t="shared" ca="1" si="0"/>
        <v>5</v>
      </c>
      <c r="G240" s="106" t="str">
        <f ca="1">IFERROR(__xludf.DUMMYFUNCTION("INDEX(FILTER($P240:$AL240, $P240:$AL240 &lt;&gt; """"), 1)"),"Workplace Happiness: Science &amp; Practice (A)")</f>
        <v>Workplace Happiness: Science &amp; Practice (A)</v>
      </c>
      <c r="H240" s="106" t="str">
        <f ca="1">IFERROR(__xludf.DUMMYFUNCTION("INDEX(FILTER($P240:$AL240, $P240:$AL240 &lt;&gt; """"), 2)"),"Employer Branding")</f>
        <v>Employer Branding</v>
      </c>
      <c r="I240" s="106" t="str">
        <f ca="1">IFERROR(__xludf.DUMMYFUNCTION("INDEX(FILTER($P240:$AL240, $P240:$AL240 &lt;&gt; """"), 3)"),"AI Applications in Marketing (A)")</f>
        <v>AI Applications in Marketing (A)</v>
      </c>
      <c r="J240" s="106" t="str">
        <f ca="1">IFERROR(__xludf.DUMMYFUNCTION("IFERROR(INDEX(FILTER($P240:$AL240, $P240:$AL240 &lt;&gt; """"), 4),)"),"")</f>
        <v/>
      </c>
      <c r="K240" s="106" t="str">
        <f ca="1">IFERROR(__xludf.DUMMYFUNCTION("IFERROR(INDEX(FILTER($P240:$AL240, $P240:$AL240 &lt;&gt; """"), 5),)"),"")</f>
        <v/>
      </c>
      <c r="L240" s="107"/>
      <c r="M240" s="107"/>
      <c r="N240" s="107"/>
      <c r="O240" s="107"/>
      <c r="P240" s="132" t="str">
        <f>IF(COUNTIF('Fintech-A'!$A:$A, $C240), P$1, "")</f>
        <v/>
      </c>
      <c r="Q240" s="132" t="str">
        <f>IF(COUNTIF('Fintech-B'!$A:$A, $C240), Q$1, "")</f>
        <v/>
      </c>
      <c r="R240" s="132" t="str">
        <f>IF(COUNTIF('BEDM-A'!$A:$A, $C240), R$1, "")</f>
        <v/>
      </c>
      <c r="S240" s="132" t="str">
        <f>IF(COUNTIF('BEDM-B'!$A:$A, $C240), S$1, "")</f>
        <v/>
      </c>
      <c r="T240" s="132" t="str">
        <f>IF(COUNTIF('Art-A'!$A:$A, $C240), T$1, "")</f>
        <v/>
      </c>
      <c r="U240" s="132" t="str">
        <f>IF(COUNTIF('Art-B'!$A:$A, $C240), U$1, "")</f>
        <v/>
      </c>
      <c r="V240" s="132" t="str">
        <f>IF(COUNTIF('WH-A'!$A:$A, $C240), V$1, "")</f>
        <v>Workplace Happiness: Science &amp; Practice (A)</v>
      </c>
      <c r="W240" s="132" t="str">
        <f>IF(COUNTIF('WH-B'!$A:$A, $C240), W$1, "")</f>
        <v/>
      </c>
      <c r="X240" s="132" t="str">
        <f>IF(COUNTIF(LETV!$A:$A, $C240), X$1, "")</f>
        <v/>
      </c>
      <c r="Y240" s="132" t="str">
        <f>IF(COUNTIF('Film&amp;Firm-A'!$A:$A, $C240), Y$1, "")</f>
        <v/>
      </c>
      <c r="Z240" s="132" t="str">
        <f>IF(COUNTIF('Film&amp;Firm-B'!$A:$A, $C240), Z$1, "")</f>
        <v/>
      </c>
      <c r="AA240" s="132" t="str">
        <f>IF(COUNTIF(SHRM!$A:$A, $C240), AA$1, "")</f>
        <v/>
      </c>
      <c r="AB240" s="132" t="str">
        <f>IF(COUNTIF('SCM-A'!$A:$A, $C240), AB$1, "")</f>
        <v/>
      </c>
      <c r="AC240" s="132" t="str">
        <f>IF(COUNTIF('SCM-B'!$A:$A, $C240), AC$1, "")</f>
        <v/>
      </c>
      <c r="AD240" s="132" t="str">
        <f>IF(COUNTIF(AIS!$A:$A, $C240), AD$1, "")</f>
        <v/>
      </c>
      <c r="AE240" s="132" t="str">
        <f>IF(COUNTIF(EB!$A:$A, $C240), AE$1, "")</f>
        <v>Employer Branding</v>
      </c>
      <c r="AF240" s="132" t="str">
        <f>IF(COUNTIF('AIAM-A'!$A:$A, $C240), AF$1, "")</f>
        <v>AI Applications in Marketing (A)</v>
      </c>
      <c r="AG240" s="132" t="str">
        <f>IF(COUNTIF('AIAM-B'!$A:$A, $C240), AG$1, "")</f>
        <v/>
      </c>
      <c r="AH240" s="132" t="str">
        <f>IF(COUNTIF('SA-A'!$A:$A, $C240), AH$1, "")</f>
        <v/>
      </c>
      <c r="AI240" s="132" t="str">
        <f>IF(COUNTIF('SA-B'!$A:$A, $C240), AI$1, "")</f>
        <v/>
      </c>
      <c r="AJ240" s="132" t="str">
        <f>IF(COUNTIF(CSM!$A:$A, $C240), AJ$1, "")</f>
        <v/>
      </c>
      <c r="AK240" s="132" t="str">
        <f>IF(COUNTIF(EM!$A:$A, $C240), AK$1, "")</f>
        <v/>
      </c>
      <c r="AL240" s="132" t="str">
        <f>IF(COUNTIF(I4TS!$A:$A, $C240), AL$1, "")</f>
        <v/>
      </c>
    </row>
    <row r="241" spans="1:38" ht="13">
      <c r="A241" s="131">
        <v>240</v>
      </c>
      <c r="B241" s="131" t="s">
        <v>904</v>
      </c>
      <c r="C241" s="131" t="s">
        <v>1022</v>
      </c>
      <c r="D241" s="106" t="s">
        <v>1023</v>
      </c>
      <c r="E241" s="106" t="s">
        <v>1024</v>
      </c>
      <c r="F241" s="131">
        <f t="shared" ca="1" si="0"/>
        <v>5</v>
      </c>
      <c r="G241" s="106" t="str">
        <f ca="1">IFERROR(__xludf.DUMMYFUNCTION("INDEX(FILTER($P241:$AL241, $P241:$AL241 &lt;&gt; """"), 1)"),"Employer Branding")</f>
        <v>Employer Branding</v>
      </c>
      <c r="H241" s="106" t="str">
        <f ca="1">IFERROR(__xludf.DUMMYFUNCTION("INDEX(FILTER($P241:$AL241, $P241:$AL241 &lt;&gt; """"), 2)"),"SPORTS ANALYTICS (A)")</f>
        <v>SPORTS ANALYTICS (A)</v>
      </c>
      <c r="I241" s="106" t="str">
        <f ca="1">IFERROR(__xludf.DUMMYFUNCTION("INDEX(FILTER($P241:$AL241, $P241:$AL241 &lt;&gt; """"), 3)"),"Industry 4.0 in Transport Sector")</f>
        <v>Industry 4.0 in Transport Sector</v>
      </c>
      <c r="J241" s="106" t="str">
        <f ca="1">IFERROR(__xludf.DUMMYFUNCTION("IFERROR(INDEX(FILTER($P241:$AL241, $P241:$AL241 &lt;&gt; """"), 4),)"),"")</f>
        <v/>
      </c>
      <c r="K241" s="106" t="str">
        <f ca="1">IFERROR(__xludf.DUMMYFUNCTION("IFERROR(INDEX(FILTER($P241:$AL241, $P241:$AL241 &lt;&gt; """"), 5),)"),"")</f>
        <v/>
      </c>
      <c r="L241" s="107"/>
      <c r="M241" s="107"/>
      <c r="N241" s="107"/>
      <c r="O241" s="107"/>
      <c r="P241" s="132" t="str">
        <f>IF(COUNTIF('Fintech-A'!$A:$A, $C241), P$1, "")</f>
        <v/>
      </c>
      <c r="Q241" s="132" t="str">
        <f>IF(COUNTIF('Fintech-B'!$A:$A, $C241), Q$1, "")</f>
        <v/>
      </c>
      <c r="R241" s="132" t="str">
        <f>IF(COUNTIF('BEDM-A'!$A:$A, $C241), R$1, "")</f>
        <v/>
      </c>
      <c r="S241" s="132" t="str">
        <f>IF(COUNTIF('BEDM-B'!$A:$A, $C241), S$1, "")</f>
        <v/>
      </c>
      <c r="T241" s="132" t="str">
        <f>IF(COUNTIF('Art-A'!$A:$A, $C241), T$1, "")</f>
        <v/>
      </c>
      <c r="U241" s="132" t="str">
        <f>IF(COUNTIF('Art-B'!$A:$A, $C241), U$1, "")</f>
        <v/>
      </c>
      <c r="V241" s="132" t="str">
        <f>IF(COUNTIF('WH-A'!$A:$A, $C241), V$1, "")</f>
        <v/>
      </c>
      <c r="W241" s="132" t="str">
        <f>IF(COUNTIF('WH-B'!$A:$A, $C241), W$1, "")</f>
        <v/>
      </c>
      <c r="X241" s="132" t="str">
        <f>IF(COUNTIF(LETV!$A:$A, $C241), X$1, "")</f>
        <v/>
      </c>
      <c r="Y241" s="132" t="str">
        <f>IF(COUNTIF('Film&amp;Firm-A'!$A:$A, $C241), Y$1, "")</f>
        <v/>
      </c>
      <c r="Z241" s="132" t="str">
        <f>IF(COUNTIF('Film&amp;Firm-B'!$A:$A, $C241), Z$1, "")</f>
        <v/>
      </c>
      <c r="AA241" s="132" t="str">
        <f>IF(COUNTIF(SHRM!$A:$A, $C241), AA$1, "")</f>
        <v/>
      </c>
      <c r="AB241" s="132" t="str">
        <f>IF(COUNTIF('SCM-A'!$A:$A, $C241), AB$1, "")</f>
        <v/>
      </c>
      <c r="AC241" s="132" t="str">
        <f>IF(COUNTIF('SCM-B'!$A:$A, $C241), AC$1, "")</f>
        <v/>
      </c>
      <c r="AD241" s="132" t="str">
        <f>IF(COUNTIF(AIS!$A:$A, $C241), AD$1, "")</f>
        <v/>
      </c>
      <c r="AE241" s="132" t="str">
        <f>IF(COUNTIF(EB!$A:$A, $C241), AE$1, "")</f>
        <v>Employer Branding</v>
      </c>
      <c r="AF241" s="132" t="str">
        <f>IF(COUNTIF('AIAM-A'!$A:$A, $C241), AF$1, "")</f>
        <v/>
      </c>
      <c r="AG241" s="132" t="str">
        <f>IF(COUNTIF('AIAM-B'!$A:$A, $C241), AG$1, "")</f>
        <v/>
      </c>
      <c r="AH241" s="132" t="str">
        <f>IF(COUNTIF('SA-A'!$A:$A, $C241), AH$1, "")</f>
        <v>SPORTS ANALYTICS (A)</v>
      </c>
      <c r="AI241" s="132" t="str">
        <f>IF(COUNTIF('SA-B'!$A:$A, $C241), AI$1, "")</f>
        <v/>
      </c>
      <c r="AJ241" s="132" t="str">
        <f>IF(COUNTIF(CSM!$A:$A, $C241), AJ$1, "")</f>
        <v/>
      </c>
      <c r="AK241" s="132" t="str">
        <f>IF(COUNTIF(EM!$A:$A, $C241), AK$1, "")</f>
        <v/>
      </c>
      <c r="AL241" s="132" t="str">
        <f>IF(COUNTIF(I4TS!$A:$A, $C241), AL$1, "")</f>
        <v>Industry 4.0 in Transport Sector</v>
      </c>
    </row>
    <row r="242" spans="1:38" ht="13">
      <c r="A242" s="131">
        <v>241</v>
      </c>
      <c r="B242" s="131" t="s">
        <v>904</v>
      </c>
      <c r="C242" s="131" t="s">
        <v>1025</v>
      </c>
      <c r="D242" s="106" t="s">
        <v>1026</v>
      </c>
      <c r="E242" s="106" t="s">
        <v>1027</v>
      </c>
      <c r="F242" s="131">
        <f t="shared" ca="1" si="0"/>
        <v>5</v>
      </c>
      <c r="G242" s="106" t="str">
        <f ca="1">IFERROR(__xludf.DUMMYFUNCTION("INDEX(FILTER($P242:$AL242, $P242:$AL242 &lt;&gt; """"), 1)"),"Strategic HRM")</f>
        <v>Strategic HRM</v>
      </c>
      <c r="H242" s="106" t="str">
        <f ca="1">IFERROR(__xludf.DUMMYFUNCTION("INDEX(FILTER($P242:$AL242, $P242:$AL242 &lt;&gt; """"), 2)"),"Strategic Career Management (B)")</f>
        <v>Strategic Career Management (B)</v>
      </c>
      <c r="I242" s="106" t="str">
        <f ca="1">IFERROR(__xludf.DUMMYFUNCTION("INDEX(FILTER($P242:$AL242, $P242:$AL242 &lt;&gt; """"), 3)"),"AI AND  STRATEGY")</f>
        <v>AI AND  STRATEGY</v>
      </c>
      <c r="J242" s="106" t="str">
        <f ca="1">IFERROR(__xludf.DUMMYFUNCTION("IFERROR(INDEX(FILTER($P242:$AL242, $P242:$AL242 &lt;&gt; """"), 4),)"),"")</f>
        <v/>
      </c>
      <c r="K242" s="106" t="str">
        <f ca="1">IFERROR(__xludf.DUMMYFUNCTION("IFERROR(INDEX(FILTER($P242:$AL242, $P242:$AL242 &lt;&gt; """"), 5),)"),"")</f>
        <v/>
      </c>
      <c r="L242" s="107"/>
      <c r="M242" s="107"/>
      <c r="N242" s="107"/>
      <c r="O242" s="107"/>
      <c r="P242" s="132" t="str">
        <f>IF(COUNTIF('Fintech-A'!$A:$A, $C242), P$1, "")</f>
        <v/>
      </c>
      <c r="Q242" s="132" t="str">
        <f>IF(COUNTIF('Fintech-B'!$A:$A, $C242), Q$1, "")</f>
        <v/>
      </c>
      <c r="R242" s="132" t="str">
        <f>IF(COUNTIF('BEDM-A'!$A:$A, $C242), R$1, "")</f>
        <v/>
      </c>
      <c r="S242" s="132" t="str">
        <f>IF(COUNTIF('BEDM-B'!$A:$A, $C242), S$1, "")</f>
        <v/>
      </c>
      <c r="T242" s="132" t="str">
        <f>IF(COUNTIF('Art-A'!$A:$A, $C242), T$1, "")</f>
        <v/>
      </c>
      <c r="U242" s="132" t="str">
        <f>IF(COUNTIF('Art-B'!$A:$A, $C242), U$1, "")</f>
        <v/>
      </c>
      <c r="V242" s="132" t="str">
        <f>IF(COUNTIF('WH-A'!$A:$A, $C242), V$1, "")</f>
        <v/>
      </c>
      <c r="W242" s="132" t="str">
        <f>IF(COUNTIF('WH-B'!$A:$A, $C242), W$1, "")</f>
        <v/>
      </c>
      <c r="X242" s="132" t="str">
        <f>IF(COUNTIF(LETV!$A:$A, $C242), X$1, "")</f>
        <v/>
      </c>
      <c r="Y242" s="132" t="str">
        <f>IF(COUNTIF('Film&amp;Firm-A'!$A:$A, $C242), Y$1, "")</f>
        <v/>
      </c>
      <c r="Z242" s="132" t="str">
        <f>IF(COUNTIF('Film&amp;Firm-B'!$A:$A, $C242), Z$1, "")</f>
        <v/>
      </c>
      <c r="AA242" s="132" t="str">
        <f>IF(COUNTIF(SHRM!$A:$A, $C242), AA$1, "")</f>
        <v>Strategic HRM</v>
      </c>
      <c r="AB242" s="132" t="str">
        <f>IF(COUNTIF('SCM-A'!$A:$A, $C242), AB$1, "")</f>
        <v/>
      </c>
      <c r="AC242" s="132" t="str">
        <f>IF(COUNTIF('SCM-B'!$A:$A, $C242), AC$1, "")</f>
        <v>Strategic Career Management (B)</v>
      </c>
      <c r="AD242" s="132" t="str">
        <f>IF(COUNTIF(AIS!$A:$A, $C242), AD$1, "")</f>
        <v>AI AND  STRATEGY</v>
      </c>
      <c r="AE242" s="132" t="str">
        <f>IF(COUNTIF(EB!$A:$A, $C242), AE$1, "")</f>
        <v/>
      </c>
      <c r="AF242" s="132" t="str">
        <f>IF(COUNTIF('AIAM-A'!$A:$A, $C242), AF$1, "")</f>
        <v/>
      </c>
      <c r="AG242" s="132" t="str">
        <f>IF(COUNTIF('AIAM-B'!$A:$A, $C242), AG$1, "")</f>
        <v/>
      </c>
      <c r="AH242" s="132" t="str">
        <f>IF(COUNTIF('SA-A'!$A:$A, $C242), AH$1, "")</f>
        <v/>
      </c>
      <c r="AI242" s="132" t="str">
        <f>IF(COUNTIF('SA-B'!$A:$A, $C242), AI$1, "")</f>
        <v/>
      </c>
      <c r="AJ242" s="132" t="str">
        <f>IF(COUNTIF(CSM!$A:$A, $C242), AJ$1, "")</f>
        <v/>
      </c>
      <c r="AK242" s="132" t="str">
        <f>IF(COUNTIF(EM!$A:$A, $C242), AK$1, "")</f>
        <v/>
      </c>
      <c r="AL242" s="132" t="str">
        <f>IF(COUNTIF(I4TS!$A:$A, $C242), AL$1, "")</f>
        <v/>
      </c>
    </row>
    <row r="243" spans="1:38" ht="13">
      <c r="A243" s="131">
        <v>242</v>
      </c>
      <c r="B243" s="131" t="s">
        <v>904</v>
      </c>
      <c r="C243" s="131" t="s">
        <v>1028</v>
      </c>
      <c r="D243" s="106" t="s">
        <v>1029</v>
      </c>
      <c r="E243" s="106" t="s">
        <v>1030</v>
      </c>
      <c r="F243" s="131">
        <f t="shared" ca="1" si="0"/>
        <v>5</v>
      </c>
      <c r="G243" s="106" t="str">
        <f ca="1">IFERROR(__xludf.DUMMYFUNCTION("INDEX(FILTER($P243:$AL243, $P243:$AL243 &lt;&gt; """"), 1)"),"Fintech (Digital Transformation in Finance) (B)")</f>
        <v>Fintech (Digital Transformation in Finance) (B)</v>
      </c>
      <c r="H243" s="106" t="str">
        <f ca="1">IFERROR(__xludf.DUMMYFUNCTION("INDEX(FILTER($P243:$AL243, $P243:$AL243 &lt;&gt; """"), 2)"),"Film &amp; the Firm: Visual Culture in Business Contexts (B)")</f>
        <v>Film &amp; the Firm: Visual Culture in Business Contexts (B)</v>
      </c>
      <c r="I243" s="106" t="str">
        <f ca="1">IFERROR(__xludf.DUMMYFUNCTION("INDEX(FILTER($P243:$AL243, $P243:$AL243 &lt;&gt; """"), 3)"),"Employer Branding")</f>
        <v>Employer Branding</v>
      </c>
      <c r="J243" s="106" t="str">
        <f ca="1">IFERROR(__xludf.DUMMYFUNCTION("IFERROR(INDEX(FILTER($P243:$AL243, $P243:$AL243 &lt;&gt; """"), 4),)"),"SPORTS ANALYTICS (B)")</f>
        <v>SPORTS ANALYTICS (B)</v>
      </c>
      <c r="K243" s="106" t="str">
        <f ca="1">IFERROR(__xludf.DUMMYFUNCTION("IFERROR(INDEX(FILTER($P243:$AL243, $P243:$AL243 &lt;&gt; """"), 5),)"),"Customer Success Management")</f>
        <v>Customer Success Management</v>
      </c>
      <c r="L243" s="107"/>
      <c r="M243" s="107"/>
      <c r="N243" s="107"/>
      <c r="O243" s="107"/>
      <c r="P243" s="132" t="str">
        <f>IF(COUNTIF('Fintech-A'!$A:$A, $C243), P$1, "")</f>
        <v/>
      </c>
      <c r="Q243" s="132" t="str">
        <f>IF(COUNTIF('Fintech-B'!$A:$A, $C243), Q$1, "")</f>
        <v>Fintech (Digital Transformation in Finance) (B)</v>
      </c>
      <c r="R243" s="132" t="str">
        <f>IF(COUNTIF('BEDM-A'!$A:$A, $C243), R$1, "")</f>
        <v/>
      </c>
      <c r="S243" s="132" t="str">
        <f>IF(COUNTIF('BEDM-B'!$A:$A, $C243), S$1, "")</f>
        <v/>
      </c>
      <c r="T243" s="132" t="str">
        <f>IF(COUNTIF('Art-A'!$A:$A, $C243), T$1, "")</f>
        <v/>
      </c>
      <c r="U243" s="132" t="str">
        <f>IF(COUNTIF('Art-B'!$A:$A, $C243), U$1, "")</f>
        <v/>
      </c>
      <c r="V243" s="132" t="str">
        <f>IF(COUNTIF('WH-A'!$A:$A, $C243), V$1, "")</f>
        <v/>
      </c>
      <c r="W243" s="132" t="str">
        <f>IF(COUNTIF('WH-B'!$A:$A, $C243), W$1, "")</f>
        <v/>
      </c>
      <c r="X243" s="132" t="str">
        <f>IF(COUNTIF(LETV!$A:$A, $C243), X$1, "")</f>
        <v/>
      </c>
      <c r="Y243" s="132" t="str">
        <f>IF(COUNTIF('Film&amp;Firm-A'!$A:$A, $C243), Y$1, "")</f>
        <v/>
      </c>
      <c r="Z243" s="132" t="str">
        <f>IF(COUNTIF('Film&amp;Firm-B'!$A:$A, $C243), Z$1, "")</f>
        <v>Film &amp; the Firm: Visual Culture in Business Contexts (B)</v>
      </c>
      <c r="AA243" s="132" t="str">
        <f>IF(COUNTIF(SHRM!$A:$A, $C243), AA$1, "")</f>
        <v/>
      </c>
      <c r="AB243" s="132" t="str">
        <f>IF(COUNTIF('SCM-A'!$A:$A, $C243), AB$1, "")</f>
        <v/>
      </c>
      <c r="AC243" s="132" t="str">
        <f>IF(COUNTIF('SCM-B'!$A:$A, $C243), AC$1, "")</f>
        <v/>
      </c>
      <c r="AD243" s="132" t="str">
        <f>IF(COUNTIF(AIS!$A:$A, $C243), AD$1, "")</f>
        <v/>
      </c>
      <c r="AE243" s="132" t="str">
        <f>IF(COUNTIF(EB!$A:$A, $C243), AE$1, "")</f>
        <v>Employer Branding</v>
      </c>
      <c r="AF243" s="132" t="str">
        <f>IF(COUNTIF('AIAM-A'!$A:$A, $C243), AF$1, "")</f>
        <v/>
      </c>
      <c r="AG243" s="132" t="str">
        <f>IF(COUNTIF('AIAM-B'!$A:$A, $C243), AG$1, "")</f>
        <v/>
      </c>
      <c r="AH243" s="132" t="str">
        <f>IF(COUNTIF('SA-A'!$A:$A, $C243), AH$1, "")</f>
        <v/>
      </c>
      <c r="AI243" s="132" t="str">
        <f>IF(COUNTIF('SA-B'!$A:$A, $C243), AI$1, "")</f>
        <v>SPORTS ANALYTICS (B)</v>
      </c>
      <c r="AJ243" s="132" t="str">
        <f>IF(COUNTIF(CSM!$A:$A, $C243), AJ$1, "")</f>
        <v>Customer Success Management</v>
      </c>
      <c r="AK243" s="132" t="str">
        <f>IF(COUNTIF(EM!$A:$A, $C243), AK$1, "")</f>
        <v/>
      </c>
      <c r="AL243" s="132" t="str">
        <f>IF(COUNTIF(I4TS!$A:$A, $C243), AL$1, "")</f>
        <v/>
      </c>
    </row>
    <row r="244" spans="1:38" ht="13">
      <c r="A244" s="131">
        <v>243</v>
      </c>
      <c r="B244" s="131" t="s">
        <v>904</v>
      </c>
      <c r="C244" s="131" t="s">
        <v>208</v>
      </c>
      <c r="D244" s="106" t="s">
        <v>1031</v>
      </c>
      <c r="E244" s="106" t="s">
        <v>1032</v>
      </c>
      <c r="F244" s="131">
        <f t="shared" ca="1" si="0"/>
        <v>5</v>
      </c>
      <c r="G244" s="106" t="str">
        <f ca="1">IFERROR(__xludf.DUMMYFUNCTION("INDEX(FILTER($P244:$AL244, $P244:$AL244 &lt;&gt; """"), 1)"),"Film &amp; the Firm: Visual Culture in Business Contexts (A)")</f>
        <v>Film &amp; the Firm: Visual Culture in Business Contexts (A)</v>
      </c>
      <c r="H244" s="106" t="str">
        <f ca="1">IFERROR(__xludf.DUMMYFUNCTION("INDEX(FILTER($P244:$AL244, $P244:$AL244 &lt;&gt; """"), 2)"),"Strategic HRM")</f>
        <v>Strategic HRM</v>
      </c>
      <c r="I244" s="106" t="str">
        <f ca="1">IFERROR(__xludf.DUMMYFUNCTION("INDEX(FILTER($P244:$AL244, $P244:$AL244 &lt;&gt; """"), 3)"),"AI AND  STRATEGY")</f>
        <v>AI AND  STRATEGY</v>
      </c>
      <c r="J244" s="106" t="str">
        <f ca="1">IFERROR(__xludf.DUMMYFUNCTION("IFERROR(INDEX(FILTER($P244:$AL244, $P244:$AL244 &lt;&gt; """"), 4),)"),"")</f>
        <v/>
      </c>
      <c r="K244" s="106" t="str">
        <f ca="1">IFERROR(__xludf.DUMMYFUNCTION("IFERROR(INDEX(FILTER($P244:$AL244, $P244:$AL244 &lt;&gt; """"), 5),)"),"")</f>
        <v/>
      </c>
      <c r="L244" s="107"/>
      <c r="M244" s="107"/>
      <c r="N244" s="107"/>
      <c r="O244" s="107"/>
      <c r="P244" s="132" t="str">
        <f>IF(COUNTIF('Fintech-A'!$A:$A, $C244), P$1, "")</f>
        <v/>
      </c>
      <c r="Q244" s="132" t="str">
        <f>IF(COUNTIF('Fintech-B'!$A:$A, $C244), Q$1, "")</f>
        <v/>
      </c>
      <c r="R244" s="132" t="str">
        <f>IF(COUNTIF('BEDM-A'!$A:$A, $C244), R$1, "")</f>
        <v/>
      </c>
      <c r="S244" s="132" t="str">
        <f>IF(COUNTIF('BEDM-B'!$A:$A, $C244), S$1, "")</f>
        <v/>
      </c>
      <c r="T244" s="132" t="str">
        <f>IF(COUNTIF('Art-A'!$A:$A, $C244), T$1, "")</f>
        <v/>
      </c>
      <c r="U244" s="132" t="str">
        <f>IF(COUNTIF('Art-B'!$A:$A, $C244), U$1, "")</f>
        <v/>
      </c>
      <c r="V244" s="132" t="str">
        <f>IF(COUNTIF('WH-A'!$A:$A, $C244), V$1, "")</f>
        <v/>
      </c>
      <c r="W244" s="132" t="str">
        <f>IF(COUNTIF('WH-B'!$A:$A, $C244), W$1, "")</f>
        <v/>
      </c>
      <c r="X244" s="132" t="str">
        <f>IF(COUNTIF(LETV!$A:$A, $C244), X$1, "")</f>
        <v/>
      </c>
      <c r="Y244" s="132" t="str">
        <f>IF(COUNTIF('Film&amp;Firm-A'!$A:$A, $C244), Y$1, "")</f>
        <v>Film &amp; the Firm: Visual Culture in Business Contexts (A)</v>
      </c>
      <c r="Z244" s="132" t="str">
        <f>IF(COUNTIF('Film&amp;Firm-B'!$A:$A, $C244), Z$1, "")</f>
        <v/>
      </c>
      <c r="AA244" s="132" t="str">
        <f>IF(COUNTIF(SHRM!$A:$A, $C244), AA$1, "")</f>
        <v>Strategic HRM</v>
      </c>
      <c r="AB244" s="132" t="str">
        <f>IF(COUNTIF('SCM-A'!$A:$A, $C244), AB$1, "")</f>
        <v/>
      </c>
      <c r="AC244" s="132" t="str">
        <f>IF(COUNTIF('SCM-B'!$A:$A, $C244), AC$1, "")</f>
        <v/>
      </c>
      <c r="AD244" s="132" t="str">
        <f>IF(COUNTIF(AIS!$A:$A, $C244), AD$1, "")</f>
        <v>AI AND  STRATEGY</v>
      </c>
      <c r="AE244" s="132" t="str">
        <f>IF(COUNTIF(EB!$A:$A, $C244), AE$1, "")</f>
        <v/>
      </c>
      <c r="AF244" s="132" t="str">
        <f>IF(COUNTIF('AIAM-A'!$A:$A, $C244), AF$1, "")</f>
        <v/>
      </c>
      <c r="AG244" s="132" t="str">
        <f>IF(COUNTIF('AIAM-B'!$A:$A, $C244), AG$1, "")</f>
        <v/>
      </c>
      <c r="AH244" s="132" t="str">
        <f>IF(COUNTIF('SA-A'!$A:$A, $C244), AH$1, "")</f>
        <v/>
      </c>
      <c r="AI244" s="132" t="str">
        <f>IF(COUNTIF('SA-B'!$A:$A, $C244), AI$1, "")</f>
        <v/>
      </c>
      <c r="AJ244" s="132" t="str">
        <f>IF(COUNTIF(CSM!$A:$A, $C244), AJ$1, "")</f>
        <v/>
      </c>
      <c r="AK244" s="132" t="str">
        <f>IF(COUNTIF(EM!$A:$A, $C244), AK$1, "")</f>
        <v/>
      </c>
      <c r="AL244" s="132" t="str">
        <f>IF(COUNTIF(I4TS!$A:$A, $C244), AL$1, "")</f>
        <v/>
      </c>
    </row>
    <row r="245" spans="1:38" ht="13">
      <c r="A245" s="131">
        <v>244</v>
      </c>
      <c r="B245" s="131" t="s">
        <v>904</v>
      </c>
      <c r="C245" s="131" t="s">
        <v>1033</v>
      </c>
      <c r="D245" s="106" t="s">
        <v>1034</v>
      </c>
      <c r="E245" s="106" t="s">
        <v>1035</v>
      </c>
      <c r="F245" s="131">
        <f t="shared" ca="1" si="0"/>
        <v>5</v>
      </c>
      <c r="G245" s="106" t="str">
        <f ca="1">IFERROR(__xludf.DUMMYFUNCTION("INDEX(FILTER($P245:$AL245, $P245:$AL245 &lt;&gt; """"), 1)"),"Behavioural Economics and Decision-Making (A)")</f>
        <v>Behavioural Economics and Decision-Making (A)</v>
      </c>
      <c r="H245" s="106" t="str">
        <f ca="1">IFERROR(__xludf.DUMMYFUNCTION("INDEX(FILTER($P245:$AL245, $P245:$AL245 &lt;&gt; """"), 2)"),"SPORTS ANALYTICS (B)")</f>
        <v>SPORTS ANALYTICS (B)</v>
      </c>
      <c r="I245" s="106" t="str">
        <f ca="1">IFERROR(__xludf.DUMMYFUNCTION("INDEX(FILTER($P245:$AL245, $P245:$AL245 &lt;&gt; """"), 3)"),"Entrepreneurial Marketing")</f>
        <v>Entrepreneurial Marketing</v>
      </c>
      <c r="J245" s="106" t="str">
        <f ca="1">IFERROR(__xludf.DUMMYFUNCTION("IFERROR(INDEX(FILTER($P245:$AL245, $P245:$AL245 &lt;&gt; """"), 4),)"),"")</f>
        <v/>
      </c>
      <c r="K245" s="106" t="str">
        <f ca="1">IFERROR(__xludf.DUMMYFUNCTION("IFERROR(INDEX(FILTER($P245:$AL245, $P245:$AL245 &lt;&gt; """"), 5),)"),"")</f>
        <v/>
      </c>
      <c r="L245" s="107"/>
      <c r="M245" s="107"/>
      <c r="N245" s="107"/>
      <c r="O245" s="107"/>
      <c r="P245" s="132" t="str">
        <f>IF(COUNTIF('Fintech-A'!$A:$A, $C245), P$1, "")</f>
        <v/>
      </c>
      <c r="Q245" s="132" t="str">
        <f>IF(COUNTIF('Fintech-B'!$A:$A, $C245), Q$1, "")</f>
        <v/>
      </c>
      <c r="R245" s="132" t="str">
        <f>IF(COUNTIF('BEDM-A'!$A:$A, $C245), R$1, "")</f>
        <v>Behavioural Economics and Decision-Making (A)</v>
      </c>
      <c r="S245" s="132" t="str">
        <f>IF(COUNTIF('BEDM-B'!$A:$A, $C245), S$1, "")</f>
        <v/>
      </c>
      <c r="T245" s="132" t="str">
        <f>IF(COUNTIF('Art-A'!$A:$A, $C245), T$1, "")</f>
        <v/>
      </c>
      <c r="U245" s="132" t="str">
        <f>IF(COUNTIF('Art-B'!$A:$A, $C245), U$1, "")</f>
        <v/>
      </c>
      <c r="V245" s="132" t="str">
        <f>IF(COUNTIF('WH-A'!$A:$A, $C245), V$1, "")</f>
        <v/>
      </c>
      <c r="W245" s="132" t="str">
        <f>IF(COUNTIF('WH-B'!$A:$A, $C245), W$1, "")</f>
        <v/>
      </c>
      <c r="X245" s="132" t="str">
        <f>IF(COUNTIF(LETV!$A:$A, $C245), X$1, "")</f>
        <v/>
      </c>
      <c r="Y245" s="132" t="str">
        <f>IF(COUNTIF('Film&amp;Firm-A'!$A:$A, $C245), Y$1, "")</f>
        <v/>
      </c>
      <c r="Z245" s="132" t="str">
        <f>IF(COUNTIF('Film&amp;Firm-B'!$A:$A, $C245), Z$1, "")</f>
        <v/>
      </c>
      <c r="AA245" s="132" t="str">
        <f>IF(COUNTIF(SHRM!$A:$A, $C245), AA$1, "")</f>
        <v/>
      </c>
      <c r="AB245" s="132" t="str">
        <f>IF(COUNTIF('SCM-A'!$A:$A, $C245), AB$1, "")</f>
        <v/>
      </c>
      <c r="AC245" s="132" t="str">
        <f>IF(COUNTIF('SCM-B'!$A:$A, $C245), AC$1, "")</f>
        <v/>
      </c>
      <c r="AD245" s="132" t="str">
        <f>IF(COUNTIF(AIS!$A:$A, $C245), AD$1, "")</f>
        <v/>
      </c>
      <c r="AE245" s="132" t="str">
        <f>IF(COUNTIF(EB!$A:$A, $C245), AE$1, "")</f>
        <v/>
      </c>
      <c r="AF245" s="132" t="str">
        <f>IF(COUNTIF('AIAM-A'!$A:$A, $C245), AF$1, "")</f>
        <v/>
      </c>
      <c r="AG245" s="132" t="str">
        <f>IF(COUNTIF('AIAM-B'!$A:$A, $C245), AG$1, "")</f>
        <v/>
      </c>
      <c r="AH245" s="132" t="str">
        <f>IF(COUNTIF('SA-A'!$A:$A, $C245), AH$1, "")</f>
        <v/>
      </c>
      <c r="AI245" s="132" t="str">
        <f>IF(COUNTIF('SA-B'!$A:$A, $C245), AI$1, "")</f>
        <v>SPORTS ANALYTICS (B)</v>
      </c>
      <c r="AJ245" s="132" t="str">
        <f>IF(COUNTIF(CSM!$A:$A, $C245), AJ$1, "")</f>
        <v/>
      </c>
      <c r="AK245" s="132" t="str">
        <f>IF(COUNTIF(EM!$A:$A, $C245), AK$1, "")</f>
        <v>Entrepreneurial Marketing</v>
      </c>
      <c r="AL245" s="132" t="str">
        <f>IF(COUNTIF(I4TS!$A:$A, $C245), AL$1, "")</f>
        <v/>
      </c>
    </row>
    <row r="246" spans="1:38" ht="13">
      <c r="A246" s="131">
        <v>245</v>
      </c>
      <c r="B246" s="131" t="s">
        <v>904</v>
      </c>
      <c r="C246" s="131" t="s">
        <v>1036</v>
      </c>
      <c r="D246" s="106" t="s">
        <v>1037</v>
      </c>
      <c r="E246" s="106" t="s">
        <v>1038</v>
      </c>
      <c r="F246" s="131">
        <f t="shared" ca="1" si="0"/>
        <v>5</v>
      </c>
      <c r="G246" s="106" t="str">
        <f ca="1">IFERROR(__xludf.DUMMYFUNCTION("INDEX(FILTER($P246:$AL246, $P246:$AL246 &lt;&gt; """"), 1)"),"Behavioural Economics and Decision-Making (B)")</f>
        <v>Behavioural Economics and Decision-Making (B)</v>
      </c>
      <c r="H246" s="106" t="str">
        <f ca="1">IFERROR(__xludf.DUMMYFUNCTION("INDEX(FILTER($P246:$AL246, $P246:$AL246 &lt;&gt; """"), 2)"),"AI Applications in Marketing (B)")</f>
        <v>AI Applications in Marketing (B)</v>
      </c>
      <c r="I246" s="106" t="str">
        <f ca="1">IFERROR(__xludf.DUMMYFUNCTION("INDEX(FILTER($P246:$AL246, $P246:$AL246 &lt;&gt; """"), 3)"),"SPORTS ANALYTICS (B)")</f>
        <v>SPORTS ANALYTICS (B)</v>
      </c>
      <c r="J246" s="106" t="str">
        <f ca="1">IFERROR(__xludf.DUMMYFUNCTION("IFERROR(INDEX(FILTER($P246:$AL246, $P246:$AL246 &lt;&gt; """"), 4),)"),"")</f>
        <v/>
      </c>
      <c r="K246" s="106" t="str">
        <f ca="1">IFERROR(__xludf.DUMMYFUNCTION("IFERROR(INDEX(FILTER($P246:$AL246, $P246:$AL246 &lt;&gt; """"), 5),)"),"")</f>
        <v/>
      </c>
      <c r="L246" s="107"/>
      <c r="M246" s="107"/>
      <c r="N246" s="107"/>
      <c r="O246" s="107"/>
      <c r="P246" s="132" t="str">
        <f>IF(COUNTIF('Fintech-A'!$A:$A, $C246), P$1, "")</f>
        <v/>
      </c>
      <c r="Q246" s="132" t="str">
        <f>IF(COUNTIF('Fintech-B'!$A:$A, $C246), Q$1, "")</f>
        <v/>
      </c>
      <c r="R246" s="132" t="str">
        <f>IF(COUNTIF('BEDM-A'!$A:$A, $C246), R$1, "")</f>
        <v/>
      </c>
      <c r="S246" s="132" t="str">
        <f>IF(COUNTIF('BEDM-B'!$A:$A, $C246), S$1, "")</f>
        <v>Behavioural Economics and Decision-Making (B)</v>
      </c>
      <c r="T246" s="132" t="str">
        <f>IF(COUNTIF('Art-A'!$A:$A, $C246), T$1, "")</f>
        <v/>
      </c>
      <c r="U246" s="132" t="str">
        <f>IF(COUNTIF('Art-B'!$A:$A, $C246), U$1, "")</f>
        <v/>
      </c>
      <c r="V246" s="132" t="str">
        <f>IF(COUNTIF('WH-A'!$A:$A, $C246), V$1, "")</f>
        <v/>
      </c>
      <c r="W246" s="132" t="str">
        <f>IF(COUNTIF('WH-B'!$A:$A, $C246), W$1, "")</f>
        <v/>
      </c>
      <c r="X246" s="132" t="str">
        <f>IF(COUNTIF(LETV!$A:$A, $C246), X$1, "")</f>
        <v/>
      </c>
      <c r="Y246" s="132" t="str">
        <f>IF(COUNTIF('Film&amp;Firm-A'!$A:$A, $C246), Y$1, "")</f>
        <v/>
      </c>
      <c r="Z246" s="132" t="str">
        <f>IF(COUNTIF('Film&amp;Firm-B'!$A:$A, $C246), Z$1, "")</f>
        <v/>
      </c>
      <c r="AA246" s="132" t="str">
        <f>IF(COUNTIF(SHRM!$A:$A, $C246), AA$1, "")</f>
        <v/>
      </c>
      <c r="AB246" s="132" t="str">
        <f>IF(COUNTIF('SCM-A'!$A:$A, $C246), AB$1, "")</f>
        <v/>
      </c>
      <c r="AC246" s="132" t="str">
        <f>IF(COUNTIF('SCM-B'!$A:$A, $C246), AC$1, "")</f>
        <v/>
      </c>
      <c r="AD246" s="132" t="str">
        <f>IF(COUNTIF(AIS!$A:$A, $C246), AD$1, "")</f>
        <v/>
      </c>
      <c r="AE246" s="132" t="str">
        <f>IF(COUNTIF(EB!$A:$A, $C246), AE$1, "")</f>
        <v/>
      </c>
      <c r="AF246" s="132" t="str">
        <f>IF(COUNTIF('AIAM-A'!$A:$A, $C246), AF$1, "")</f>
        <v/>
      </c>
      <c r="AG246" s="132" t="str">
        <f>IF(COUNTIF('AIAM-B'!$A:$A, $C246), AG$1, "")</f>
        <v>AI Applications in Marketing (B)</v>
      </c>
      <c r="AH246" s="132" t="str">
        <f>IF(COUNTIF('SA-A'!$A:$A, $C246), AH$1, "")</f>
        <v/>
      </c>
      <c r="AI246" s="132" t="str">
        <f>IF(COUNTIF('SA-B'!$A:$A, $C246), AI$1, "")</f>
        <v>SPORTS ANALYTICS (B)</v>
      </c>
      <c r="AJ246" s="132" t="str">
        <f>IF(COUNTIF(CSM!$A:$A, $C246), AJ$1, "")</f>
        <v/>
      </c>
      <c r="AK246" s="132" t="str">
        <f>IF(COUNTIF(EM!$A:$A, $C246), AK$1, "")</f>
        <v/>
      </c>
      <c r="AL246" s="132" t="str">
        <f>IF(COUNTIF(I4TS!$A:$A, $C246), AL$1, "")</f>
        <v/>
      </c>
    </row>
    <row r="247" spans="1:38" ht="13">
      <c r="A247" s="131">
        <v>246</v>
      </c>
      <c r="B247" s="131" t="s">
        <v>904</v>
      </c>
      <c r="C247" s="131" t="s">
        <v>1039</v>
      </c>
      <c r="D247" s="106" t="s">
        <v>1040</v>
      </c>
      <c r="E247" s="106" t="s">
        <v>1041</v>
      </c>
      <c r="F247" s="131">
        <f t="shared" ca="1" si="0"/>
        <v>5</v>
      </c>
      <c r="G247" s="106" t="str">
        <f ca="1">IFERROR(__xludf.DUMMYFUNCTION("INDEX(FILTER($P247:$AL247, $P247:$AL247 &lt;&gt; """"), 1)"),"The Art, Craft, and Science of Management: Learning through Classics and Best Collections (A)")</f>
        <v>The Art, Craft, and Science of Management: Learning through Classics and Best Collections (A)</v>
      </c>
      <c r="H247" s="106" t="str">
        <f ca="1">IFERROR(__xludf.DUMMYFUNCTION("INDEX(FILTER($P247:$AL247, $P247:$AL247 &lt;&gt; """"), 2)"),"Workplace Happiness: Science &amp; Practice (A)")</f>
        <v>Workplace Happiness: Science &amp; Practice (A)</v>
      </c>
      <c r="I247" s="106" t="str">
        <f ca="1">IFERROR(__xludf.DUMMYFUNCTION("INDEX(FILTER($P247:$AL247, $P247:$AL247 &lt;&gt; """"), 3)"),"Film &amp; the Firm: Visual Culture in Business Contexts (B)")</f>
        <v>Film &amp; the Firm: Visual Culture in Business Contexts (B)</v>
      </c>
      <c r="J247" s="106" t="str">
        <f ca="1">IFERROR(__xludf.DUMMYFUNCTION("IFERROR(INDEX(FILTER($P247:$AL247, $P247:$AL247 &lt;&gt; """"), 4),)"),"")</f>
        <v/>
      </c>
      <c r="K247" s="106" t="str">
        <f ca="1">IFERROR(__xludf.DUMMYFUNCTION("IFERROR(INDEX(FILTER($P247:$AL247, $P247:$AL247 &lt;&gt; """"), 5),)"),"")</f>
        <v/>
      </c>
      <c r="L247" s="107"/>
      <c r="M247" s="107"/>
      <c r="N247" s="107"/>
      <c r="O247" s="107"/>
      <c r="P247" s="132" t="str">
        <f>IF(COUNTIF('Fintech-A'!$A:$A, $C247), P$1, "")</f>
        <v/>
      </c>
      <c r="Q247" s="132" t="str">
        <f>IF(COUNTIF('Fintech-B'!$A:$A, $C247), Q$1, "")</f>
        <v/>
      </c>
      <c r="R247" s="132" t="str">
        <f>IF(COUNTIF('BEDM-A'!$A:$A, $C247), R$1, "")</f>
        <v/>
      </c>
      <c r="S247" s="132" t="str">
        <f>IF(COUNTIF('BEDM-B'!$A:$A, $C247), S$1, "")</f>
        <v/>
      </c>
      <c r="T247" s="132" t="str">
        <f>IF(COUNTIF('Art-A'!$A:$A, $C247), T$1, "")</f>
        <v>The Art, Craft, and Science of Management: Learning through Classics and Best Collections (A)</v>
      </c>
      <c r="U247" s="132" t="str">
        <f>IF(COUNTIF('Art-B'!$A:$A, $C247), U$1, "")</f>
        <v/>
      </c>
      <c r="V247" s="132" t="str">
        <f>IF(COUNTIF('WH-A'!$A:$A, $C247), V$1, "")</f>
        <v>Workplace Happiness: Science &amp; Practice (A)</v>
      </c>
      <c r="W247" s="132" t="str">
        <f>IF(COUNTIF('WH-B'!$A:$A, $C247), W$1, "")</f>
        <v/>
      </c>
      <c r="X247" s="132" t="str">
        <f>IF(COUNTIF(LETV!$A:$A, $C247), X$1, "")</f>
        <v/>
      </c>
      <c r="Y247" s="132" t="str">
        <f>IF(COUNTIF('Film&amp;Firm-A'!$A:$A, $C247), Y$1, "")</f>
        <v/>
      </c>
      <c r="Z247" s="132" t="str">
        <f>IF(COUNTIF('Film&amp;Firm-B'!$A:$A, $C247), Z$1, "")</f>
        <v>Film &amp; the Firm: Visual Culture in Business Contexts (B)</v>
      </c>
      <c r="AA247" s="132" t="str">
        <f>IF(COUNTIF(SHRM!$A:$A, $C247), AA$1, "")</f>
        <v/>
      </c>
      <c r="AB247" s="132" t="str">
        <f>IF(COUNTIF('SCM-A'!$A:$A, $C247), AB$1, "")</f>
        <v/>
      </c>
      <c r="AC247" s="132" t="str">
        <f>IF(COUNTIF('SCM-B'!$A:$A, $C247), AC$1, "")</f>
        <v/>
      </c>
      <c r="AD247" s="132" t="str">
        <f>IF(COUNTIF(AIS!$A:$A, $C247), AD$1, "")</f>
        <v/>
      </c>
      <c r="AE247" s="132" t="str">
        <f>IF(COUNTIF(EB!$A:$A, $C247), AE$1, "")</f>
        <v/>
      </c>
      <c r="AF247" s="132" t="str">
        <f>IF(COUNTIF('AIAM-A'!$A:$A, $C247), AF$1, "")</f>
        <v/>
      </c>
      <c r="AG247" s="132" t="str">
        <f>IF(COUNTIF('AIAM-B'!$A:$A, $C247), AG$1, "")</f>
        <v/>
      </c>
      <c r="AH247" s="132" t="str">
        <f>IF(COUNTIF('SA-A'!$A:$A, $C247), AH$1, "")</f>
        <v/>
      </c>
      <c r="AI247" s="132" t="str">
        <f>IF(COUNTIF('SA-B'!$A:$A, $C247), AI$1, "")</f>
        <v/>
      </c>
      <c r="AJ247" s="132" t="str">
        <f>IF(COUNTIF(CSM!$A:$A, $C247), AJ$1, "")</f>
        <v/>
      </c>
      <c r="AK247" s="132" t="str">
        <f>IF(COUNTIF(EM!$A:$A, $C247), AK$1, "")</f>
        <v/>
      </c>
      <c r="AL247" s="132" t="str">
        <f>IF(COUNTIF(I4TS!$A:$A, $C247), AL$1, "")</f>
        <v/>
      </c>
    </row>
    <row r="248" spans="1:38" ht="13">
      <c r="A248" s="131">
        <v>247</v>
      </c>
      <c r="B248" s="131" t="s">
        <v>904</v>
      </c>
      <c r="C248" s="131" t="s">
        <v>223</v>
      </c>
      <c r="D248" s="106" t="s">
        <v>1042</v>
      </c>
      <c r="E248" s="106" t="s">
        <v>1043</v>
      </c>
      <c r="F248" s="131">
        <f t="shared" ca="1" si="0"/>
        <v>5</v>
      </c>
      <c r="G248" s="106" t="str">
        <f ca="1">IFERROR(__xludf.DUMMYFUNCTION("INDEX(FILTER($P248:$AL248, $P248:$AL248 &lt;&gt; """"), 1)"),"The Art, Craft, and Science of Management: Learning through Classics and Best Collections (A)")</f>
        <v>The Art, Craft, and Science of Management: Learning through Classics and Best Collections (A)</v>
      </c>
      <c r="H248" s="106" t="str">
        <f ca="1">IFERROR(__xludf.DUMMYFUNCTION("INDEX(FILTER($P248:$AL248, $P248:$AL248 &lt;&gt; """"), 2)"),"Leadership Excellence Through Values : Wisdom from the Mahabharata")</f>
        <v>Leadership Excellence Through Values : Wisdom from the Mahabharata</v>
      </c>
      <c r="I248" s="106" t="str">
        <f ca="1">IFERROR(__xludf.DUMMYFUNCTION("INDEX(FILTER($P248:$AL248, $P248:$AL248 &lt;&gt; """"), 3)"),"Film &amp; the Firm: Visual Culture in Business Contexts (B)")</f>
        <v>Film &amp; the Firm: Visual Culture in Business Contexts (B)</v>
      </c>
      <c r="J248" s="106" t="str">
        <f ca="1">IFERROR(__xludf.DUMMYFUNCTION("IFERROR(INDEX(FILTER($P248:$AL248, $P248:$AL248 &lt;&gt; """"), 4),)"),"")</f>
        <v/>
      </c>
      <c r="K248" s="106" t="str">
        <f ca="1">IFERROR(__xludf.DUMMYFUNCTION("IFERROR(INDEX(FILTER($P248:$AL248, $P248:$AL248 &lt;&gt; """"), 5),)"),"")</f>
        <v/>
      </c>
      <c r="L248" s="107"/>
      <c r="M248" s="107"/>
      <c r="N248" s="107"/>
      <c r="O248" s="107"/>
      <c r="P248" s="132" t="str">
        <f>IF(COUNTIF('Fintech-A'!$A:$A, $C248), P$1, "")</f>
        <v/>
      </c>
      <c r="Q248" s="132" t="str">
        <f>IF(COUNTIF('Fintech-B'!$A:$A, $C248), Q$1, "")</f>
        <v/>
      </c>
      <c r="R248" s="132" t="str">
        <f>IF(COUNTIF('BEDM-A'!$A:$A, $C248), R$1, "")</f>
        <v/>
      </c>
      <c r="S248" s="132" t="str">
        <f>IF(COUNTIF('BEDM-B'!$A:$A, $C248), S$1, "")</f>
        <v/>
      </c>
      <c r="T248" s="132" t="str">
        <f>IF(COUNTIF('Art-A'!$A:$A, $C248), T$1, "")</f>
        <v>The Art, Craft, and Science of Management: Learning through Classics and Best Collections (A)</v>
      </c>
      <c r="U248" s="132" t="str">
        <f>IF(COUNTIF('Art-B'!$A:$A, $C248), U$1, "")</f>
        <v/>
      </c>
      <c r="V248" s="132" t="str">
        <f>IF(COUNTIF('WH-A'!$A:$A, $C248), V$1, "")</f>
        <v/>
      </c>
      <c r="W248" s="132" t="str">
        <f>IF(COUNTIF('WH-B'!$A:$A, $C248), W$1, "")</f>
        <v/>
      </c>
      <c r="X248" s="132" t="str">
        <f>IF(COUNTIF(LETV!$A:$A, $C248), X$1, "")</f>
        <v>Leadership Excellence Through Values : Wisdom from the Mahabharata</v>
      </c>
      <c r="Y248" s="132" t="str">
        <f>IF(COUNTIF('Film&amp;Firm-A'!$A:$A, $C248), Y$1, "")</f>
        <v/>
      </c>
      <c r="Z248" s="132" t="str">
        <f>IF(COUNTIF('Film&amp;Firm-B'!$A:$A, $C248), Z$1, "")</f>
        <v>Film &amp; the Firm: Visual Culture in Business Contexts (B)</v>
      </c>
      <c r="AA248" s="132" t="str">
        <f>IF(COUNTIF(SHRM!$A:$A, $C248), AA$1, "")</f>
        <v/>
      </c>
      <c r="AB248" s="132" t="str">
        <f>IF(COUNTIF('SCM-A'!$A:$A, $C248), AB$1, "")</f>
        <v/>
      </c>
      <c r="AC248" s="132" t="str">
        <f>IF(COUNTIF('SCM-B'!$A:$A, $C248), AC$1, "")</f>
        <v/>
      </c>
      <c r="AD248" s="132" t="str">
        <f>IF(COUNTIF(AIS!$A:$A, $C248), AD$1, "")</f>
        <v/>
      </c>
      <c r="AE248" s="132" t="str">
        <f>IF(COUNTIF(EB!$A:$A, $C248), AE$1, "")</f>
        <v/>
      </c>
      <c r="AF248" s="132" t="str">
        <f>IF(COUNTIF('AIAM-A'!$A:$A, $C248), AF$1, "")</f>
        <v/>
      </c>
      <c r="AG248" s="132" t="str">
        <f>IF(COUNTIF('AIAM-B'!$A:$A, $C248), AG$1, "")</f>
        <v/>
      </c>
      <c r="AH248" s="132" t="str">
        <f>IF(COUNTIF('SA-A'!$A:$A, $C248), AH$1, "")</f>
        <v/>
      </c>
      <c r="AI248" s="132" t="str">
        <f>IF(COUNTIF('SA-B'!$A:$A, $C248), AI$1, "")</f>
        <v/>
      </c>
      <c r="AJ248" s="132" t="str">
        <f>IF(COUNTIF(CSM!$A:$A, $C248), AJ$1, "")</f>
        <v/>
      </c>
      <c r="AK248" s="132" t="str">
        <f>IF(COUNTIF(EM!$A:$A, $C248), AK$1, "")</f>
        <v/>
      </c>
      <c r="AL248" s="132" t="str">
        <f>IF(COUNTIF(I4TS!$A:$A, $C248), AL$1, "")</f>
        <v/>
      </c>
    </row>
    <row r="249" spans="1:38" ht="13">
      <c r="A249" s="131">
        <v>248</v>
      </c>
      <c r="B249" s="131" t="s">
        <v>904</v>
      </c>
      <c r="C249" s="131" t="s">
        <v>212</v>
      </c>
      <c r="D249" s="106" t="s">
        <v>1044</v>
      </c>
      <c r="E249" s="106" t="s">
        <v>1045</v>
      </c>
      <c r="F249" s="131">
        <f t="shared" ca="1" si="0"/>
        <v>5</v>
      </c>
      <c r="G249" s="106" t="str">
        <f ca="1">IFERROR(__xludf.DUMMYFUNCTION("INDEX(FILTER($P249:$AL249, $P249:$AL249 &lt;&gt; """"), 1)"),"Workplace Happiness: Science &amp; Practice (A)")</f>
        <v>Workplace Happiness: Science &amp; Practice (A)</v>
      </c>
      <c r="H249" s="106" t="str">
        <f ca="1">IFERROR(__xludf.DUMMYFUNCTION("INDEX(FILTER($P249:$AL249, $P249:$AL249 &lt;&gt; """"), 2)"),"AI Applications in Marketing (B)")</f>
        <v>AI Applications in Marketing (B)</v>
      </c>
      <c r="I249" s="106" t="str">
        <f ca="1">IFERROR(__xludf.DUMMYFUNCTION("INDEX(FILTER($P249:$AL249, $P249:$AL249 &lt;&gt; """"), 3)"),"SPORTS ANALYTICS (B)")</f>
        <v>SPORTS ANALYTICS (B)</v>
      </c>
      <c r="J249" s="106" t="str">
        <f ca="1">IFERROR(__xludf.DUMMYFUNCTION("IFERROR(INDEX(FILTER($P249:$AL249, $P249:$AL249 &lt;&gt; """"), 4),)"),"")</f>
        <v/>
      </c>
      <c r="K249" s="106" t="str">
        <f ca="1">IFERROR(__xludf.DUMMYFUNCTION("IFERROR(INDEX(FILTER($P249:$AL249, $P249:$AL249 &lt;&gt; """"), 5),)"),"")</f>
        <v/>
      </c>
      <c r="L249" s="107"/>
      <c r="M249" s="107"/>
      <c r="N249" s="107"/>
      <c r="O249" s="107"/>
      <c r="P249" s="132" t="str">
        <f>IF(COUNTIF('Fintech-A'!$A:$A, $C249), P$1, "")</f>
        <v/>
      </c>
      <c r="Q249" s="132" t="str">
        <f>IF(COUNTIF('Fintech-B'!$A:$A, $C249), Q$1, "")</f>
        <v/>
      </c>
      <c r="R249" s="132" t="str">
        <f>IF(COUNTIF('BEDM-A'!$A:$A, $C249), R$1, "")</f>
        <v/>
      </c>
      <c r="S249" s="132" t="str">
        <f>IF(COUNTIF('BEDM-B'!$A:$A, $C249), S$1, "")</f>
        <v/>
      </c>
      <c r="T249" s="132" t="str">
        <f>IF(COUNTIF('Art-A'!$A:$A, $C249), T$1, "")</f>
        <v/>
      </c>
      <c r="U249" s="132" t="str">
        <f>IF(COUNTIF('Art-B'!$A:$A, $C249), U$1, "")</f>
        <v/>
      </c>
      <c r="V249" s="132" t="str">
        <f>IF(COUNTIF('WH-A'!$A:$A, $C249), V$1, "")</f>
        <v>Workplace Happiness: Science &amp; Practice (A)</v>
      </c>
      <c r="W249" s="132" t="str">
        <f>IF(COUNTIF('WH-B'!$A:$A, $C249), W$1, "")</f>
        <v/>
      </c>
      <c r="X249" s="132" t="str">
        <f>IF(COUNTIF(LETV!$A:$A, $C249), X$1, "")</f>
        <v/>
      </c>
      <c r="Y249" s="132" t="str">
        <f>IF(COUNTIF('Film&amp;Firm-A'!$A:$A, $C249), Y$1, "")</f>
        <v/>
      </c>
      <c r="Z249" s="132" t="str">
        <f>IF(COUNTIF('Film&amp;Firm-B'!$A:$A, $C249), Z$1, "")</f>
        <v/>
      </c>
      <c r="AA249" s="132" t="str">
        <f>IF(COUNTIF(SHRM!$A:$A, $C249), AA$1, "")</f>
        <v/>
      </c>
      <c r="AB249" s="132" t="str">
        <f>IF(COUNTIF('SCM-A'!$A:$A, $C249), AB$1, "")</f>
        <v/>
      </c>
      <c r="AC249" s="132" t="str">
        <f>IF(COUNTIF('SCM-B'!$A:$A, $C249), AC$1, "")</f>
        <v/>
      </c>
      <c r="AD249" s="132" t="str">
        <f>IF(COUNTIF(AIS!$A:$A, $C249), AD$1, "")</f>
        <v/>
      </c>
      <c r="AE249" s="132" t="str">
        <f>IF(COUNTIF(EB!$A:$A, $C249), AE$1, "")</f>
        <v/>
      </c>
      <c r="AF249" s="132" t="str">
        <f>IF(COUNTIF('AIAM-A'!$A:$A, $C249), AF$1, "")</f>
        <v/>
      </c>
      <c r="AG249" s="132" t="str">
        <f>IF(COUNTIF('AIAM-B'!$A:$A, $C249), AG$1, "")</f>
        <v>AI Applications in Marketing (B)</v>
      </c>
      <c r="AH249" s="132" t="str">
        <f>IF(COUNTIF('SA-A'!$A:$A, $C249), AH$1, "")</f>
        <v/>
      </c>
      <c r="AI249" s="132" t="str">
        <f>IF(COUNTIF('SA-B'!$A:$A, $C249), AI$1, "")</f>
        <v>SPORTS ANALYTICS (B)</v>
      </c>
      <c r="AJ249" s="132" t="str">
        <f>IF(COUNTIF(CSM!$A:$A, $C249), AJ$1, "")</f>
        <v/>
      </c>
      <c r="AK249" s="132" t="str">
        <f>IF(COUNTIF(EM!$A:$A, $C249), AK$1, "")</f>
        <v/>
      </c>
      <c r="AL249" s="132" t="str">
        <f>IF(COUNTIF(I4TS!$A:$A, $C249), AL$1, "")</f>
        <v/>
      </c>
    </row>
    <row r="250" spans="1:38" ht="13">
      <c r="A250" s="131">
        <v>249</v>
      </c>
      <c r="B250" s="131" t="s">
        <v>904</v>
      </c>
      <c r="C250" s="131" t="s">
        <v>1046</v>
      </c>
      <c r="D250" s="106" t="s">
        <v>1047</v>
      </c>
      <c r="E250" s="106" t="s">
        <v>1048</v>
      </c>
      <c r="F250" s="131">
        <f t="shared" ca="1" si="0"/>
        <v>5</v>
      </c>
      <c r="G250" s="106" t="str">
        <f ca="1">IFERROR(__xludf.DUMMYFUNCTION("INDEX(FILTER($P250:$AL250, $P250:$AL250 &lt;&gt; """"), 1)"),"Fintech (Digital Transformation in Finance) (A)")</f>
        <v>Fintech (Digital Transformation in Finance) (A)</v>
      </c>
      <c r="H250" s="106" t="str">
        <f ca="1">IFERROR(__xludf.DUMMYFUNCTION("INDEX(FILTER($P250:$AL250, $P250:$AL250 &lt;&gt; """"), 2)"),"The Art, Craft, and Science of Management: Learning through Classics and Best Collections (A)")</f>
        <v>The Art, Craft, and Science of Management: Learning through Classics and Best Collections (A)</v>
      </c>
      <c r="I250" s="106" t="str">
        <f ca="1">IFERROR(__xludf.DUMMYFUNCTION("INDEX(FILTER($P250:$AL250, $P250:$AL250 &lt;&gt; """"), 3)"),"Industry 4.0 in Transport Sector")</f>
        <v>Industry 4.0 in Transport Sector</v>
      </c>
      <c r="J250" s="106" t="str">
        <f ca="1">IFERROR(__xludf.DUMMYFUNCTION("IFERROR(INDEX(FILTER($P250:$AL250, $P250:$AL250 &lt;&gt; """"), 4),)"),"")</f>
        <v/>
      </c>
      <c r="K250" s="106" t="str">
        <f ca="1">IFERROR(__xludf.DUMMYFUNCTION("IFERROR(INDEX(FILTER($P250:$AL250, $P250:$AL250 &lt;&gt; """"), 5),)"),"")</f>
        <v/>
      </c>
      <c r="L250" s="107"/>
      <c r="M250" s="107"/>
      <c r="N250" s="107"/>
      <c r="O250" s="107"/>
      <c r="P250" s="132" t="str">
        <f>IF(COUNTIF('Fintech-A'!$A:$A, $C250), P$1, "")</f>
        <v>Fintech (Digital Transformation in Finance) (A)</v>
      </c>
      <c r="Q250" s="132" t="str">
        <f>IF(COUNTIF('Fintech-B'!$A:$A, $C250), Q$1, "")</f>
        <v/>
      </c>
      <c r="R250" s="132" t="str">
        <f>IF(COUNTIF('BEDM-A'!$A:$A, $C250), R$1, "")</f>
        <v/>
      </c>
      <c r="S250" s="132" t="str">
        <f>IF(COUNTIF('BEDM-B'!$A:$A, $C250), S$1, "")</f>
        <v/>
      </c>
      <c r="T250" s="132" t="str">
        <f>IF(COUNTIF('Art-A'!$A:$A, $C250), T$1, "")</f>
        <v>The Art, Craft, and Science of Management: Learning through Classics and Best Collections (A)</v>
      </c>
      <c r="U250" s="132" t="str">
        <f>IF(COUNTIF('Art-B'!$A:$A, $C250), U$1, "")</f>
        <v/>
      </c>
      <c r="V250" s="132" t="str">
        <f>IF(COUNTIF('WH-A'!$A:$A, $C250), V$1, "")</f>
        <v/>
      </c>
      <c r="W250" s="132" t="str">
        <f>IF(COUNTIF('WH-B'!$A:$A, $C250), W$1, "")</f>
        <v/>
      </c>
      <c r="X250" s="132" t="str">
        <f>IF(COUNTIF(LETV!$A:$A, $C250), X$1, "")</f>
        <v/>
      </c>
      <c r="Y250" s="132" t="str">
        <f>IF(COUNTIF('Film&amp;Firm-A'!$A:$A, $C250), Y$1, "")</f>
        <v/>
      </c>
      <c r="Z250" s="132" t="str">
        <f>IF(COUNTIF('Film&amp;Firm-B'!$A:$A, $C250), Z$1, "")</f>
        <v/>
      </c>
      <c r="AA250" s="132" t="str">
        <f>IF(COUNTIF(SHRM!$A:$A, $C250), AA$1, "")</f>
        <v/>
      </c>
      <c r="AB250" s="132" t="str">
        <f>IF(COUNTIF('SCM-A'!$A:$A, $C250), AB$1, "")</f>
        <v/>
      </c>
      <c r="AC250" s="132" t="str">
        <f>IF(COUNTIF('SCM-B'!$A:$A, $C250), AC$1, "")</f>
        <v/>
      </c>
      <c r="AD250" s="132" t="str">
        <f>IF(COUNTIF(AIS!$A:$A, $C250), AD$1, "")</f>
        <v/>
      </c>
      <c r="AE250" s="132" t="str">
        <f>IF(COUNTIF(EB!$A:$A, $C250), AE$1, "")</f>
        <v/>
      </c>
      <c r="AF250" s="132" t="str">
        <f>IF(COUNTIF('AIAM-A'!$A:$A, $C250), AF$1, "")</f>
        <v/>
      </c>
      <c r="AG250" s="132" t="str">
        <f>IF(COUNTIF('AIAM-B'!$A:$A, $C250), AG$1, "")</f>
        <v/>
      </c>
      <c r="AH250" s="132" t="str">
        <f>IF(COUNTIF('SA-A'!$A:$A, $C250), AH$1, "")</f>
        <v/>
      </c>
      <c r="AI250" s="132" t="str">
        <f>IF(COUNTIF('SA-B'!$A:$A, $C250), AI$1, "")</f>
        <v/>
      </c>
      <c r="AJ250" s="132" t="str">
        <f>IF(COUNTIF(CSM!$A:$A, $C250), AJ$1, "")</f>
        <v/>
      </c>
      <c r="AK250" s="132" t="str">
        <f>IF(COUNTIF(EM!$A:$A, $C250), AK$1, "")</f>
        <v/>
      </c>
      <c r="AL250" s="132" t="str">
        <f>IF(COUNTIF(I4TS!$A:$A, $C250), AL$1, "")</f>
        <v>Industry 4.0 in Transport Sector</v>
      </c>
    </row>
    <row r="251" spans="1:38" ht="13">
      <c r="A251" s="131">
        <v>250</v>
      </c>
      <c r="B251" s="131" t="s">
        <v>904</v>
      </c>
      <c r="C251" s="131" t="s">
        <v>1049</v>
      </c>
      <c r="D251" s="106" t="s">
        <v>1050</v>
      </c>
      <c r="E251" s="106" t="s">
        <v>1051</v>
      </c>
      <c r="F251" s="131">
        <f t="shared" ca="1" si="0"/>
        <v>5</v>
      </c>
      <c r="G251" s="106" t="str">
        <f ca="1">IFERROR(__xludf.DUMMYFUNCTION("INDEX(FILTER($P251:$AL251, $P251:$AL251 &lt;&gt; """"), 1)"),"Workplace Happiness: Science &amp; Practice (B)")</f>
        <v>Workplace Happiness: Science &amp; Practice (B)</v>
      </c>
      <c r="H251" s="106" t="str">
        <f ca="1">IFERROR(__xludf.DUMMYFUNCTION("INDEX(FILTER($P251:$AL251, $P251:$AL251 &lt;&gt; """"), 2)"),"Strategic Career Management (A)")</f>
        <v>Strategic Career Management (A)</v>
      </c>
      <c r="I251" s="106" t="str">
        <f ca="1">IFERROR(__xludf.DUMMYFUNCTION("INDEX(FILTER($P251:$AL251, $P251:$AL251 &lt;&gt; """"), 3)"),"Entrepreneurial Marketing")</f>
        <v>Entrepreneurial Marketing</v>
      </c>
      <c r="J251" s="106" t="str">
        <f ca="1">IFERROR(__xludf.DUMMYFUNCTION("IFERROR(INDEX(FILTER($P251:$AL251, $P251:$AL251 &lt;&gt; """"), 4),)"),"")</f>
        <v/>
      </c>
      <c r="K251" s="106" t="str">
        <f ca="1">IFERROR(__xludf.DUMMYFUNCTION("IFERROR(INDEX(FILTER($P251:$AL251, $P251:$AL251 &lt;&gt; """"), 5),)"),"")</f>
        <v/>
      </c>
      <c r="L251" s="107"/>
      <c r="M251" s="107"/>
      <c r="N251" s="107"/>
      <c r="O251" s="107"/>
      <c r="P251" s="132" t="str">
        <f>IF(COUNTIF('Fintech-A'!$A:$A, $C251), P$1, "")</f>
        <v/>
      </c>
      <c r="Q251" s="132" t="str">
        <f>IF(COUNTIF('Fintech-B'!$A:$A, $C251), Q$1, "")</f>
        <v/>
      </c>
      <c r="R251" s="132" t="str">
        <f>IF(COUNTIF('BEDM-A'!$A:$A, $C251), R$1, "")</f>
        <v/>
      </c>
      <c r="S251" s="132" t="str">
        <f>IF(COUNTIF('BEDM-B'!$A:$A, $C251), S$1, "")</f>
        <v/>
      </c>
      <c r="T251" s="132" t="str">
        <f>IF(COUNTIF('Art-A'!$A:$A, $C251), T$1, "")</f>
        <v/>
      </c>
      <c r="U251" s="132" t="str">
        <f>IF(COUNTIF('Art-B'!$A:$A, $C251), U$1, "")</f>
        <v/>
      </c>
      <c r="V251" s="132" t="str">
        <f>IF(COUNTIF('WH-A'!$A:$A, $C251), V$1, "")</f>
        <v/>
      </c>
      <c r="W251" s="132" t="str">
        <f>IF(COUNTIF('WH-B'!$A:$A, $C251), W$1, "")</f>
        <v>Workplace Happiness: Science &amp; Practice (B)</v>
      </c>
      <c r="X251" s="132" t="str">
        <f>IF(COUNTIF(LETV!$A:$A, $C251), X$1, "")</f>
        <v/>
      </c>
      <c r="Y251" s="132" t="str">
        <f>IF(COUNTIF('Film&amp;Firm-A'!$A:$A, $C251), Y$1, "")</f>
        <v/>
      </c>
      <c r="Z251" s="132" t="str">
        <f>IF(COUNTIF('Film&amp;Firm-B'!$A:$A, $C251), Z$1, "")</f>
        <v/>
      </c>
      <c r="AA251" s="132" t="str">
        <f>IF(COUNTIF(SHRM!$A:$A, $C251), AA$1, "")</f>
        <v/>
      </c>
      <c r="AB251" s="132" t="str">
        <f>IF(COUNTIF('SCM-A'!$A:$A, $C251), AB$1, "")</f>
        <v>Strategic Career Management (A)</v>
      </c>
      <c r="AC251" s="132" t="str">
        <f>IF(COUNTIF('SCM-B'!$A:$A, $C251), AC$1, "")</f>
        <v/>
      </c>
      <c r="AD251" s="132" t="str">
        <f>IF(COUNTIF(AIS!$A:$A, $C251), AD$1, "")</f>
        <v/>
      </c>
      <c r="AE251" s="132" t="str">
        <f>IF(COUNTIF(EB!$A:$A, $C251), AE$1, "")</f>
        <v/>
      </c>
      <c r="AF251" s="132" t="str">
        <f>IF(COUNTIF('AIAM-A'!$A:$A, $C251), AF$1, "")</f>
        <v/>
      </c>
      <c r="AG251" s="132" t="str">
        <f>IF(COUNTIF('AIAM-B'!$A:$A, $C251), AG$1, "")</f>
        <v/>
      </c>
      <c r="AH251" s="132" t="str">
        <f>IF(COUNTIF('SA-A'!$A:$A, $C251), AH$1, "")</f>
        <v/>
      </c>
      <c r="AI251" s="132" t="str">
        <f>IF(COUNTIF('SA-B'!$A:$A, $C251), AI$1, "")</f>
        <v/>
      </c>
      <c r="AJ251" s="132" t="str">
        <f>IF(COUNTIF(CSM!$A:$A, $C251), AJ$1, "")</f>
        <v/>
      </c>
      <c r="AK251" s="132" t="str">
        <f>IF(COUNTIF(EM!$A:$A, $C251), AK$1, "")</f>
        <v>Entrepreneurial Marketing</v>
      </c>
      <c r="AL251" s="132" t="str">
        <f>IF(COUNTIF(I4TS!$A:$A, $C251), AL$1, "")</f>
        <v/>
      </c>
    </row>
    <row r="252" spans="1:38" ht="13">
      <c r="A252" s="131">
        <v>251</v>
      </c>
      <c r="B252" s="131" t="s">
        <v>904</v>
      </c>
      <c r="C252" s="131" t="s">
        <v>1052</v>
      </c>
      <c r="D252" s="106" t="s">
        <v>1053</v>
      </c>
      <c r="E252" s="106" t="s">
        <v>1054</v>
      </c>
      <c r="F252" s="131">
        <f t="shared" ca="1" si="0"/>
        <v>5</v>
      </c>
      <c r="G252" s="106" t="str">
        <f ca="1">IFERROR(__xludf.DUMMYFUNCTION("INDEX(FILTER($P252:$AL252, $P252:$AL252 &lt;&gt; """"), 1)"),"Fintech (Digital Transformation in Finance) (B)")</f>
        <v>Fintech (Digital Transformation in Finance) (B)</v>
      </c>
      <c r="H252" s="106" t="str">
        <f ca="1">IFERROR(__xludf.DUMMYFUNCTION("INDEX(FILTER($P252:$AL252, $P252:$AL252 &lt;&gt; """"), 2)"),"Film &amp; the Firm: Visual Culture in Business Contexts (B)")</f>
        <v>Film &amp; the Firm: Visual Culture in Business Contexts (B)</v>
      </c>
      <c r="I252" s="106" t="str">
        <f ca="1">IFERROR(__xludf.DUMMYFUNCTION("INDEX(FILTER($P252:$AL252, $P252:$AL252 &lt;&gt; """"), 3)"),"AI AND  STRATEGY")</f>
        <v>AI AND  STRATEGY</v>
      </c>
      <c r="J252" s="106" t="str">
        <f ca="1">IFERROR(__xludf.DUMMYFUNCTION("IFERROR(INDEX(FILTER($P252:$AL252, $P252:$AL252 &lt;&gt; """"), 4),)"),"")</f>
        <v/>
      </c>
      <c r="K252" s="106" t="str">
        <f ca="1">IFERROR(__xludf.DUMMYFUNCTION("IFERROR(INDEX(FILTER($P252:$AL252, $P252:$AL252 &lt;&gt; """"), 5),)"),"")</f>
        <v/>
      </c>
      <c r="L252" s="107"/>
      <c r="M252" s="107"/>
      <c r="N252" s="107"/>
      <c r="O252" s="107"/>
      <c r="P252" s="132" t="str">
        <f>IF(COUNTIF('Fintech-A'!$A:$A, $C252), P$1, "")</f>
        <v/>
      </c>
      <c r="Q252" s="132" t="str">
        <f>IF(COUNTIF('Fintech-B'!$A:$A, $C252), Q$1, "")</f>
        <v>Fintech (Digital Transformation in Finance) (B)</v>
      </c>
      <c r="R252" s="132" t="str">
        <f>IF(COUNTIF('BEDM-A'!$A:$A, $C252), R$1, "")</f>
        <v/>
      </c>
      <c r="S252" s="132" t="str">
        <f>IF(COUNTIF('BEDM-B'!$A:$A, $C252), S$1, "")</f>
        <v/>
      </c>
      <c r="T252" s="132" t="str">
        <f>IF(COUNTIF('Art-A'!$A:$A, $C252), T$1, "")</f>
        <v/>
      </c>
      <c r="U252" s="132" t="str">
        <f>IF(COUNTIF('Art-B'!$A:$A, $C252), U$1, "")</f>
        <v/>
      </c>
      <c r="V252" s="132" t="str">
        <f>IF(COUNTIF('WH-A'!$A:$A, $C252), V$1, "")</f>
        <v/>
      </c>
      <c r="W252" s="132" t="str">
        <f>IF(COUNTIF('WH-B'!$A:$A, $C252), W$1, "")</f>
        <v/>
      </c>
      <c r="X252" s="132" t="str">
        <f>IF(COUNTIF(LETV!$A:$A, $C252), X$1, "")</f>
        <v/>
      </c>
      <c r="Y252" s="132" t="str">
        <f>IF(COUNTIF('Film&amp;Firm-A'!$A:$A, $C252), Y$1, "")</f>
        <v/>
      </c>
      <c r="Z252" s="132" t="str">
        <f>IF(COUNTIF('Film&amp;Firm-B'!$A:$A, $C252), Z$1, "")</f>
        <v>Film &amp; the Firm: Visual Culture in Business Contexts (B)</v>
      </c>
      <c r="AA252" s="132" t="str">
        <f>IF(COUNTIF(SHRM!$A:$A, $C252), AA$1, "")</f>
        <v/>
      </c>
      <c r="AB252" s="132" t="str">
        <f>IF(COUNTIF('SCM-A'!$A:$A, $C252), AB$1, "")</f>
        <v/>
      </c>
      <c r="AC252" s="132" t="str">
        <f>IF(COUNTIF('SCM-B'!$A:$A, $C252), AC$1, "")</f>
        <v/>
      </c>
      <c r="AD252" s="132" t="str">
        <f>IF(COUNTIF(AIS!$A:$A, $C252), AD$1, "")</f>
        <v>AI AND  STRATEGY</v>
      </c>
      <c r="AE252" s="132" t="str">
        <f>IF(COUNTIF(EB!$A:$A, $C252), AE$1, "")</f>
        <v/>
      </c>
      <c r="AF252" s="132" t="str">
        <f>IF(COUNTIF('AIAM-A'!$A:$A, $C252), AF$1, "")</f>
        <v/>
      </c>
      <c r="AG252" s="132" t="str">
        <f>IF(COUNTIF('AIAM-B'!$A:$A, $C252), AG$1, "")</f>
        <v/>
      </c>
      <c r="AH252" s="132" t="str">
        <f>IF(COUNTIF('SA-A'!$A:$A, $C252), AH$1, "")</f>
        <v/>
      </c>
      <c r="AI252" s="132" t="str">
        <f>IF(COUNTIF('SA-B'!$A:$A, $C252), AI$1, "")</f>
        <v/>
      </c>
      <c r="AJ252" s="132" t="str">
        <f>IF(COUNTIF(CSM!$A:$A, $C252), AJ$1, "")</f>
        <v/>
      </c>
      <c r="AK252" s="132" t="str">
        <f>IF(COUNTIF(EM!$A:$A, $C252), AK$1, "")</f>
        <v/>
      </c>
      <c r="AL252" s="132" t="str">
        <f>IF(COUNTIF(I4TS!$A:$A, $C252), AL$1, "")</f>
        <v/>
      </c>
    </row>
    <row r="253" spans="1:38" ht="13">
      <c r="A253" s="131">
        <v>252</v>
      </c>
      <c r="B253" s="131" t="s">
        <v>904</v>
      </c>
      <c r="C253" s="131" t="s">
        <v>1055</v>
      </c>
      <c r="D253" s="106" t="s">
        <v>1056</v>
      </c>
      <c r="E253" s="106" t="s">
        <v>1057</v>
      </c>
      <c r="F253" s="131">
        <f t="shared" ca="1" si="0"/>
        <v>5</v>
      </c>
      <c r="G253" s="106" t="str">
        <f ca="1">IFERROR(__xludf.DUMMYFUNCTION("INDEX(FILTER($P253:$AL253, $P253:$AL253 &lt;&gt; """"), 1)"),"Behavioural Economics and Decision-Making (B)")</f>
        <v>Behavioural Economics and Decision-Making (B)</v>
      </c>
      <c r="H253" s="106" t="str">
        <f ca="1">IFERROR(__xludf.DUMMYFUNCTION("INDEX(FILTER($P253:$AL253, $P253:$AL253 &lt;&gt; """"), 2)"),"AI Applications in Marketing (A)")</f>
        <v>AI Applications in Marketing (A)</v>
      </c>
      <c r="I253" s="106" t="str">
        <f ca="1">IFERROR(__xludf.DUMMYFUNCTION("INDEX(FILTER($P253:$AL253, $P253:$AL253 &lt;&gt; """"), 3)"),"Entrepreneurial Marketing")</f>
        <v>Entrepreneurial Marketing</v>
      </c>
      <c r="J253" s="106" t="str">
        <f ca="1">IFERROR(__xludf.DUMMYFUNCTION("IFERROR(INDEX(FILTER($P253:$AL253, $P253:$AL253 &lt;&gt; """"), 4),)"),"")</f>
        <v/>
      </c>
      <c r="K253" s="106" t="str">
        <f ca="1">IFERROR(__xludf.DUMMYFUNCTION("IFERROR(INDEX(FILTER($P253:$AL253, $P253:$AL253 &lt;&gt; """"), 5),)"),"")</f>
        <v/>
      </c>
      <c r="L253" s="107"/>
      <c r="M253" s="107"/>
      <c r="N253" s="107"/>
      <c r="O253" s="107"/>
      <c r="P253" s="132" t="str">
        <f>IF(COUNTIF('Fintech-A'!$A:$A, $C253), P$1, "")</f>
        <v/>
      </c>
      <c r="Q253" s="132" t="str">
        <f>IF(COUNTIF('Fintech-B'!$A:$A, $C253), Q$1, "")</f>
        <v/>
      </c>
      <c r="R253" s="132" t="str">
        <f>IF(COUNTIF('BEDM-A'!$A:$A, $C253), R$1, "")</f>
        <v/>
      </c>
      <c r="S253" s="132" t="str">
        <f>IF(COUNTIF('BEDM-B'!$A:$A, $C253), S$1, "")</f>
        <v>Behavioural Economics and Decision-Making (B)</v>
      </c>
      <c r="T253" s="132" t="str">
        <f>IF(COUNTIF('Art-A'!$A:$A, $C253), T$1, "")</f>
        <v/>
      </c>
      <c r="U253" s="132" t="str">
        <f>IF(COUNTIF('Art-B'!$A:$A, $C253), U$1, "")</f>
        <v/>
      </c>
      <c r="V253" s="132" t="str">
        <f>IF(COUNTIF('WH-A'!$A:$A, $C253), V$1, "")</f>
        <v/>
      </c>
      <c r="W253" s="132" t="str">
        <f>IF(COUNTIF('WH-B'!$A:$A, $C253), W$1, "")</f>
        <v/>
      </c>
      <c r="X253" s="132" t="str">
        <f>IF(COUNTIF(LETV!$A:$A, $C253), X$1, "")</f>
        <v/>
      </c>
      <c r="Y253" s="132" t="str">
        <f>IF(COUNTIF('Film&amp;Firm-A'!$A:$A, $C253), Y$1, "")</f>
        <v/>
      </c>
      <c r="Z253" s="132" t="str">
        <f>IF(COUNTIF('Film&amp;Firm-B'!$A:$A, $C253), Z$1, "")</f>
        <v/>
      </c>
      <c r="AA253" s="132" t="str">
        <f>IF(COUNTIF(SHRM!$A:$A, $C253), AA$1, "")</f>
        <v/>
      </c>
      <c r="AB253" s="132" t="str">
        <f>IF(COUNTIF('SCM-A'!$A:$A, $C253), AB$1, "")</f>
        <v/>
      </c>
      <c r="AC253" s="132" t="str">
        <f>IF(COUNTIF('SCM-B'!$A:$A, $C253), AC$1, "")</f>
        <v/>
      </c>
      <c r="AD253" s="132" t="str">
        <f>IF(COUNTIF(AIS!$A:$A, $C253), AD$1, "")</f>
        <v/>
      </c>
      <c r="AE253" s="132" t="str">
        <f>IF(COUNTIF(EB!$A:$A, $C253), AE$1, "")</f>
        <v/>
      </c>
      <c r="AF253" s="132" t="str">
        <f>IF(COUNTIF('AIAM-A'!$A:$A, $C253), AF$1, "")</f>
        <v>AI Applications in Marketing (A)</v>
      </c>
      <c r="AG253" s="132" t="str">
        <f>IF(COUNTIF('AIAM-B'!$A:$A, $C253), AG$1, "")</f>
        <v/>
      </c>
      <c r="AH253" s="132" t="str">
        <f>IF(COUNTIF('SA-A'!$A:$A, $C253), AH$1, "")</f>
        <v/>
      </c>
      <c r="AI253" s="132" t="str">
        <f>IF(COUNTIF('SA-B'!$A:$A, $C253), AI$1, "")</f>
        <v/>
      </c>
      <c r="AJ253" s="132" t="str">
        <f>IF(COUNTIF(CSM!$A:$A, $C253), AJ$1, "")</f>
        <v/>
      </c>
      <c r="AK253" s="132" t="str">
        <f>IF(COUNTIF(EM!$A:$A, $C253), AK$1, "")</f>
        <v>Entrepreneurial Marketing</v>
      </c>
      <c r="AL253" s="132" t="str">
        <f>IF(COUNTIF(I4TS!$A:$A, $C253), AL$1, "")</f>
        <v/>
      </c>
    </row>
    <row r="254" spans="1:38" ht="13">
      <c r="A254" s="131">
        <v>253</v>
      </c>
      <c r="B254" s="131" t="s">
        <v>904</v>
      </c>
      <c r="C254" s="131" t="s">
        <v>1058</v>
      </c>
      <c r="D254" s="106" t="s">
        <v>1059</v>
      </c>
      <c r="E254" s="106" t="s">
        <v>1060</v>
      </c>
      <c r="F254" s="131">
        <f t="shared" ca="1" si="0"/>
        <v>5</v>
      </c>
      <c r="G254" s="106" t="str">
        <f ca="1">IFERROR(__xludf.DUMMYFUNCTION("INDEX(FILTER($P254:$AL254, $P254:$AL254 &lt;&gt; """"), 1)"),"Workplace Happiness: Science &amp; Practice (A)")</f>
        <v>Workplace Happiness: Science &amp; Practice (A)</v>
      </c>
      <c r="H254" s="106" t="str">
        <f ca="1">IFERROR(__xludf.DUMMYFUNCTION("INDEX(FILTER($P254:$AL254, $P254:$AL254 &lt;&gt; """"), 2)"),"Leadership Excellence Through Values : Wisdom from the Mahabharata")</f>
        <v>Leadership Excellence Through Values : Wisdom from the Mahabharata</v>
      </c>
      <c r="I254" s="106" t="str">
        <f ca="1">IFERROR(__xludf.DUMMYFUNCTION("INDEX(FILTER($P254:$AL254, $P254:$AL254 &lt;&gt; """"), 3)"),"Film &amp; the Firm: Visual Culture in Business Contexts (B)")</f>
        <v>Film &amp; the Firm: Visual Culture in Business Contexts (B)</v>
      </c>
      <c r="J254" s="106" t="str">
        <f ca="1">IFERROR(__xludf.DUMMYFUNCTION("IFERROR(INDEX(FILTER($P254:$AL254, $P254:$AL254 &lt;&gt; """"), 4),)"),"")</f>
        <v/>
      </c>
      <c r="K254" s="106" t="str">
        <f ca="1">IFERROR(__xludf.DUMMYFUNCTION("IFERROR(INDEX(FILTER($P254:$AL254, $P254:$AL254 &lt;&gt; """"), 5),)"),"")</f>
        <v/>
      </c>
      <c r="L254" s="107"/>
      <c r="M254" s="107"/>
      <c r="N254" s="107"/>
      <c r="O254" s="107"/>
      <c r="P254" s="132" t="str">
        <f>IF(COUNTIF('Fintech-A'!$A:$A, $C254), P$1, "")</f>
        <v/>
      </c>
      <c r="Q254" s="132" t="str">
        <f>IF(COUNTIF('Fintech-B'!$A:$A, $C254), Q$1, "")</f>
        <v/>
      </c>
      <c r="R254" s="132" t="str">
        <f>IF(COUNTIF('BEDM-A'!$A:$A, $C254), R$1, "")</f>
        <v/>
      </c>
      <c r="S254" s="132" t="str">
        <f>IF(COUNTIF('BEDM-B'!$A:$A, $C254), S$1, "")</f>
        <v/>
      </c>
      <c r="T254" s="132" t="str">
        <f>IF(COUNTIF('Art-A'!$A:$A, $C254), T$1, "")</f>
        <v/>
      </c>
      <c r="U254" s="132" t="str">
        <f>IF(COUNTIF('Art-B'!$A:$A, $C254), U$1, "")</f>
        <v/>
      </c>
      <c r="V254" s="132" t="str">
        <f>IF(COUNTIF('WH-A'!$A:$A, $C254), V$1, "")</f>
        <v>Workplace Happiness: Science &amp; Practice (A)</v>
      </c>
      <c r="W254" s="132" t="str">
        <f>IF(COUNTIF('WH-B'!$A:$A, $C254), W$1, "")</f>
        <v/>
      </c>
      <c r="X254" s="132" t="str">
        <f>IF(COUNTIF(LETV!$A:$A, $C254), X$1, "")</f>
        <v>Leadership Excellence Through Values : Wisdom from the Mahabharata</v>
      </c>
      <c r="Y254" s="132" t="str">
        <f>IF(COUNTIF('Film&amp;Firm-A'!$A:$A, $C254), Y$1, "")</f>
        <v/>
      </c>
      <c r="Z254" s="132" t="str">
        <f>IF(COUNTIF('Film&amp;Firm-B'!$A:$A, $C254), Z$1, "")</f>
        <v>Film &amp; the Firm: Visual Culture in Business Contexts (B)</v>
      </c>
      <c r="AA254" s="132" t="str">
        <f>IF(COUNTIF(SHRM!$A:$A, $C254), AA$1, "")</f>
        <v/>
      </c>
      <c r="AB254" s="132" t="str">
        <f>IF(COUNTIF('SCM-A'!$A:$A, $C254), AB$1, "")</f>
        <v/>
      </c>
      <c r="AC254" s="132" t="str">
        <f>IF(COUNTIF('SCM-B'!$A:$A, $C254), AC$1, "")</f>
        <v/>
      </c>
      <c r="AD254" s="132" t="str">
        <f>IF(COUNTIF(AIS!$A:$A, $C254), AD$1, "")</f>
        <v/>
      </c>
      <c r="AE254" s="132" t="str">
        <f>IF(COUNTIF(EB!$A:$A, $C254), AE$1, "")</f>
        <v/>
      </c>
      <c r="AF254" s="132" t="str">
        <f>IF(COUNTIF('AIAM-A'!$A:$A, $C254), AF$1, "")</f>
        <v/>
      </c>
      <c r="AG254" s="132" t="str">
        <f>IF(COUNTIF('AIAM-B'!$A:$A, $C254), AG$1, "")</f>
        <v/>
      </c>
      <c r="AH254" s="132" t="str">
        <f>IF(COUNTIF('SA-A'!$A:$A, $C254), AH$1, "")</f>
        <v/>
      </c>
      <c r="AI254" s="132" t="str">
        <f>IF(COUNTIF('SA-B'!$A:$A, $C254), AI$1, "")</f>
        <v/>
      </c>
      <c r="AJ254" s="132" t="str">
        <f>IF(COUNTIF(CSM!$A:$A, $C254), AJ$1, "")</f>
        <v/>
      </c>
      <c r="AK254" s="132" t="str">
        <f>IF(COUNTIF(EM!$A:$A, $C254), AK$1, "")</f>
        <v/>
      </c>
      <c r="AL254" s="132" t="str">
        <f>IF(COUNTIF(I4TS!$A:$A, $C254), AL$1, "")</f>
        <v/>
      </c>
    </row>
    <row r="255" spans="1:38" ht="13">
      <c r="A255" s="131">
        <v>254</v>
      </c>
      <c r="B255" s="131" t="s">
        <v>904</v>
      </c>
      <c r="C255" s="131" t="s">
        <v>216</v>
      </c>
      <c r="D255" s="106" t="s">
        <v>1061</v>
      </c>
      <c r="E255" s="106" t="s">
        <v>1062</v>
      </c>
      <c r="F255" s="131">
        <f t="shared" ca="1" si="0"/>
        <v>5</v>
      </c>
      <c r="G255" s="106" t="str">
        <f ca="1">IFERROR(__xludf.DUMMYFUNCTION("INDEX(FILTER($P255:$AL255, $P255:$AL255 &lt;&gt; """"), 1)"),"Behavioural Economics and Decision-Making (A)")</f>
        <v>Behavioural Economics and Decision-Making (A)</v>
      </c>
      <c r="H255" s="106" t="str">
        <f ca="1">IFERROR(__xludf.DUMMYFUNCTION("INDEX(FILTER($P255:$AL255, $P255:$AL255 &lt;&gt; """"), 2)"),"Strategic Career Management (A)")</f>
        <v>Strategic Career Management (A)</v>
      </c>
      <c r="I255" s="106" t="str">
        <f ca="1">IFERROR(__xludf.DUMMYFUNCTION("INDEX(FILTER($P255:$AL255, $P255:$AL255 &lt;&gt; """"), 3)"),"Entrepreneurial Marketing")</f>
        <v>Entrepreneurial Marketing</v>
      </c>
      <c r="J255" s="106" t="str">
        <f ca="1">IFERROR(__xludf.DUMMYFUNCTION("IFERROR(INDEX(FILTER($P255:$AL255, $P255:$AL255 &lt;&gt; """"), 4),)"),"")</f>
        <v/>
      </c>
      <c r="K255" s="106" t="str">
        <f ca="1">IFERROR(__xludf.DUMMYFUNCTION("IFERROR(INDEX(FILTER($P255:$AL255, $P255:$AL255 &lt;&gt; """"), 5),)"),"")</f>
        <v/>
      </c>
      <c r="L255" s="107"/>
      <c r="M255" s="107"/>
      <c r="N255" s="107"/>
      <c r="O255" s="107"/>
      <c r="P255" s="132" t="str">
        <f>IF(COUNTIF('Fintech-A'!$A:$A, $C255), P$1, "")</f>
        <v/>
      </c>
      <c r="Q255" s="132" t="str">
        <f>IF(COUNTIF('Fintech-B'!$A:$A, $C255), Q$1, "")</f>
        <v/>
      </c>
      <c r="R255" s="132" t="str">
        <f>IF(COUNTIF('BEDM-A'!$A:$A, $C255), R$1, "")</f>
        <v>Behavioural Economics and Decision-Making (A)</v>
      </c>
      <c r="S255" s="132" t="str">
        <f>IF(COUNTIF('BEDM-B'!$A:$A, $C255), S$1, "")</f>
        <v/>
      </c>
      <c r="T255" s="132" t="str">
        <f>IF(COUNTIF('Art-A'!$A:$A, $C255), T$1, "")</f>
        <v/>
      </c>
      <c r="U255" s="132" t="str">
        <f>IF(COUNTIF('Art-B'!$A:$A, $C255), U$1, "")</f>
        <v/>
      </c>
      <c r="V255" s="132" t="str">
        <f>IF(COUNTIF('WH-A'!$A:$A, $C255), V$1, "")</f>
        <v/>
      </c>
      <c r="W255" s="132" t="str">
        <f>IF(COUNTIF('WH-B'!$A:$A, $C255), W$1, "")</f>
        <v/>
      </c>
      <c r="X255" s="132" t="str">
        <f>IF(COUNTIF(LETV!$A:$A, $C255), X$1, "")</f>
        <v/>
      </c>
      <c r="Y255" s="132" t="str">
        <f>IF(COUNTIF('Film&amp;Firm-A'!$A:$A, $C255), Y$1, "")</f>
        <v/>
      </c>
      <c r="Z255" s="132" t="str">
        <f>IF(COUNTIF('Film&amp;Firm-B'!$A:$A, $C255), Z$1, "")</f>
        <v/>
      </c>
      <c r="AA255" s="132" t="str">
        <f>IF(COUNTIF(SHRM!$A:$A, $C255), AA$1, "")</f>
        <v/>
      </c>
      <c r="AB255" s="132" t="str">
        <f>IF(COUNTIF('SCM-A'!$A:$A, $C255), AB$1, "")</f>
        <v>Strategic Career Management (A)</v>
      </c>
      <c r="AC255" s="132" t="str">
        <f>IF(COUNTIF('SCM-B'!$A:$A, $C255), AC$1, "")</f>
        <v/>
      </c>
      <c r="AD255" s="132" t="str">
        <f>IF(COUNTIF(AIS!$A:$A, $C255), AD$1, "")</f>
        <v/>
      </c>
      <c r="AE255" s="132" t="str">
        <f>IF(COUNTIF(EB!$A:$A, $C255), AE$1, "")</f>
        <v/>
      </c>
      <c r="AF255" s="132" t="str">
        <f>IF(COUNTIF('AIAM-A'!$A:$A, $C255), AF$1, "")</f>
        <v/>
      </c>
      <c r="AG255" s="132" t="str">
        <f>IF(COUNTIF('AIAM-B'!$A:$A, $C255), AG$1, "")</f>
        <v/>
      </c>
      <c r="AH255" s="132" t="str">
        <f>IF(COUNTIF('SA-A'!$A:$A, $C255), AH$1, "")</f>
        <v/>
      </c>
      <c r="AI255" s="132" t="str">
        <f>IF(COUNTIF('SA-B'!$A:$A, $C255), AI$1, "")</f>
        <v/>
      </c>
      <c r="AJ255" s="132" t="str">
        <f>IF(COUNTIF(CSM!$A:$A, $C255), AJ$1, "")</f>
        <v/>
      </c>
      <c r="AK255" s="132" t="str">
        <f>IF(COUNTIF(EM!$A:$A, $C255), AK$1, "")</f>
        <v>Entrepreneurial Marketing</v>
      </c>
      <c r="AL255" s="132" t="str">
        <f>IF(COUNTIF(I4TS!$A:$A, $C255), AL$1, "")</f>
        <v/>
      </c>
    </row>
    <row r="256" spans="1:38" ht="13">
      <c r="A256" s="131">
        <v>255</v>
      </c>
      <c r="B256" s="131" t="s">
        <v>1063</v>
      </c>
      <c r="C256" s="131" t="s">
        <v>303</v>
      </c>
      <c r="D256" s="106" t="s">
        <v>1064</v>
      </c>
      <c r="E256" s="106" t="s">
        <v>1065</v>
      </c>
      <c r="F256" s="131">
        <f t="shared" ca="1" si="0"/>
        <v>5</v>
      </c>
      <c r="G256" s="106" t="str">
        <f ca="1">IFERROR(__xludf.DUMMYFUNCTION("INDEX(FILTER($P256:$AL256, $P256:$AL256 &lt;&gt; """"), 1)"),"The Art, Craft, and Science of Management: Learning through Classics and Best Collections (A)")</f>
        <v>The Art, Craft, and Science of Management: Learning through Classics and Best Collections (A)</v>
      </c>
      <c r="H256" s="106" t="str">
        <f ca="1">IFERROR(__xludf.DUMMYFUNCTION("INDEX(FILTER($P256:$AL256, $P256:$AL256 &lt;&gt; """"), 2)"),"Film &amp; the Firm: Visual Culture in Business Contexts (B)")</f>
        <v>Film &amp; the Firm: Visual Culture in Business Contexts (B)</v>
      </c>
      <c r="I256" s="106" t="str">
        <f ca="1">IFERROR(__xludf.DUMMYFUNCTION("INDEX(FILTER($P256:$AL256, $P256:$AL256 &lt;&gt; """"), 3)"),"Strategic Career Management (A)")</f>
        <v>Strategic Career Management (A)</v>
      </c>
      <c r="J256" s="106" t="str">
        <f ca="1">IFERROR(__xludf.DUMMYFUNCTION("IFERROR(INDEX(FILTER($P256:$AL256, $P256:$AL256 &lt;&gt; """"), 4),)"),"")</f>
        <v/>
      </c>
      <c r="K256" s="106" t="str">
        <f ca="1">IFERROR(__xludf.DUMMYFUNCTION("IFERROR(INDEX(FILTER($P256:$AL256, $P256:$AL256 &lt;&gt; """"), 5),)"),"")</f>
        <v/>
      </c>
      <c r="L256" s="107"/>
      <c r="M256" s="107"/>
      <c r="N256" s="107"/>
      <c r="O256" s="107"/>
      <c r="P256" s="132" t="str">
        <f>IF(COUNTIF('Fintech-A'!$A:$A, $C256), P$1, "")</f>
        <v/>
      </c>
      <c r="Q256" s="132" t="str">
        <f>IF(COUNTIF('Fintech-B'!$A:$A, $C256), Q$1, "")</f>
        <v/>
      </c>
      <c r="R256" s="132" t="str">
        <f>IF(COUNTIF('BEDM-A'!$A:$A, $C256), R$1, "")</f>
        <v/>
      </c>
      <c r="S256" s="132" t="str">
        <f>IF(COUNTIF('BEDM-B'!$A:$A, $C256), S$1, "")</f>
        <v/>
      </c>
      <c r="T256" s="132" t="str">
        <f>IF(COUNTIF('Art-A'!$A:$A, $C256), T$1, "")</f>
        <v>The Art, Craft, and Science of Management: Learning through Classics and Best Collections (A)</v>
      </c>
      <c r="U256" s="132" t="str">
        <f>IF(COUNTIF('Art-B'!$A:$A, $C256), U$1, "")</f>
        <v/>
      </c>
      <c r="V256" s="132" t="str">
        <f>IF(COUNTIF('WH-A'!$A:$A, $C256), V$1, "")</f>
        <v/>
      </c>
      <c r="W256" s="132" t="str">
        <f>IF(COUNTIF('WH-B'!$A:$A, $C256), W$1, "")</f>
        <v/>
      </c>
      <c r="X256" s="132" t="str">
        <f>IF(COUNTIF(LETV!$A:$A, $C256), X$1, "")</f>
        <v/>
      </c>
      <c r="Y256" s="132" t="str">
        <f>IF(COUNTIF('Film&amp;Firm-A'!$A:$A, $C256), Y$1, "")</f>
        <v/>
      </c>
      <c r="Z256" s="132" t="str">
        <f>IF(COUNTIF('Film&amp;Firm-B'!$A:$A, $C256), Z$1, "")</f>
        <v>Film &amp; the Firm: Visual Culture in Business Contexts (B)</v>
      </c>
      <c r="AA256" s="132" t="str">
        <f>IF(COUNTIF(SHRM!$A:$A, $C256), AA$1, "")</f>
        <v/>
      </c>
      <c r="AB256" s="132" t="str">
        <f>IF(COUNTIF('SCM-A'!$A:$A, $C256), AB$1, "")</f>
        <v>Strategic Career Management (A)</v>
      </c>
      <c r="AC256" s="132" t="str">
        <f>IF(COUNTIF('SCM-B'!$A:$A, $C256), AC$1, "")</f>
        <v/>
      </c>
      <c r="AD256" s="132" t="str">
        <f>IF(COUNTIF(AIS!$A:$A, $C256), AD$1, "")</f>
        <v/>
      </c>
      <c r="AE256" s="132" t="str">
        <f>IF(COUNTIF(EB!$A:$A, $C256), AE$1, "")</f>
        <v/>
      </c>
      <c r="AF256" s="132" t="str">
        <f>IF(COUNTIF('AIAM-A'!$A:$A, $C256), AF$1, "")</f>
        <v/>
      </c>
      <c r="AG256" s="132" t="str">
        <f>IF(COUNTIF('AIAM-B'!$A:$A, $C256), AG$1, "")</f>
        <v/>
      </c>
      <c r="AH256" s="132" t="str">
        <f>IF(COUNTIF('SA-A'!$A:$A, $C256), AH$1, "")</f>
        <v/>
      </c>
      <c r="AI256" s="132" t="str">
        <f>IF(COUNTIF('SA-B'!$A:$A, $C256), AI$1, "")</f>
        <v/>
      </c>
      <c r="AJ256" s="132" t="str">
        <f>IF(COUNTIF(CSM!$A:$A, $C256), AJ$1, "")</f>
        <v/>
      </c>
      <c r="AK256" s="132" t="str">
        <f>IF(COUNTIF(EM!$A:$A, $C256), AK$1, "")</f>
        <v/>
      </c>
      <c r="AL256" s="132" t="str">
        <f>IF(COUNTIF(I4TS!$A:$A, $C256), AL$1, "")</f>
        <v/>
      </c>
    </row>
    <row r="257" spans="1:38" ht="13">
      <c r="A257" s="131">
        <v>256</v>
      </c>
      <c r="B257" s="131" t="s">
        <v>1063</v>
      </c>
      <c r="C257" s="131" t="s">
        <v>1066</v>
      </c>
      <c r="D257" s="106" t="s">
        <v>1067</v>
      </c>
      <c r="E257" s="106" t="s">
        <v>1068</v>
      </c>
      <c r="F257" s="131">
        <f t="shared" ref="F257:F438" ca="1" si="1">COUNTA(G257:K257)</f>
        <v>5</v>
      </c>
      <c r="G257" s="106" t="str">
        <f ca="1">IFERROR(__xludf.DUMMYFUNCTION("INDEX(FILTER($P257:$AL257, $P257:$AL257 &lt;&gt; """"), 1)"),"Fintech (Digital Transformation in Finance) (A)")</f>
        <v>Fintech (Digital Transformation in Finance) (A)</v>
      </c>
      <c r="H257" s="106" t="str">
        <f ca="1">IFERROR(__xludf.DUMMYFUNCTION("INDEX(FILTER($P257:$AL257, $P257:$AL257 &lt;&gt; """"), 2)"),"Behavioural Economics and Decision-Making (A)")</f>
        <v>Behavioural Economics and Decision-Making (A)</v>
      </c>
      <c r="I257" s="106" t="str">
        <f ca="1">IFERROR(__xludf.DUMMYFUNCTION("INDEX(FILTER($P257:$AL257, $P257:$AL257 &lt;&gt; """"), 3)"),"Strategic Career Management (B)")</f>
        <v>Strategic Career Management (B)</v>
      </c>
      <c r="J257" s="106" t="str">
        <f ca="1">IFERROR(__xludf.DUMMYFUNCTION("IFERROR(INDEX(FILTER($P257:$AL257, $P257:$AL257 &lt;&gt; """"), 4),)"),"AI AND  STRATEGY")</f>
        <v>AI AND  STRATEGY</v>
      </c>
      <c r="K257" s="106" t="str">
        <f ca="1">IFERROR(__xludf.DUMMYFUNCTION("IFERROR(INDEX(FILTER($P257:$AL257, $P257:$AL257 &lt;&gt; """"), 5),)"),"AI Applications in Marketing (A)")</f>
        <v>AI Applications in Marketing (A)</v>
      </c>
      <c r="L257" s="107"/>
      <c r="M257" s="107"/>
      <c r="N257" s="107"/>
      <c r="O257" s="107"/>
      <c r="P257" s="132" t="str">
        <f>IF(COUNTIF('Fintech-A'!$A:$A, $C257), P$1, "")</f>
        <v>Fintech (Digital Transformation in Finance) (A)</v>
      </c>
      <c r="Q257" s="132" t="str">
        <f>IF(COUNTIF('Fintech-B'!$A:$A, $C257), Q$1, "")</f>
        <v/>
      </c>
      <c r="R257" s="132" t="str">
        <f>IF(COUNTIF('BEDM-A'!$A:$A, $C257), R$1, "")</f>
        <v>Behavioural Economics and Decision-Making (A)</v>
      </c>
      <c r="S257" s="132" t="str">
        <f>IF(COUNTIF('BEDM-B'!$A:$A, $C257), S$1, "")</f>
        <v/>
      </c>
      <c r="T257" s="132" t="str">
        <f>IF(COUNTIF('Art-A'!$A:$A, $C257), T$1, "")</f>
        <v/>
      </c>
      <c r="U257" s="132" t="str">
        <f>IF(COUNTIF('Art-B'!$A:$A, $C257), U$1, "")</f>
        <v/>
      </c>
      <c r="V257" s="132" t="str">
        <f>IF(COUNTIF('WH-A'!$A:$A, $C257), V$1, "")</f>
        <v/>
      </c>
      <c r="W257" s="132" t="str">
        <f>IF(COUNTIF('WH-B'!$A:$A, $C257), W$1, "")</f>
        <v/>
      </c>
      <c r="X257" s="132" t="str">
        <f>IF(COUNTIF(LETV!$A:$A, $C257), X$1, "")</f>
        <v/>
      </c>
      <c r="Y257" s="132" t="str">
        <f>IF(COUNTIF('Film&amp;Firm-A'!$A:$A, $C257), Y$1, "")</f>
        <v/>
      </c>
      <c r="Z257" s="132" t="str">
        <f>IF(COUNTIF('Film&amp;Firm-B'!$A:$A, $C257), Z$1, "")</f>
        <v/>
      </c>
      <c r="AA257" s="132" t="str">
        <f>IF(COUNTIF(SHRM!$A:$A, $C257), AA$1, "")</f>
        <v/>
      </c>
      <c r="AB257" s="132" t="str">
        <f>IF(COUNTIF('SCM-A'!$A:$A, $C257), AB$1, "")</f>
        <v/>
      </c>
      <c r="AC257" s="132" t="str">
        <f>IF(COUNTIF('SCM-B'!$A:$A, $C257), AC$1, "")</f>
        <v>Strategic Career Management (B)</v>
      </c>
      <c r="AD257" s="132" t="str">
        <f>IF(COUNTIF(AIS!$A:$A, $C257), AD$1, "")</f>
        <v>AI AND  STRATEGY</v>
      </c>
      <c r="AE257" s="132" t="str">
        <f>IF(COUNTIF(EB!$A:$A, $C257), AE$1, "")</f>
        <v/>
      </c>
      <c r="AF257" s="132" t="str">
        <f>IF(COUNTIF('AIAM-A'!$A:$A, $C257), AF$1, "")</f>
        <v>AI Applications in Marketing (A)</v>
      </c>
      <c r="AG257" s="132" t="str">
        <f>IF(COUNTIF('AIAM-B'!$A:$A, $C257), AG$1, "")</f>
        <v/>
      </c>
      <c r="AH257" s="132" t="str">
        <f>IF(COUNTIF('SA-A'!$A:$A, $C257), AH$1, "")</f>
        <v/>
      </c>
      <c r="AI257" s="132" t="str">
        <f>IF(COUNTIF('SA-B'!$A:$A, $C257), AI$1, "")</f>
        <v/>
      </c>
      <c r="AJ257" s="132" t="str">
        <f>IF(COUNTIF(CSM!$A:$A, $C257), AJ$1, "")</f>
        <v/>
      </c>
      <c r="AK257" s="132" t="str">
        <f>IF(COUNTIF(EM!$A:$A, $C257), AK$1, "")</f>
        <v/>
      </c>
      <c r="AL257" s="132" t="str">
        <f>IF(COUNTIF(I4TS!$A:$A, $C257), AL$1, "")</f>
        <v/>
      </c>
    </row>
    <row r="258" spans="1:38" ht="13">
      <c r="A258" s="131">
        <v>257</v>
      </c>
      <c r="B258" s="131" t="s">
        <v>1063</v>
      </c>
      <c r="C258" s="131" t="s">
        <v>1069</v>
      </c>
      <c r="D258" s="106" t="s">
        <v>1070</v>
      </c>
      <c r="E258" s="106" t="s">
        <v>1071</v>
      </c>
      <c r="F258" s="131">
        <f t="shared" ca="1" si="1"/>
        <v>5</v>
      </c>
      <c r="G258" s="106" t="str">
        <f ca="1">IFERROR(__xludf.DUMMYFUNCTION("INDEX(FILTER($P258:$AL258, $P258:$AL258 &lt;&gt; """"), 1)"),"The Art, Craft, and Science of Management: Learning through Classics and Best Collections (B)")</f>
        <v>The Art, Craft, and Science of Management: Learning through Classics and Best Collections (B)</v>
      </c>
      <c r="H258" s="106" t="str">
        <f ca="1">IFERROR(__xludf.DUMMYFUNCTION("INDEX(FILTER($P258:$AL258, $P258:$AL258 &lt;&gt; """"), 2)"),"Workplace Happiness: Science &amp; Practice (A)")</f>
        <v>Workplace Happiness: Science &amp; Practice (A)</v>
      </c>
      <c r="I258" s="106" t="str">
        <f ca="1">IFERROR(__xludf.DUMMYFUNCTION("INDEX(FILTER($P258:$AL258, $P258:$AL258 &lt;&gt; """"), 3)"),"AI AND  STRATEGY")</f>
        <v>AI AND  STRATEGY</v>
      </c>
      <c r="J258" s="106" t="str">
        <f ca="1">IFERROR(__xludf.DUMMYFUNCTION("IFERROR(INDEX(FILTER($P258:$AL258, $P258:$AL258 &lt;&gt; """"), 4),)"),"")</f>
        <v/>
      </c>
      <c r="K258" s="106" t="str">
        <f ca="1">IFERROR(__xludf.DUMMYFUNCTION("IFERROR(INDEX(FILTER($P258:$AL258, $P258:$AL258 &lt;&gt; """"), 5),)"),"")</f>
        <v/>
      </c>
      <c r="L258" s="107"/>
      <c r="M258" s="107"/>
      <c r="N258" s="107"/>
      <c r="O258" s="107"/>
      <c r="P258" s="132" t="str">
        <f>IF(COUNTIF('Fintech-A'!$A:$A, $C258), P$1, "")</f>
        <v/>
      </c>
      <c r="Q258" s="132" t="str">
        <f>IF(COUNTIF('Fintech-B'!$A:$A, $C258), Q$1, "")</f>
        <v/>
      </c>
      <c r="R258" s="132" t="str">
        <f>IF(COUNTIF('BEDM-A'!$A:$A, $C258), R$1, "")</f>
        <v/>
      </c>
      <c r="S258" s="132" t="str">
        <f>IF(COUNTIF('BEDM-B'!$A:$A, $C258), S$1, "")</f>
        <v/>
      </c>
      <c r="T258" s="132" t="str">
        <f>IF(COUNTIF('Art-A'!$A:$A, $C258), T$1, "")</f>
        <v/>
      </c>
      <c r="U258" s="132" t="str">
        <f>IF(COUNTIF('Art-B'!$A:$A, $C258), U$1, "")</f>
        <v>The Art, Craft, and Science of Management: Learning through Classics and Best Collections (B)</v>
      </c>
      <c r="V258" s="132" t="str">
        <f>IF(COUNTIF('WH-A'!$A:$A, $C258), V$1, "")</f>
        <v>Workplace Happiness: Science &amp; Practice (A)</v>
      </c>
      <c r="W258" s="132" t="str">
        <f>IF(COUNTIF('WH-B'!$A:$A, $C258), W$1, "")</f>
        <v/>
      </c>
      <c r="X258" s="132" t="str">
        <f>IF(COUNTIF(LETV!$A:$A, $C258), X$1, "")</f>
        <v/>
      </c>
      <c r="Y258" s="132" t="str">
        <f>IF(COUNTIF('Film&amp;Firm-A'!$A:$A, $C258), Y$1, "")</f>
        <v/>
      </c>
      <c r="Z258" s="132" t="str">
        <f>IF(COUNTIF('Film&amp;Firm-B'!$A:$A, $C258), Z$1, "")</f>
        <v/>
      </c>
      <c r="AA258" s="132" t="str">
        <f>IF(COUNTIF(SHRM!$A:$A, $C258), AA$1, "")</f>
        <v/>
      </c>
      <c r="AB258" s="132" t="str">
        <f>IF(COUNTIF('SCM-A'!$A:$A, $C258), AB$1, "")</f>
        <v/>
      </c>
      <c r="AC258" s="132" t="str">
        <f>IF(COUNTIF('SCM-B'!$A:$A, $C258), AC$1, "")</f>
        <v/>
      </c>
      <c r="AD258" s="132" t="str">
        <f>IF(COUNTIF(AIS!$A:$A, $C258), AD$1, "")</f>
        <v>AI AND  STRATEGY</v>
      </c>
      <c r="AE258" s="132" t="str">
        <f>IF(COUNTIF(EB!$A:$A, $C258), AE$1, "")</f>
        <v/>
      </c>
      <c r="AF258" s="132" t="str">
        <f>IF(COUNTIF('AIAM-A'!$A:$A, $C258), AF$1, "")</f>
        <v/>
      </c>
      <c r="AG258" s="132" t="str">
        <f>IF(COUNTIF('AIAM-B'!$A:$A, $C258), AG$1, "")</f>
        <v/>
      </c>
      <c r="AH258" s="132" t="str">
        <f>IF(COUNTIF('SA-A'!$A:$A, $C258), AH$1, "")</f>
        <v/>
      </c>
      <c r="AI258" s="132" t="str">
        <f>IF(COUNTIF('SA-B'!$A:$A, $C258), AI$1, "")</f>
        <v/>
      </c>
      <c r="AJ258" s="132" t="str">
        <f>IF(COUNTIF(CSM!$A:$A, $C258), AJ$1, "")</f>
        <v/>
      </c>
      <c r="AK258" s="132" t="str">
        <f>IF(COUNTIF(EM!$A:$A, $C258), AK$1, "")</f>
        <v/>
      </c>
      <c r="AL258" s="132" t="str">
        <f>IF(COUNTIF(I4TS!$A:$A, $C258), AL$1, "")</f>
        <v/>
      </c>
    </row>
    <row r="259" spans="1:38" ht="13">
      <c r="A259" s="131">
        <v>258</v>
      </c>
      <c r="B259" s="131" t="s">
        <v>1063</v>
      </c>
      <c r="C259" s="131" t="s">
        <v>1072</v>
      </c>
      <c r="D259" s="106" t="s">
        <v>1073</v>
      </c>
      <c r="E259" s="106" t="s">
        <v>1074</v>
      </c>
      <c r="F259" s="131">
        <f t="shared" ca="1" si="1"/>
        <v>5</v>
      </c>
      <c r="G259" s="106" t="str">
        <f ca="1">IFERROR(__xludf.DUMMYFUNCTION("INDEX(FILTER($P259:$AL259, $P259:$AL259 &lt;&gt; """"), 1)"),"Workplace Happiness: Science &amp; Practice (A)")</f>
        <v>Workplace Happiness: Science &amp; Practice (A)</v>
      </c>
      <c r="H259" s="106" t="str">
        <f ca="1">IFERROR(__xludf.DUMMYFUNCTION("INDEX(FILTER($P259:$AL259, $P259:$AL259 &lt;&gt; """"), 2)"),"Strategic Career Management (B)")</f>
        <v>Strategic Career Management (B)</v>
      </c>
      <c r="I259" s="106" t="str">
        <f ca="1">IFERROR(__xludf.DUMMYFUNCTION("INDEX(FILTER($P259:$AL259, $P259:$AL259 &lt;&gt; """"), 3)"),"Employer Branding")</f>
        <v>Employer Branding</v>
      </c>
      <c r="J259" s="106" t="str">
        <f ca="1">IFERROR(__xludf.DUMMYFUNCTION("IFERROR(INDEX(FILTER($P259:$AL259, $P259:$AL259 &lt;&gt; """"), 4),)"),"")</f>
        <v/>
      </c>
      <c r="K259" s="106" t="str">
        <f ca="1">IFERROR(__xludf.DUMMYFUNCTION("IFERROR(INDEX(FILTER($P259:$AL259, $P259:$AL259 &lt;&gt; """"), 5),)"),"")</f>
        <v/>
      </c>
      <c r="L259" s="107"/>
      <c r="M259" s="107"/>
      <c r="N259" s="107"/>
      <c r="O259" s="107"/>
      <c r="P259" s="132" t="str">
        <f>IF(COUNTIF('Fintech-A'!$A:$A, $C259), P$1, "")</f>
        <v/>
      </c>
      <c r="Q259" s="132" t="str">
        <f>IF(COUNTIF('Fintech-B'!$A:$A, $C259), Q$1, "")</f>
        <v/>
      </c>
      <c r="R259" s="132" t="str">
        <f>IF(COUNTIF('BEDM-A'!$A:$A, $C259), R$1, "")</f>
        <v/>
      </c>
      <c r="S259" s="132" t="str">
        <f>IF(COUNTIF('BEDM-B'!$A:$A, $C259), S$1, "")</f>
        <v/>
      </c>
      <c r="T259" s="132" t="str">
        <f>IF(COUNTIF('Art-A'!$A:$A, $C259), T$1, "")</f>
        <v/>
      </c>
      <c r="U259" s="132" t="str">
        <f>IF(COUNTIF('Art-B'!$A:$A, $C259), U$1, "")</f>
        <v/>
      </c>
      <c r="V259" s="132" t="str">
        <f>IF(COUNTIF('WH-A'!$A:$A, $C259), V$1, "")</f>
        <v>Workplace Happiness: Science &amp; Practice (A)</v>
      </c>
      <c r="W259" s="132" t="str">
        <f>IF(COUNTIF('WH-B'!$A:$A, $C259), W$1, "")</f>
        <v/>
      </c>
      <c r="X259" s="132" t="str">
        <f>IF(COUNTIF(LETV!$A:$A, $C259), X$1, "")</f>
        <v/>
      </c>
      <c r="Y259" s="132" t="str">
        <f>IF(COUNTIF('Film&amp;Firm-A'!$A:$A, $C259), Y$1, "")</f>
        <v/>
      </c>
      <c r="Z259" s="132" t="str">
        <f>IF(COUNTIF('Film&amp;Firm-B'!$A:$A, $C259), Z$1, "")</f>
        <v/>
      </c>
      <c r="AA259" s="132" t="str">
        <f>IF(COUNTIF(SHRM!$A:$A, $C259), AA$1, "")</f>
        <v/>
      </c>
      <c r="AB259" s="132" t="str">
        <f>IF(COUNTIF('SCM-A'!$A:$A, $C259), AB$1, "")</f>
        <v/>
      </c>
      <c r="AC259" s="132" t="str">
        <f>IF(COUNTIF('SCM-B'!$A:$A, $C259), AC$1, "")</f>
        <v>Strategic Career Management (B)</v>
      </c>
      <c r="AD259" s="132" t="str">
        <f>IF(COUNTIF(AIS!$A:$A, $C259), AD$1, "")</f>
        <v/>
      </c>
      <c r="AE259" s="132" t="str">
        <f>IF(COUNTIF(EB!$A:$A, $C259), AE$1, "")</f>
        <v>Employer Branding</v>
      </c>
      <c r="AF259" s="132" t="str">
        <f>IF(COUNTIF('AIAM-A'!$A:$A, $C259), AF$1, "")</f>
        <v/>
      </c>
      <c r="AG259" s="132" t="str">
        <f>IF(COUNTIF('AIAM-B'!$A:$A, $C259), AG$1, "")</f>
        <v/>
      </c>
      <c r="AH259" s="132" t="str">
        <f>IF(COUNTIF('SA-A'!$A:$A, $C259), AH$1, "")</f>
        <v/>
      </c>
      <c r="AI259" s="132" t="str">
        <f>IF(COUNTIF('SA-B'!$A:$A, $C259), AI$1, "")</f>
        <v/>
      </c>
      <c r="AJ259" s="132" t="str">
        <f>IF(COUNTIF(CSM!$A:$A, $C259), AJ$1, "")</f>
        <v/>
      </c>
      <c r="AK259" s="132" t="str">
        <f>IF(COUNTIF(EM!$A:$A, $C259), AK$1, "")</f>
        <v/>
      </c>
      <c r="AL259" s="132" t="str">
        <f>IF(COUNTIF(I4TS!$A:$A, $C259), AL$1, "")</f>
        <v/>
      </c>
    </row>
    <row r="260" spans="1:38" ht="13">
      <c r="A260" s="131">
        <v>259</v>
      </c>
      <c r="B260" s="131" t="s">
        <v>1063</v>
      </c>
      <c r="C260" s="131" t="s">
        <v>1075</v>
      </c>
      <c r="D260" s="106" t="s">
        <v>1076</v>
      </c>
      <c r="E260" s="106" t="s">
        <v>1077</v>
      </c>
      <c r="F260" s="131">
        <f t="shared" ca="1" si="1"/>
        <v>5</v>
      </c>
      <c r="G260" s="106" t="str">
        <f ca="1">IFERROR(__xludf.DUMMYFUNCTION("INDEX(FILTER($P260:$AL260, $P260:$AL260 &lt;&gt; """"), 1)"),"Fintech (Digital Transformation in Finance) (A)")</f>
        <v>Fintech (Digital Transformation in Finance) (A)</v>
      </c>
      <c r="H260" s="106" t="str">
        <f ca="1">IFERROR(__xludf.DUMMYFUNCTION("INDEX(FILTER($P260:$AL260, $P260:$AL260 &lt;&gt; """"), 2)"),"Behavioural Economics and Decision-Making (A)")</f>
        <v>Behavioural Economics and Decision-Making (A)</v>
      </c>
      <c r="I260" s="106" t="str">
        <f ca="1">IFERROR(__xludf.DUMMYFUNCTION("INDEX(FILTER($P260:$AL260, $P260:$AL260 &lt;&gt; """"), 3)"),"The Art, Craft, and Science of Management: Learning through Classics and Best Collections (A)")</f>
        <v>The Art, Craft, and Science of Management: Learning through Classics and Best Collections (A)</v>
      </c>
      <c r="J260" s="106" t="str">
        <f ca="1">IFERROR(__xludf.DUMMYFUNCTION("IFERROR(INDEX(FILTER($P260:$AL260, $P260:$AL260 &lt;&gt; """"), 4),)"),"Workplace Happiness: Science &amp; Practice (B)")</f>
        <v>Workplace Happiness: Science &amp; Practice (B)</v>
      </c>
      <c r="K260" s="106" t="str">
        <f ca="1">IFERROR(__xludf.DUMMYFUNCTION("IFERROR(INDEX(FILTER($P260:$AL260, $P260:$AL260 &lt;&gt; """"), 5),)"),"Film &amp; the Firm: Visual Culture in Business Contexts (A)")</f>
        <v>Film &amp; the Firm: Visual Culture in Business Contexts (A)</v>
      </c>
      <c r="L260" s="107"/>
      <c r="M260" s="107"/>
      <c r="N260" s="107"/>
      <c r="O260" s="107"/>
      <c r="P260" s="132" t="str">
        <f>IF(COUNTIF('Fintech-A'!$A:$A, $C260), P$1, "")</f>
        <v>Fintech (Digital Transformation in Finance) (A)</v>
      </c>
      <c r="Q260" s="132" t="str">
        <f>IF(COUNTIF('Fintech-B'!$A:$A, $C260), Q$1, "")</f>
        <v/>
      </c>
      <c r="R260" s="132" t="str">
        <f>IF(COUNTIF('BEDM-A'!$A:$A, $C260), R$1, "")</f>
        <v>Behavioural Economics and Decision-Making (A)</v>
      </c>
      <c r="S260" s="132" t="str">
        <f>IF(COUNTIF('BEDM-B'!$A:$A, $C260), S$1, "")</f>
        <v/>
      </c>
      <c r="T260" s="132" t="str">
        <f>IF(COUNTIF('Art-A'!$A:$A, $C260), T$1, "")</f>
        <v>The Art, Craft, and Science of Management: Learning through Classics and Best Collections (A)</v>
      </c>
      <c r="U260" s="132" t="str">
        <f>IF(COUNTIF('Art-B'!$A:$A, $C260), U$1, "")</f>
        <v/>
      </c>
      <c r="V260" s="132" t="str">
        <f>IF(COUNTIF('WH-A'!$A:$A, $C260), V$1, "")</f>
        <v/>
      </c>
      <c r="W260" s="132" t="str">
        <f>IF(COUNTIF('WH-B'!$A:$A, $C260), W$1, "")</f>
        <v>Workplace Happiness: Science &amp; Practice (B)</v>
      </c>
      <c r="X260" s="132" t="str">
        <f>IF(COUNTIF(LETV!$A:$A, $C260), X$1, "")</f>
        <v/>
      </c>
      <c r="Y260" s="132" t="str">
        <f>IF(COUNTIF('Film&amp;Firm-A'!$A:$A, $C260), Y$1, "")</f>
        <v>Film &amp; the Firm: Visual Culture in Business Contexts (A)</v>
      </c>
      <c r="Z260" s="132" t="str">
        <f>IF(COUNTIF('Film&amp;Firm-B'!$A:$A, $C260), Z$1, "")</f>
        <v/>
      </c>
      <c r="AA260" s="132" t="str">
        <f>IF(COUNTIF(SHRM!$A:$A, $C260), AA$1, "")</f>
        <v/>
      </c>
      <c r="AB260" s="132" t="str">
        <f>IF(COUNTIF('SCM-A'!$A:$A, $C260), AB$1, "")</f>
        <v/>
      </c>
      <c r="AC260" s="132" t="str">
        <f>IF(COUNTIF('SCM-B'!$A:$A, $C260), AC$1, "")</f>
        <v/>
      </c>
      <c r="AD260" s="132" t="str">
        <f>IF(COUNTIF(AIS!$A:$A, $C260), AD$1, "")</f>
        <v/>
      </c>
      <c r="AE260" s="132" t="str">
        <f>IF(COUNTIF(EB!$A:$A, $C260), AE$1, "")</f>
        <v/>
      </c>
      <c r="AF260" s="132" t="str">
        <f>IF(COUNTIF('AIAM-A'!$A:$A, $C260), AF$1, "")</f>
        <v/>
      </c>
      <c r="AG260" s="132" t="str">
        <f>IF(COUNTIF('AIAM-B'!$A:$A, $C260), AG$1, "")</f>
        <v/>
      </c>
      <c r="AH260" s="132" t="str">
        <f>IF(COUNTIF('SA-A'!$A:$A, $C260), AH$1, "")</f>
        <v/>
      </c>
      <c r="AI260" s="132" t="str">
        <f>IF(COUNTIF('SA-B'!$A:$A, $C260), AI$1, "")</f>
        <v/>
      </c>
      <c r="AJ260" s="132" t="str">
        <f>IF(COUNTIF(CSM!$A:$A, $C260), AJ$1, "")</f>
        <v/>
      </c>
      <c r="AK260" s="132" t="str">
        <f>IF(COUNTIF(EM!$A:$A, $C260), AK$1, "")</f>
        <v/>
      </c>
      <c r="AL260" s="132" t="str">
        <f>IF(COUNTIF(I4TS!$A:$A, $C260), AL$1, "")</f>
        <v/>
      </c>
    </row>
    <row r="261" spans="1:38" ht="13">
      <c r="A261" s="131">
        <v>260</v>
      </c>
      <c r="B261" s="131" t="s">
        <v>1063</v>
      </c>
      <c r="C261" s="131" t="s">
        <v>1078</v>
      </c>
      <c r="D261" s="106" t="s">
        <v>1079</v>
      </c>
      <c r="E261" s="106" t="s">
        <v>1080</v>
      </c>
      <c r="F261" s="131">
        <f t="shared" ca="1" si="1"/>
        <v>5</v>
      </c>
      <c r="G261" s="106" t="str">
        <f ca="1">IFERROR(__xludf.DUMMYFUNCTION("INDEX(FILTER($P261:$AL261, $P261:$AL261 &lt;&gt; """"), 1)"),"Fintech (Digital Transformation in Finance) (A)")</f>
        <v>Fintech (Digital Transformation in Finance) (A)</v>
      </c>
      <c r="H261" s="106" t="str">
        <f ca="1">IFERROR(__xludf.DUMMYFUNCTION("INDEX(FILTER($P261:$AL261, $P261:$AL261 &lt;&gt; """"), 2)"),"SPORTS ANALYTICS (A)")</f>
        <v>SPORTS ANALYTICS (A)</v>
      </c>
      <c r="I261" s="106" t="str">
        <f ca="1">IFERROR(__xludf.DUMMYFUNCTION("INDEX(FILTER($P261:$AL261, $P261:$AL261 &lt;&gt; """"), 3)"),"Customer Success Management")</f>
        <v>Customer Success Management</v>
      </c>
      <c r="J261" s="106" t="str">
        <f ca="1">IFERROR(__xludf.DUMMYFUNCTION("IFERROR(INDEX(FILTER($P261:$AL261, $P261:$AL261 &lt;&gt; """"), 4),)"),"")</f>
        <v/>
      </c>
      <c r="K261" s="106" t="str">
        <f ca="1">IFERROR(__xludf.DUMMYFUNCTION("IFERROR(INDEX(FILTER($P261:$AL261, $P261:$AL261 &lt;&gt; """"), 5),)"),"")</f>
        <v/>
      </c>
      <c r="L261" s="107"/>
      <c r="M261" s="107"/>
      <c r="N261" s="107"/>
      <c r="O261" s="107"/>
      <c r="P261" s="132" t="str">
        <f>IF(COUNTIF('Fintech-A'!$A:$A, $C261), P$1, "")</f>
        <v>Fintech (Digital Transformation in Finance) (A)</v>
      </c>
      <c r="Q261" s="132" t="str">
        <f>IF(COUNTIF('Fintech-B'!$A:$A, $C261), Q$1, "")</f>
        <v/>
      </c>
      <c r="R261" s="132" t="str">
        <f>IF(COUNTIF('BEDM-A'!$A:$A, $C261), R$1, "")</f>
        <v/>
      </c>
      <c r="S261" s="132" t="str">
        <f>IF(COUNTIF('BEDM-B'!$A:$A, $C261), S$1, "")</f>
        <v/>
      </c>
      <c r="T261" s="132" t="str">
        <f>IF(COUNTIF('Art-A'!$A:$A, $C261), T$1, "")</f>
        <v/>
      </c>
      <c r="U261" s="132" t="str">
        <f>IF(COUNTIF('Art-B'!$A:$A, $C261), U$1, "")</f>
        <v/>
      </c>
      <c r="V261" s="132" t="str">
        <f>IF(COUNTIF('WH-A'!$A:$A, $C261), V$1, "")</f>
        <v/>
      </c>
      <c r="W261" s="132" t="str">
        <f>IF(COUNTIF('WH-B'!$A:$A, $C261), W$1, "")</f>
        <v/>
      </c>
      <c r="X261" s="132" t="str">
        <f>IF(COUNTIF(LETV!$A:$A, $C261), X$1, "")</f>
        <v/>
      </c>
      <c r="Y261" s="132" t="str">
        <f>IF(COUNTIF('Film&amp;Firm-A'!$A:$A, $C261), Y$1, "")</f>
        <v/>
      </c>
      <c r="Z261" s="132" t="str">
        <f>IF(COUNTIF('Film&amp;Firm-B'!$A:$A, $C261), Z$1, "")</f>
        <v/>
      </c>
      <c r="AA261" s="132" t="str">
        <f>IF(COUNTIF(SHRM!$A:$A, $C261), AA$1, "")</f>
        <v/>
      </c>
      <c r="AB261" s="132" t="str">
        <f>IF(COUNTIF('SCM-A'!$A:$A, $C261), AB$1, "")</f>
        <v/>
      </c>
      <c r="AC261" s="132" t="str">
        <f>IF(COUNTIF('SCM-B'!$A:$A, $C261), AC$1, "")</f>
        <v/>
      </c>
      <c r="AD261" s="132" t="str">
        <f>IF(COUNTIF(AIS!$A:$A, $C261), AD$1, "")</f>
        <v/>
      </c>
      <c r="AE261" s="132" t="str">
        <f>IF(COUNTIF(EB!$A:$A, $C261), AE$1, "")</f>
        <v/>
      </c>
      <c r="AF261" s="132" t="str">
        <f>IF(COUNTIF('AIAM-A'!$A:$A, $C261), AF$1, "")</f>
        <v/>
      </c>
      <c r="AG261" s="132" t="str">
        <f>IF(COUNTIF('AIAM-B'!$A:$A, $C261), AG$1, "")</f>
        <v/>
      </c>
      <c r="AH261" s="132" t="str">
        <f>IF(COUNTIF('SA-A'!$A:$A, $C261), AH$1, "")</f>
        <v>SPORTS ANALYTICS (A)</v>
      </c>
      <c r="AI261" s="132" t="str">
        <f>IF(COUNTIF('SA-B'!$A:$A, $C261), AI$1, "")</f>
        <v/>
      </c>
      <c r="AJ261" s="132" t="str">
        <f>IF(COUNTIF(CSM!$A:$A, $C261), AJ$1, "")</f>
        <v>Customer Success Management</v>
      </c>
      <c r="AK261" s="132" t="str">
        <f>IF(COUNTIF(EM!$A:$A, $C261), AK$1, "")</f>
        <v/>
      </c>
      <c r="AL261" s="132" t="str">
        <f>IF(COUNTIF(I4TS!$A:$A, $C261), AL$1, "")</f>
        <v/>
      </c>
    </row>
    <row r="262" spans="1:38" ht="13">
      <c r="A262" s="131">
        <v>261</v>
      </c>
      <c r="B262" s="131" t="s">
        <v>1063</v>
      </c>
      <c r="C262" s="131" t="s">
        <v>1081</v>
      </c>
      <c r="D262" s="106" t="s">
        <v>1082</v>
      </c>
      <c r="E262" s="106" t="s">
        <v>1083</v>
      </c>
      <c r="F262" s="131">
        <f t="shared" ca="1" si="1"/>
        <v>5</v>
      </c>
      <c r="G262" s="106" t="str">
        <f ca="1">IFERROR(__xludf.DUMMYFUNCTION("INDEX(FILTER($P262:$AL262, $P262:$AL262 &lt;&gt; """"), 1)"),"Fintech (Digital Transformation in Finance) (A)")</f>
        <v>Fintech (Digital Transformation in Finance) (A)</v>
      </c>
      <c r="H262" s="106" t="str">
        <f ca="1">IFERROR(__xludf.DUMMYFUNCTION("INDEX(FILTER($P262:$AL262, $P262:$AL262 &lt;&gt; """"), 2)"),"Film &amp; the Firm: Visual Culture in Business Contexts (A)")</f>
        <v>Film &amp; the Firm: Visual Culture in Business Contexts (A)</v>
      </c>
      <c r="I262" s="106" t="str">
        <f ca="1">IFERROR(__xludf.DUMMYFUNCTION("INDEX(FILTER($P262:$AL262, $P262:$AL262 &lt;&gt; """"), 3)"),"SPORTS ANALYTICS (A)")</f>
        <v>SPORTS ANALYTICS (A)</v>
      </c>
      <c r="J262" s="106" t="str">
        <f ca="1">IFERROR(__xludf.DUMMYFUNCTION("IFERROR(INDEX(FILTER($P262:$AL262, $P262:$AL262 &lt;&gt; """"), 4),)"),"")</f>
        <v/>
      </c>
      <c r="K262" s="106" t="str">
        <f ca="1">IFERROR(__xludf.DUMMYFUNCTION("IFERROR(INDEX(FILTER($P262:$AL262, $P262:$AL262 &lt;&gt; """"), 5),)"),"")</f>
        <v/>
      </c>
      <c r="L262" s="107"/>
      <c r="M262" s="107"/>
      <c r="N262" s="107"/>
      <c r="O262" s="107"/>
      <c r="P262" s="132" t="str">
        <f>IF(COUNTIF('Fintech-A'!$A:$A, $C262), P$1, "")</f>
        <v>Fintech (Digital Transformation in Finance) (A)</v>
      </c>
      <c r="Q262" s="132" t="str">
        <f>IF(COUNTIF('Fintech-B'!$A:$A, $C262), Q$1, "")</f>
        <v/>
      </c>
      <c r="R262" s="132" t="str">
        <f>IF(COUNTIF('BEDM-A'!$A:$A, $C262), R$1, "")</f>
        <v/>
      </c>
      <c r="S262" s="132" t="str">
        <f>IF(COUNTIF('BEDM-B'!$A:$A, $C262), S$1, "")</f>
        <v/>
      </c>
      <c r="T262" s="132" t="str">
        <f>IF(COUNTIF('Art-A'!$A:$A, $C262), T$1, "")</f>
        <v/>
      </c>
      <c r="U262" s="132" t="str">
        <f>IF(COUNTIF('Art-B'!$A:$A, $C262), U$1, "")</f>
        <v/>
      </c>
      <c r="V262" s="132" t="str">
        <f>IF(COUNTIF('WH-A'!$A:$A, $C262), V$1, "")</f>
        <v/>
      </c>
      <c r="W262" s="132" t="str">
        <f>IF(COUNTIF('WH-B'!$A:$A, $C262), W$1, "")</f>
        <v/>
      </c>
      <c r="X262" s="132" t="str">
        <f>IF(COUNTIF(LETV!$A:$A, $C262), X$1, "")</f>
        <v/>
      </c>
      <c r="Y262" s="132" t="str">
        <f>IF(COUNTIF('Film&amp;Firm-A'!$A:$A, $C262), Y$1, "")</f>
        <v>Film &amp; the Firm: Visual Culture in Business Contexts (A)</v>
      </c>
      <c r="Z262" s="132" t="str">
        <f>IF(COUNTIF('Film&amp;Firm-B'!$A:$A, $C262), Z$1, "")</f>
        <v/>
      </c>
      <c r="AA262" s="132" t="str">
        <f>IF(COUNTIF(SHRM!$A:$A, $C262), AA$1, "")</f>
        <v/>
      </c>
      <c r="AB262" s="132" t="str">
        <f>IF(COUNTIF('SCM-A'!$A:$A, $C262), AB$1, "")</f>
        <v/>
      </c>
      <c r="AC262" s="132" t="str">
        <f>IF(COUNTIF('SCM-B'!$A:$A, $C262), AC$1, "")</f>
        <v/>
      </c>
      <c r="AD262" s="132" t="str">
        <f>IF(COUNTIF(AIS!$A:$A, $C262), AD$1, "")</f>
        <v/>
      </c>
      <c r="AE262" s="132" t="str">
        <f>IF(COUNTIF(EB!$A:$A, $C262), AE$1, "")</f>
        <v/>
      </c>
      <c r="AF262" s="132" t="str">
        <f>IF(COUNTIF('AIAM-A'!$A:$A, $C262), AF$1, "")</f>
        <v/>
      </c>
      <c r="AG262" s="132" t="str">
        <f>IF(COUNTIF('AIAM-B'!$A:$A, $C262), AG$1, "")</f>
        <v/>
      </c>
      <c r="AH262" s="132" t="str">
        <f>IF(COUNTIF('SA-A'!$A:$A, $C262), AH$1, "")</f>
        <v>SPORTS ANALYTICS (A)</v>
      </c>
      <c r="AI262" s="132" t="str">
        <f>IF(COUNTIF('SA-B'!$A:$A, $C262), AI$1, "")</f>
        <v/>
      </c>
      <c r="AJ262" s="132" t="str">
        <f>IF(COUNTIF(CSM!$A:$A, $C262), AJ$1, "")</f>
        <v/>
      </c>
      <c r="AK262" s="132" t="str">
        <f>IF(COUNTIF(EM!$A:$A, $C262), AK$1, "")</f>
        <v/>
      </c>
      <c r="AL262" s="132" t="str">
        <f>IF(COUNTIF(I4TS!$A:$A, $C262), AL$1, "")</f>
        <v/>
      </c>
    </row>
    <row r="263" spans="1:38" ht="13">
      <c r="A263" s="131">
        <v>262</v>
      </c>
      <c r="B263" s="131" t="s">
        <v>1063</v>
      </c>
      <c r="C263" s="131" t="s">
        <v>1084</v>
      </c>
      <c r="D263" s="106" t="s">
        <v>1085</v>
      </c>
      <c r="E263" s="106" t="s">
        <v>1086</v>
      </c>
      <c r="F263" s="131">
        <f t="shared" ca="1" si="1"/>
        <v>5</v>
      </c>
      <c r="G263" s="106" t="str">
        <f ca="1">IFERROR(__xludf.DUMMYFUNCTION("INDEX(FILTER($P263:$AL263, $P263:$AL263 &lt;&gt; """"), 1)"),"Fintech (Digital Transformation in Finance) (A)")</f>
        <v>Fintech (Digital Transformation in Finance) (A)</v>
      </c>
      <c r="H263" s="106" t="str">
        <f ca="1">IFERROR(__xludf.DUMMYFUNCTION("INDEX(FILTER($P263:$AL263, $P263:$AL263 &lt;&gt; """"), 2)"),"SPORTS ANALYTICS (A)")</f>
        <v>SPORTS ANALYTICS (A)</v>
      </c>
      <c r="I263" s="106" t="str">
        <f ca="1">IFERROR(__xludf.DUMMYFUNCTION("INDEX(FILTER($P263:$AL263, $P263:$AL263 &lt;&gt; """"), 3)"),"Industry 4.0 in Transport Sector")</f>
        <v>Industry 4.0 in Transport Sector</v>
      </c>
      <c r="J263" s="106" t="str">
        <f ca="1">IFERROR(__xludf.DUMMYFUNCTION("IFERROR(INDEX(FILTER($P263:$AL263, $P263:$AL263 &lt;&gt; """"), 4),)"),"")</f>
        <v/>
      </c>
      <c r="K263" s="106" t="str">
        <f ca="1">IFERROR(__xludf.DUMMYFUNCTION("IFERROR(INDEX(FILTER($P263:$AL263, $P263:$AL263 &lt;&gt; """"), 5),)"),"")</f>
        <v/>
      </c>
      <c r="L263" s="107"/>
      <c r="M263" s="107"/>
      <c r="N263" s="107"/>
      <c r="O263" s="107"/>
      <c r="P263" s="132" t="str">
        <f>IF(COUNTIF('Fintech-A'!$A:$A, $C263), P$1, "")</f>
        <v>Fintech (Digital Transformation in Finance) (A)</v>
      </c>
      <c r="Q263" s="132" t="str">
        <f>IF(COUNTIF('Fintech-B'!$A:$A, $C263), Q$1, "")</f>
        <v/>
      </c>
      <c r="R263" s="132" t="str">
        <f>IF(COUNTIF('BEDM-A'!$A:$A, $C263), R$1, "")</f>
        <v/>
      </c>
      <c r="S263" s="132" t="str">
        <f>IF(COUNTIF('BEDM-B'!$A:$A, $C263), S$1, "")</f>
        <v/>
      </c>
      <c r="T263" s="132" t="str">
        <f>IF(COUNTIF('Art-A'!$A:$A, $C263), T$1, "")</f>
        <v/>
      </c>
      <c r="U263" s="132" t="str">
        <f>IF(COUNTIF('Art-B'!$A:$A, $C263), U$1, "")</f>
        <v/>
      </c>
      <c r="V263" s="132" t="str">
        <f>IF(COUNTIF('WH-A'!$A:$A, $C263), V$1, "")</f>
        <v/>
      </c>
      <c r="W263" s="132" t="str">
        <f>IF(COUNTIF('WH-B'!$A:$A, $C263), W$1, "")</f>
        <v/>
      </c>
      <c r="X263" s="132" t="str">
        <f>IF(COUNTIF(LETV!$A:$A, $C263), X$1, "")</f>
        <v/>
      </c>
      <c r="Y263" s="132" t="str">
        <f>IF(COUNTIF('Film&amp;Firm-A'!$A:$A, $C263), Y$1, "")</f>
        <v/>
      </c>
      <c r="Z263" s="132" t="str">
        <f>IF(COUNTIF('Film&amp;Firm-B'!$A:$A, $C263), Z$1, "")</f>
        <v/>
      </c>
      <c r="AA263" s="132" t="str">
        <f>IF(COUNTIF(SHRM!$A:$A, $C263), AA$1, "")</f>
        <v/>
      </c>
      <c r="AB263" s="132" t="str">
        <f>IF(COUNTIF('SCM-A'!$A:$A, $C263), AB$1, "")</f>
        <v/>
      </c>
      <c r="AC263" s="132" t="str">
        <f>IF(COUNTIF('SCM-B'!$A:$A, $C263), AC$1, "")</f>
        <v/>
      </c>
      <c r="AD263" s="132" t="str">
        <f>IF(COUNTIF(AIS!$A:$A, $C263), AD$1, "")</f>
        <v/>
      </c>
      <c r="AE263" s="132" t="str">
        <f>IF(COUNTIF(EB!$A:$A, $C263), AE$1, "")</f>
        <v/>
      </c>
      <c r="AF263" s="132" t="str">
        <f>IF(COUNTIF('AIAM-A'!$A:$A, $C263), AF$1, "")</f>
        <v/>
      </c>
      <c r="AG263" s="132" t="str">
        <f>IF(COUNTIF('AIAM-B'!$A:$A, $C263), AG$1, "")</f>
        <v/>
      </c>
      <c r="AH263" s="132" t="str">
        <f>IF(COUNTIF('SA-A'!$A:$A, $C263), AH$1, "")</f>
        <v>SPORTS ANALYTICS (A)</v>
      </c>
      <c r="AI263" s="132" t="str">
        <f>IF(COUNTIF('SA-B'!$A:$A, $C263), AI$1, "")</f>
        <v/>
      </c>
      <c r="AJ263" s="132" t="str">
        <f>IF(COUNTIF(CSM!$A:$A, $C263), AJ$1, "")</f>
        <v/>
      </c>
      <c r="AK263" s="132" t="str">
        <f>IF(COUNTIF(EM!$A:$A, $C263), AK$1, "")</f>
        <v/>
      </c>
      <c r="AL263" s="132" t="str">
        <f>IF(COUNTIF(I4TS!$A:$A, $C263), AL$1, "")</f>
        <v>Industry 4.0 in Transport Sector</v>
      </c>
    </row>
    <row r="264" spans="1:38" ht="13">
      <c r="A264" s="131">
        <v>263</v>
      </c>
      <c r="B264" s="131" t="s">
        <v>1063</v>
      </c>
      <c r="C264" s="131" t="s">
        <v>1087</v>
      </c>
      <c r="D264" s="106" t="s">
        <v>1088</v>
      </c>
      <c r="E264" s="106" t="s">
        <v>1089</v>
      </c>
      <c r="F264" s="131">
        <f t="shared" ca="1" si="1"/>
        <v>5</v>
      </c>
      <c r="G264" s="106" t="str">
        <f ca="1">IFERROR(__xludf.DUMMYFUNCTION("INDEX(FILTER($P264:$AL264, $P264:$AL264 &lt;&gt; """"), 1)"),"Fintech (Digital Transformation in Finance) (A)")</f>
        <v>Fintech (Digital Transformation in Finance) (A)</v>
      </c>
      <c r="H264" s="106" t="str">
        <f ca="1">IFERROR(__xludf.DUMMYFUNCTION("INDEX(FILTER($P264:$AL264, $P264:$AL264 &lt;&gt; """"), 2)"),"Behavioural Economics and Decision-Making (B)")</f>
        <v>Behavioural Economics and Decision-Making (B)</v>
      </c>
      <c r="I264" s="106" t="str">
        <f ca="1">IFERROR(__xludf.DUMMYFUNCTION("INDEX(FILTER($P264:$AL264, $P264:$AL264 &lt;&gt; """"), 3)"),"Leadership Excellence Through Values : Wisdom from the Mahabharata")</f>
        <v>Leadership Excellence Through Values : Wisdom from the Mahabharata</v>
      </c>
      <c r="J264" s="106" t="str">
        <f ca="1">IFERROR(__xludf.DUMMYFUNCTION("IFERROR(INDEX(FILTER($P264:$AL264, $P264:$AL264 &lt;&gt; """"), 4),)"),"AI Applications in Marketing (A)")</f>
        <v>AI Applications in Marketing (A)</v>
      </c>
      <c r="K264" s="106" t="str">
        <f ca="1">IFERROR(__xludf.DUMMYFUNCTION("IFERROR(INDEX(FILTER($P264:$AL264, $P264:$AL264 &lt;&gt; """"), 5),)"),"Entrepreneurial Marketing")</f>
        <v>Entrepreneurial Marketing</v>
      </c>
      <c r="L264" s="107"/>
      <c r="M264" s="107"/>
      <c r="N264" s="107"/>
      <c r="O264" s="107"/>
      <c r="P264" s="132" t="str">
        <f>IF(COUNTIF('Fintech-A'!$A:$A, $C264), P$1, "")</f>
        <v>Fintech (Digital Transformation in Finance) (A)</v>
      </c>
      <c r="Q264" s="132" t="str">
        <f>IF(COUNTIF('Fintech-B'!$A:$A, $C264), Q$1, "")</f>
        <v/>
      </c>
      <c r="R264" s="132" t="str">
        <f>IF(COUNTIF('BEDM-A'!$A:$A, $C264), R$1, "")</f>
        <v/>
      </c>
      <c r="S264" s="132" t="str">
        <f>IF(COUNTIF('BEDM-B'!$A:$A, $C264), S$1, "")</f>
        <v>Behavioural Economics and Decision-Making (B)</v>
      </c>
      <c r="T264" s="132" t="str">
        <f>IF(COUNTIF('Art-A'!$A:$A, $C264), T$1, "")</f>
        <v/>
      </c>
      <c r="U264" s="132" t="str">
        <f>IF(COUNTIF('Art-B'!$A:$A, $C264), U$1, "")</f>
        <v/>
      </c>
      <c r="V264" s="132" t="str">
        <f>IF(COUNTIF('WH-A'!$A:$A, $C264), V$1, "")</f>
        <v/>
      </c>
      <c r="W264" s="132" t="str">
        <f>IF(COUNTIF('WH-B'!$A:$A, $C264), W$1, "")</f>
        <v/>
      </c>
      <c r="X264" s="132" t="str">
        <f>IF(COUNTIF(LETV!$A:$A, $C264), X$1, "")</f>
        <v>Leadership Excellence Through Values : Wisdom from the Mahabharata</v>
      </c>
      <c r="Y264" s="132" t="str">
        <f>IF(COUNTIF('Film&amp;Firm-A'!$A:$A, $C264), Y$1, "")</f>
        <v/>
      </c>
      <c r="Z264" s="132" t="str">
        <f>IF(COUNTIF('Film&amp;Firm-B'!$A:$A, $C264), Z$1, "")</f>
        <v/>
      </c>
      <c r="AA264" s="132" t="str">
        <f>IF(COUNTIF(SHRM!$A:$A, $C264), AA$1, "")</f>
        <v/>
      </c>
      <c r="AB264" s="132" t="str">
        <f>IF(COUNTIF('SCM-A'!$A:$A, $C264), AB$1, "")</f>
        <v/>
      </c>
      <c r="AC264" s="132" t="str">
        <f>IF(COUNTIF('SCM-B'!$A:$A, $C264), AC$1, "")</f>
        <v/>
      </c>
      <c r="AD264" s="132" t="str">
        <f>IF(COUNTIF(AIS!$A:$A, $C264), AD$1, "")</f>
        <v/>
      </c>
      <c r="AE264" s="132" t="str">
        <f>IF(COUNTIF(EB!$A:$A, $C264), AE$1, "")</f>
        <v/>
      </c>
      <c r="AF264" s="132" t="str">
        <f>IF(COUNTIF('AIAM-A'!$A:$A, $C264), AF$1, "")</f>
        <v>AI Applications in Marketing (A)</v>
      </c>
      <c r="AG264" s="132" t="str">
        <f>IF(COUNTIF('AIAM-B'!$A:$A, $C264), AG$1, "")</f>
        <v/>
      </c>
      <c r="AH264" s="132" t="str">
        <f>IF(COUNTIF('SA-A'!$A:$A, $C264), AH$1, "")</f>
        <v/>
      </c>
      <c r="AI264" s="132" t="str">
        <f>IF(COUNTIF('SA-B'!$A:$A, $C264), AI$1, "")</f>
        <v/>
      </c>
      <c r="AJ264" s="132" t="str">
        <f>IF(COUNTIF(CSM!$A:$A, $C264), AJ$1, "")</f>
        <v/>
      </c>
      <c r="AK264" s="132" t="str">
        <f>IF(COUNTIF(EM!$A:$A, $C264), AK$1, "")</f>
        <v>Entrepreneurial Marketing</v>
      </c>
      <c r="AL264" s="132" t="str">
        <f>IF(COUNTIF(I4TS!$A:$A, $C264), AL$1, "")</f>
        <v/>
      </c>
    </row>
    <row r="265" spans="1:38" ht="13">
      <c r="A265" s="131">
        <v>264</v>
      </c>
      <c r="B265" s="131" t="s">
        <v>1063</v>
      </c>
      <c r="C265" s="131" t="s">
        <v>1090</v>
      </c>
      <c r="D265" s="106" t="s">
        <v>1091</v>
      </c>
      <c r="E265" s="106" t="s">
        <v>1092</v>
      </c>
      <c r="F265" s="131">
        <f t="shared" ca="1" si="1"/>
        <v>5</v>
      </c>
      <c r="G265" s="106" t="str">
        <f ca="1">IFERROR(__xludf.DUMMYFUNCTION("INDEX(FILTER($P265:$AL265, $P265:$AL265 &lt;&gt; """"), 1)"),"Employer Branding")</f>
        <v>Employer Branding</v>
      </c>
      <c r="H265" s="106" t="str">
        <f ca="1">IFERROR(__xludf.DUMMYFUNCTION("INDEX(FILTER($P265:$AL265, $P265:$AL265 &lt;&gt; """"), 2)"),"AI Applications in Marketing (A)")</f>
        <v>AI Applications in Marketing (A)</v>
      </c>
      <c r="I265" s="106" t="str">
        <f ca="1">IFERROR(__xludf.DUMMYFUNCTION("INDEX(FILTER($P265:$AL265, $P265:$AL265 &lt;&gt; """"), 3)"),"SPORTS ANALYTICS (A)")</f>
        <v>SPORTS ANALYTICS (A)</v>
      </c>
      <c r="J265" s="106" t="str">
        <f ca="1">IFERROR(__xludf.DUMMYFUNCTION("IFERROR(INDEX(FILTER($P265:$AL265, $P265:$AL265 &lt;&gt; """"), 4),)"),"")</f>
        <v/>
      </c>
      <c r="K265" s="106" t="str">
        <f ca="1">IFERROR(__xludf.DUMMYFUNCTION("IFERROR(INDEX(FILTER($P265:$AL265, $P265:$AL265 &lt;&gt; """"), 5),)"),"")</f>
        <v/>
      </c>
      <c r="L265" s="107"/>
      <c r="M265" s="107"/>
      <c r="N265" s="107"/>
      <c r="O265" s="107"/>
      <c r="P265" s="132" t="str">
        <f>IF(COUNTIF('Fintech-A'!$A:$A, $C265), P$1, "")</f>
        <v/>
      </c>
      <c r="Q265" s="132" t="str">
        <f>IF(COUNTIF('Fintech-B'!$A:$A, $C265), Q$1, "")</f>
        <v/>
      </c>
      <c r="R265" s="132" t="str">
        <f>IF(COUNTIF('BEDM-A'!$A:$A, $C265), R$1, "")</f>
        <v/>
      </c>
      <c r="S265" s="132" t="str">
        <f>IF(COUNTIF('BEDM-B'!$A:$A, $C265), S$1, "")</f>
        <v/>
      </c>
      <c r="T265" s="132" t="str">
        <f>IF(COUNTIF('Art-A'!$A:$A, $C265), T$1, "")</f>
        <v/>
      </c>
      <c r="U265" s="132" t="str">
        <f>IF(COUNTIF('Art-B'!$A:$A, $C265), U$1, "")</f>
        <v/>
      </c>
      <c r="V265" s="132" t="str">
        <f>IF(COUNTIF('WH-A'!$A:$A, $C265), V$1, "")</f>
        <v/>
      </c>
      <c r="W265" s="132" t="str">
        <f>IF(COUNTIF('WH-B'!$A:$A, $C265), W$1, "")</f>
        <v/>
      </c>
      <c r="X265" s="132" t="str">
        <f>IF(COUNTIF(LETV!$A:$A, $C265), X$1, "")</f>
        <v/>
      </c>
      <c r="Y265" s="132" t="str">
        <f>IF(COUNTIF('Film&amp;Firm-A'!$A:$A, $C265), Y$1, "")</f>
        <v/>
      </c>
      <c r="Z265" s="132" t="str">
        <f>IF(COUNTIF('Film&amp;Firm-B'!$A:$A, $C265), Z$1, "")</f>
        <v/>
      </c>
      <c r="AA265" s="132" t="str">
        <f>IF(COUNTIF(SHRM!$A:$A, $C265), AA$1, "")</f>
        <v/>
      </c>
      <c r="AB265" s="132" t="str">
        <f>IF(COUNTIF('SCM-A'!$A:$A, $C265), AB$1, "")</f>
        <v/>
      </c>
      <c r="AC265" s="132" t="str">
        <f>IF(COUNTIF('SCM-B'!$A:$A, $C265), AC$1, "")</f>
        <v/>
      </c>
      <c r="AD265" s="132" t="str">
        <f>IF(COUNTIF(AIS!$A:$A, $C265), AD$1, "")</f>
        <v/>
      </c>
      <c r="AE265" s="132" t="str">
        <f>IF(COUNTIF(EB!$A:$A, $C265), AE$1, "")</f>
        <v>Employer Branding</v>
      </c>
      <c r="AF265" s="132" t="str">
        <f>IF(COUNTIF('AIAM-A'!$A:$A, $C265), AF$1, "")</f>
        <v>AI Applications in Marketing (A)</v>
      </c>
      <c r="AG265" s="132" t="str">
        <f>IF(COUNTIF('AIAM-B'!$A:$A, $C265), AG$1, "")</f>
        <v/>
      </c>
      <c r="AH265" s="132" t="str">
        <f>IF(COUNTIF('SA-A'!$A:$A, $C265), AH$1, "")</f>
        <v>SPORTS ANALYTICS (A)</v>
      </c>
      <c r="AI265" s="132" t="str">
        <f>IF(COUNTIF('SA-B'!$A:$A, $C265), AI$1, "")</f>
        <v/>
      </c>
      <c r="AJ265" s="132" t="str">
        <f>IF(COUNTIF(CSM!$A:$A, $C265), AJ$1, "")</f>
        <v/>
      </c>
      <c r="AK265" s="132" t="str">
        <f>IF(COUNTIF(EM!$A:$A, $C265), AK$1, "")</f>
        <v/>
      </c>
      <c r="AL265" s="132" t="str">
        <f>IF(COUNTIF(I4TS!$A:$A, $C265), AL$1, "")</f>
        <v/>
      </c>
    </row>
    <row r="266" spans="1:38" ht="13">
      <c r="A266" s="131">
        <v>265</v>
      </c>
      <c r="B266" s="131" t="s">
        <v>1063</v>
      </c>
      <c r="C266" s="131" t="s">
        <v>1093</v>
      </c>
      <c r="D266" s="106" t="s">
        <v>1094</v>
      </c>
      <c r="E266" s="106" t="s">
        <v>1095</v>
      </c>
      <c r="F266" s="131">
        <f t="shared" ca="1" si="1"/>
        <v>5</v>
      </c>
      <c r="G266" s="106" t="str">
        <f ca="1">IFERROR(__xludf.DUMMYFUNCTION("INDEX(FILTER($P266:$AL266, $P266:$AL266 &lt;&gt; """"), 1)"),"Fintech (Digital Transformation in Finance) (A)")</f>
        <v>Fintech (Digital Transformation in Finance) (A)</v>
      </c>
      <c r="H266" s="106" t="str">
        <f ca="1">IFERROR(__xludf.DUMMYFUNCTION("INDEX(FILTER($P266:$AL266, $P266:$AL266 &lt;&gt; """"), 2)"),"Behavioural Economics and Decision-Making (B)")</f>
        <v>Behavioural Economics and Decision-Making (B)</v>
      </c>
      <c r="I266" s="106" t="str">
        <f ca="1">IFERROR(__xludf.DUMMYFUNCTION("INDEX(FILTER($P266:$AL266, $P266:$AL266 &lt;&gt; """"), 3)"),"Strategic Career Management (A)")</f>
        <v>Strategic Career Management (A)</v>
      </c>
      <c r="J266" s="106" t="str">
        <f ca="1">IFERROR(__xludf.DUMMYFUNCTION("IFERROR(INDEX(FILTER($P266:$AL266, $P266:$AL266 &lt;&gt; """"), 4),)"),"AI Applications in Marketing (A)")</f>
        <v>AI Applications in Marketing (A)</v>
      </c>
      <c r="K266" s="106" t="str">
        <f ca="1">IFERROR(__xludf.DUMMYFUNCTION("IFERROR(INDEX(FILTER($P266:$AL266, $P266:$AL266 &lt;&gt; """"), 5),)"),"Entrepreneurial Marketing")</f>
        <v>Entrepreneurial Marketing</v>
      </c>
      <c r="L266" s="107"/>
      <c r="M266" s="107"/>
      <c r="N266" s="107"/>
      <c r="O266" s="107"/>
      <c r="P266" s="132" t="str">
        <f>IF(COUNTIF('Fintech-A'!$A:$A, $C266), P$1, "")</f>
        <v>Fintech (Digital Transformation in Finance) (A)</v>
      </c>
      <c r="Q266" s="132" t="str">
        <f>IF(COUNTIF('Fintech-B'!$A:$A, $C266), Q$1, "")</f>
        <v/>
      </c>
      <c r="R266" s="132" t="str">
        <f>IF(COUNTIF('BEDM-A'!$A:$A, $C266), R$1, "")</f>
        <v/>
      </c>
      <c r="S266" s="132" t="str">
        <f>IF(COUNTIF('BEDM-B'!$A:$A, $C266), S$1, "")</f>
        <v>Behavioural Economics and Decision-Making (B)</v>
      </c>
      <c r="T266" s="132" t="str">
        <f>IF(COUNTIF('Art-A'!$A:$A, $C266), T$1, "")</f>
        <v/>
      </c>
      <c r="U266" s="132" t="str">
        <f>IF(COUNTIF('Art-B'!$A:$A, $C266), U$1, "")</f>
        <v/>
      </c>
      <c r="V266" s="132" t="str">
        <f>IF(COUNTIF('WH-A'!$A:$A, $C266), V$1, "")</f>
        <v/>
      </c>
      <c r="W266" s="132" t="str">
        <f>IF(COUNTIF('WH-B'!$A:$A, $C266), W$1, "")</f>
        <v/>
      </c>
      <c r="X266" s="132" t="str">
        <f>IF(COUNTIF(LETV!$A:$A, $C266), X$1, "")</f>
        <v/>
      </c>
      <c r="Y266" s="132" t="str">
        <f>IF(COUNTIF('Film&amp;Firm-A'!$A:$A, $C266), Y$1, "")</f>
        <v/>
      </c>
      <c r="Z266" s="132" t="str">
        <f>IF(COUNTIF('Film&amp;Firm-B'!$A:$A, $C266), Z$1, "")</f>
        <v/>
      </c>
      <c r="AA266" s="132" t="str">
        <f>IF(COUNTIF(SHRM!$A:$A, $C266), AA$1, "")</f>
        <v/>
      </c>
      <c r="AB266" s="132" t="str">
        <f>IF(COUNTIF('SCM-A'!$A:$A, $C266), AB$1, "")</f>
        <v>Strategic Career Management (A)</v>
      </c>
      <c r="AC266" s="132" t="str">
        <f>IF(COUNTIF('SCM-B'!$A:$A, $C266), AC$1, "")</f>
        <v/>
      </c>
      <c r="AD266" s="132" t="str">
        <f>IF(COUNTIF(AIS!$A:$A, $C266), AD$1, "")</f>
        <v/>
      </c>
      <c r="AE266" s="132" t="str">
        <f>IF(COUNTIF(EB!$A:$A, $C266), AE$1, "")</f>
        <v/>
      </c>
      <c r="AF266" s="132" t="str">
        <f>IF(COUNTIF('AIAM-A'!$A:$A, $C266), AF$1, "")</f>
        <v>AI Applications in Marketing (A)</v>
      </c>
      <c r="AG266" s="132" t="str">
        <f>IF(COUNTIF('AIAM-B'!$A:$A, $C266), AG$1, "")</f>
        <v/>
      </c>
      <c r="AH266" s="132" t="str">
        <f>IF(COUNTIF('SA-A'!$A:$A, $C266), AH$1, "")</f>
        <v/>
      </c>
      <c r="AI266" s="132" t="str">
        <f>IF(COUNTIF('SA-B'!$A:$A, $C266), AI$1, "")</f>
        <v/>
      </c>
      <c r="AJ266" s="132" t="str">
        <f>IF(COUNTIF(CSM!$A:$A, $C266), AJ$1, "")</f>
        <v/>
      </c>
      <c r="AK266" s="132" t="str">
        <f>IF(COUNTIF(EM!$A:$A, $C266), AK$1, "")</f>
        <v>Entrepreneurial Marketing</v>
      </c>
      <c r="AL266" s="132" t="str">
        <f>IF(COUNTIF(I4TS!$A:$A, $C266), AL$1, "")</f>
        <v/>
      </c>
    </row>
    <row r="267" spans="1:38" ht="13">
      <c r="A267" s="131">
        <v>266</v>
      </c>
      <c r="B267" s="131" t="s">
        <v>1063</v>
      </c>
      <c r="C267" s="131" t="s">
        <v>304</v>
      </c>
      <c r="D267" s="106" t="s">
        <v>1096</v>
      </c>
      <c r="E267" s="106" t="s">
        <v>1097</v>
      </c>
      <c r="F267" s="131">
        <f t="shared" ca="1" si="1"/>
        <v>5</v>
      </c>
      <c r="G267" s="106" t="str">
        <f ca="1">IFERROR(__xludf.DUMMYFUNCTION("INDEX(FILTER($P267:$AL267, $P267:$AL267 &lt;&gt; """"), 1)"),"Strategic Career Management (B)")</f>
        <v>Strategic Career Management (B)</v>
      </c>
      <c r="H267" s="106" t="str">
        <f ca="1">IFERROR(__xludf.DUMMYFUNCTION("INDEX(FILTER($P267:$AL267, $P267:$AL267 &lt;&gt; """"), 2)"),"Customer Success Management")</f>
        <v>Customer Success Management</v>
      </c>
      <c r="I267" s="106" t="str">
        <f ca="1">IFERROR(__xludf.DUMMYFUNCTION("INDEX(FILTER($P267:$AL267, $P267:$AL267 &lt;&gt; """"), 3)"),"Entrepreneurial Marketing")</f>
        <v>Entrepreneurial Marketing</v>
      </c>
      <c r="J267" s="106" t="str">
        <f ca="1">IFERROR(__xludf.DUMMYFUNCTION("IFERROR(INDEX(FILTER($P267:$AL267, $P267:$AL267 &lt;&gt; """"), 4),)"),"")</f>
        <v/>
      </c>
      <c r="K267" s="106" t="str">
        <f ca="1">IFERROR(__xludf.DUMMYFUNCTION("IFERROR(INDEX(FILTER($P267:$AL267, $P267:$AL267 &lt;&gt; """"), 5),)"),"")</f>
        <v/>
      </c>
      <c r="L267" s="107"/>
      <c r="M267" s="107"/>
      <c r="N267" s="107"/>
      <c r="O267" s="107"/>
      <c r="P267" s="132" t="str">
        <f>IF(COUNTIF('Fintech-A'!$A:$A, $C267), P$1, "")</f>
        <v/>
      </c>
      <c r="Q267" s="132" t="str">
        <f>IF(COUNTIF('Fintech-B'!$A:$A, $C267), Q$1, "")</f>
        <v/>
      </c>
      <c r="R267" s="132" t="str">
        <f>IF(COUNTIF('BEDM-A'!$A:$A, $C267), R$1, "")</f>
        <v/>
      </c>
      <c r="S267" s="132" t="str">
        <f>IF(COUNTIF('BEDM-B'!$A:$A, $C267), S$1, "")</f>
        <v/>
      </c>
      <c r="T267" s="132" t="str">
        <f>IF(COUNTIF('Art-A'!$A:$A, $C267), T$1, "")</f>
        <v/>
      </c>
      <c r="U267" s="132" t="str">
        <f>IF(COUNTIF('Art-B'!$A:$A, $C267), U$1, "")</f>
        <v/>
      </c>
      <c r="V267" s="132" t="str">
        <f>IF(COUNTIF('WH-A'!$A:$A, $C267), V$1, "")</f>
        <v/>
      </c>
      <c r="W267" s="132" t="str">
        <f>IF(COUNTIF('WH-B'!$A:$A, $C267), W$1, "")</f>
        <v/>
      </c>
      <c r="X267" s="132" t="str">
        <f>IF(COUNTIF(LETV!$A:$A, $C267), X$1, "")</f>
        <v/>
      </c>
      <c r="Y267" s="132" t="str">
        <f>IF(COUNTIF('Film&amp;Firm-A'!$A:$A, $C267), Y$1, "")</f>
        <v/>
      </c>
      <c r="Z267" s="132" t="str">
        <f>IF(COUNTIF('Film&amp;Firm-B'!$A:$A, $C267), Z$1, "")</f>
        <v/>
      </c>
      <c r="AA267" s="132" t="str">
        <f>IF(COUNTIF(SHRM!$A:$A, $C267), AA$1, "")</f>
        <v/>
      </c>
      <c r="AB267" s="132" t="str">
        <f>IF(COUNTIF('SCM-A'!$A:$A, $C267), AB$1, "")</f>
        <v/>
      </c>
      <c r="AC267" s="132" t="str">
        <f>IF(COUNTIF('SCM-B'!$A:$A, $C267), AC$1, "")</f>
        <v>Strategic Career Management (B)</v>
      </c>
      <c r="AD267" s="132" t="str">
        <f>IF(COUNTIF(AIS!$A:$A, $C267), AD$1, "")</f>
        <v/>
      </c>
      <c r="AE267" s="132" t="str">
        <f>IF(COUNTIF(EB!$A:$A, $C267), AE$1, "")</f>
        <v/>
      </c>
      <c r="AF267" s="132" t="str">
        <f>IF(COUNTIF('AIAM-A'!$A:$A, $C267), AF$1, "")</f>
        <v/>
      </c>
      <c r="AG267" s="132" t="str">
        <f>IF(COUNTIF('AIAM-B'!$A:$A, $C267), AG$1, "")</f>
        <v/>
      </c>
      <c r="AH267" s="132" t="str">
        <f>IF(COUNTIF('SA-A'!$A:$A, $C267), AH$1, "")</f>
        <v/>
      </c>
      <c r="AI267" s="132" t="str">
        <f>IF(COUNTIF('SA-B'!$A:$A, $C267), AI$1, "")</f>
        <v/>
      </c>
      <c r="AJ267" s="132" t="str">
        <f>IF(COUNTIF(CSM!$A:$A, $C267), AJ$1, "")</f>
        <v>Customer Success Management</v>
      </c>
      <c r="AK267" s="132" t="str">
        <f>IF(COUNTIF(EM!$A:$A, $C267), AK$1, "")</f>
        <v>Entrepreneurial Marketing</v>
      </c>
      <c r="AL267" s="132" t="str">
        <f>IF(COUNTIF(I4TS!$A:$A, $C267), AL$1, "")</f>
        <v/>
      </c>
    </row>
    <row r="268" spans="1:38" ht="13">
      <c r="A268" s="131">
        <v>267</v>
      </c>
      <c r="B268" s="131" t="s">
        <v>1063</v>
      </c>
      <c r="C268" s="131" t="s">
        <v>1098</v>
      </c>
      <c r="D268" s="106" t="s">
        <v>1099</v>
      </c>
      <c r="E268" s="106" t="s">
        <v>1100</v>
      </c>
      <c r="F268" s="131">
        <f t="shared" ca="1" si="1"/>
        <v>5</v>
      </c>
      <c r="G268" s="106" t="str">
        <f ca="1">IFERROR(__xludf.DUMMYFUNCTION("INDEX(FILTER($P268:$AL268, $P268:$AL268 &lt;&gt; """"), 1)"),"Fintech (Digital Transformation in Finance) (A)")</f>
        <v>Fintech (Digital Transformation in Finance) (A)</v>
      </c>
      <c r="H268" s="106" t="str">
        <f ca="1">IFERROR(__xludf.DUMMYFUNCTION("INDEX(FILTER($P268:$AL268, $P268:$AL268 &lt;&gt; """"), 2)"),"Behavioural Economics and Decision-Making (A)")</f>
        <v>Behavioural Economics and Decision-Making (A)</v>
      </c>
      <c r="I268" s="106" t="str">
        <f ca="1">IFERROR(__xludf.DUMMYFUNCTION("INDEX(FILTER($P268:$AL268, $P268:$AL268 &lt;&gt; """"), 3)"),"Workplace Happiness: Science &amp; Practice (B)")</f>
        <v>Workplace Happiness: Science &amp; Practice (B)</v>
      </c>
      <c r="J268" s="106" t="str">
        <f ca="1">IFERROR(__xludf.DUMMYFUNCTION("IFERROR(INDEX(FILTER($P268:$AL268, $P268:$AL268 &lt;&gt; """"), 4),)"),"Strategic Career Management (A)")</f>
        <v>Strategic Career Management (A)</v>
      </c>
      <c r="K268" s="106" t="str">
        <f ca="1">IFERROR(__xludf.DUMMYFUNCTION("IFERROR(INDEX(FILTER($P268:$AL268, $P268:$AL268 &lt;&gt; """"), 5),)"),"Entrepreneurial Marketing")</f>
        <v>Entrepreneurial Marketing</v>
      </c>
      <c r="L268" s="107"/>
      <c r="M268" s="107"/>
      <c r="N268" s="107"/>
      <c r="O268" s="107"/>
      <c r="P268" s="132" t="str">
        <f>IF(COUNTIF('Fintech-A'!$A:$A, $C268), P$1, "")</f>
        <v>Fintech (Digital Transformation in Finance) (A)</v>
      </c>
      <c r="Q268" s="132" t="str">
        <f>IF(COUNTIF('Fintech-B'!$A:$A, $C268), Q$1, "")</f>
        <v/>
      </c>
      <c r="R268" s="132" t="str">
        <f>IF(COUNTIF('BEDM-A'!$A:$A, $C268), R$1, "")</f>
        <v>Behavioural Economics and Decision-Making (A)</v>
      </c>
      <c r="S268" s="132" t="str">
        <f>IF(COUNTIF('BEDM-B'!$A:$A, $C268), S$1, "")</f>
        <v/>
      </c>
      <c r="T268" s="132" t="str">
        <f>IF(COUNTIF('Art-A'!$A:$A, $C268), T$1, "")</f>
        <v/>
      </c>
      <c r="U268" s="132" t="str">
        <f>IF(COUNTIF('Art-B'!$A:$A, $C268), U$1, "")</f>
        <v/>
      </c>
      <c r="V268" s="132" t="str">
        <f>IF(COUNTIF('WH-A'!$A:$A, $C268), V$1, "")</f>
        <v/>
      </c>
      <c r="W268" s="132" t="str">
        <f>IF(COUNTIF('WH-B'!$A:$A, $C268), W$1, "")</f>
        <v>Workplace Happiness: Science &amp; Practice (B)</v>
      </c>
      <c r="X268" s="132" t="str">
        <f>IF(COUNTIF(LETV!$A:$A, $C268), X$1, "")</f>
        <v/>
      </c>
      <c r="Y268" s="132" t="str">
        <f>IF(COUNTIF('Film&amp;Firm-A'!$A:$A, $C268), Y$1, "")</f>
        <v/>
      </c>
      <c r="Z268" s="132" t="str">
        <f>IF(COUNTIF('Film&amp;Firm-B'!$A:$A, $C268), Z$1, "")</f>
        <v/>
      </c>
      <c r="AA268" s="132" t="str">
        <f>IF(COUNTIF(SHRM!$A:$A, $C268), AA$1, "")</f>
        <v/>
      </c>
      <c r="AB268" s="132" t="str">
        <f>IF(COUNTIF('SCM-A'!$A:$A, $C268), AB$1, "")</f>
        <v>Strategic Career Management (A)</v>
      </c>
      <c r="AC268" s="132" t="str">
        <f>IF(COUNTIF('SCM-B'!$A:$A, $C268), AC$1, "")</f>
        <v/>
      </c>
      <c r="AD268" s="132" t="str">
        <f>IF(COUNTIF(AIS!$A:$A, $C268), AD$1, "")</f>
        <v/>
      </c>
      <c r="AE268" s="132" t="str">
        <f>IF(COUNTIF(EB!$A:$A, $C268), AE$1, "")</f>
        <v/>
      </c>
      <c r="AF268" s="132" t="str">
        <f>IF(COUNTIF('AIAM-A'!$A:$A, $C268), AF$1, "")</f>
        <v/>
      </c>
      <c r="AG268" s="132" t="str">
        <f>IF(COUNTIF('AIAM-B'!$A:$A, $C268), AG$1, "")</f>
        <v/>
      </c>
      <c r="AH268" s="132" t="str">
        <f>IF(COUNTIF('SA-A'!$A:$A, $C268), AH$1, "")</f>
        <v/>
      </c>
      <c r="AI268" s="132" t="str">
        <f>IF(COUNTIF('SA-B'!$A:$A, $C268), AI$1, "")</f>
        <v/>
      </c>
      <c r="AJ268" s="132" t="str">
        <f>IF(COUNTIF(CSM!$A:$A, $C268), AJ$1, "")</f>
        <v/>
      </c>
      <c r="AK268" s="132" t="str">
        <f>IF(COUNTIF(EM!$A:$A, $C268), AK$1, "")</f>
        <v>Entrepreneurial Marketing</v>
      </c>
      <c r="AL268" s="132" t="str">
        <f>IF(COUNTIF(I4TS!$A:$A, $C268), AL$1, "")</f>
        <v/>
      </c>
    </row>
    <row r="269" spans="1:38" ht="13">
      <c r="A269" s="131">
        <v>268</v>
      </c>
      <c r="B269" s="131" t="s">
        <v>1063</v>
      </c>
      <c r="C269" s="131" t="s">
        <v>1101</v>
      </c>
      <c r="D269" s="106" t="s">
        <v>1102</v>
      </c>
      <c r="E269" s="106" t="s">
        <v>1103</v>
      </c>
      <c r="F269" s="131">
        <f t="shared" ca="1" si="1"/>
        <v>5</v>
      </c>
      <c r="G269" s="106" t="str">
        <f ca="1">IFERROR(__xludf.DUMMYFUNCTION("INDEX(FILTER($P269:$AL269, $P269:$AL269 &lt;&gt; """"), 1)"),"The Art, Craft, and Science of Management: Learning through Classics and Best Collections (A)")</f>
        <v>The Art, Craft, and Science of Management: Learning through Classics and Best Collections (A)</v>
      </c>
      <c r="H269" s="106" t="str">
        <f ca="1">IFERROR(__xludf.DUMMYFUNCTION("INDEX(FILTER($P269:$AL269, $P269:$AL269 &lt;&gt; """"), 2)"),"Workplace Happiness: Science &amp; Practice (A)")</f>
        <v>Workplace Happiness: Science &amp; Practice (A)</v>
      </c>
      <c r="I269" s="106" t="str">
        <f ca="1">IFERROR(__xludf.DUMMYFUNCTION("INDEX(FILTER($P269:$AL269, $P269:$AL269 &lt;&gt; """"), 3)"),"Strategic Career Management (A)")</f>
        <v>Strategic Career Management (A)</v>
      </c>
      <c r="J269" s="106" t="str">
        <f ca="1">IFERROR(__xludf.DUMMYFUNCTION("IFERROR(INDEX(FILTER($P269:$AL269, $P269:$AL269 &lt;&gt; """"), 4),)"),"SPORTS ANALYTICS (A)")</f>
        <v>SPORTS ANALYTICS (A)</v>
      </c>
      <c r="K269" s="106" t="str">
        <f ca="1">IFERROR(__xludf.DUMMYFUNCTION("IFERROR(INDEX(FILTER($P269:$AL269, $P269:$AL269 &lt;&gt; """"), 5),)"),"Industry 4.0 in Transport Sector")</f>
        <v>Industry 4.0 in Transport Sector</v>
      </c>
      <c r="L269" s="107"/>
      <c r="M269" s="107"/>
      <c r="N269" s="107"/>
      <c r="O269" s="107"/>
      <c r="P269" s="132" t="str">
        <f>IF(COUNTIF('Fintech-A'!$A:$A, $C269), P$1, "")</f>
        <v/>
      </c>
      <c r="Q269" s="132" t="str">
        <f>IF(COUNTIF('Fintech-B'!$A:$A, $C269), Q$1, "")</f>
        <v/>
      </c>
      <c r="R269" s="132" t="str">
        <f>IF(COUNTIF('BEDM-A'!$A:$A, $C269), R$1, "")</f>
        <v/>
      </c>
      <c r="S269" s="132" t="str">
        <f>IF(COUNTIF('BEDM-B'!$A:$A, $C269), S$1, "")</f>
        <v/>
      </c>
      <c r="T269" s="132" t="str">
        <f>IF(COUNTIF('Art-A'!$A:$A, $C269), T$1, "")</f>
        <v>The Art, Craft, and Science of Management: Learning through Classics and Best Collections (A)</v>
      </c>
      <c r="U269" s="132" t="str">
        <f>IF(COUNTIF('Art-B'!$A:$A, $C269), U$1, "")</f>
        <v/>
      </c>
      <c r="V269" s="132" t="str">
        <f>IF(COUNTIF('WH-A'!$A:$A, $C269), V$1, "")</f>
        <v>Workplace Happiness: Science &amp; Practice (A)</v>
      </c>
      <c r="W269" s="132" t="str">
        <f>IF(COUNTIF('WH-B'!$A:$A, $C269), W$1, "")</f>
        <v/>
      </c>
      <c r="X269" s="132" t="str">
        <f>IF(COUNTIF(LETV!$A:$A, $C269), X$1, "")</f>
        <v/>
      </c>
      <c r="Y269" s="132" t="str">
        <f>IF(COUNTIF('Film&amp;Firm-A'!$A:$A, $C269), Y$1, "")</f>
        <v/>
      </c>
      <c r="Z269" s="132" t="str">
        <f>IF(COUNTIF('Film&amp;Firm-B'!$A:$A, $C269), Z$1, "")</f>
        <v/>
      </c>
      <c r="AA269" s="132" t="str">
        <f>IF(COUNTIF(SHRM!$A:$A, $C269), AA$1, "")</f>
        <v/>
      </c>
      <c r="AB269" s="132" t="str">
        <f>IF(COUNTIF('SCM-A'!$A:$A, $C269), AB$1, "")</f>
        <v>Strategic Career Management (A)</v>
      </c>
      <c r="AC269" s="132" t="str">
        <f>IF(COUNTIF('SCM-B'!$A:$A, $C269), AC$1, "")</f>
        <v/>
      </c>
      <c r="AD269" s="132" t="str">
        <f>IF(COUNTIF(AIS!$A:$A, $C269), AD$1, "")</f>
        <v/>
      </c>
      <c r="AE269" s="132" t="str">
        <f>IF(COUNTIF(EB!$A:$A, $C269), AE$1, "")</f>
        <v/>
      </c>
      <c r="AF269" s="132" t="str">
        <f>IF(COUNTIF('AIAM-A'!$A:$A, $C269), AF$1, "")</f>
        <v/>
      </c>
      <c r="AG269" s="132" t="str">
        <f>IF(COUNTIF('AIAM-B'!$A:$A, $C269), AG$1, "")</f>
        <v/>
      </c>
      <c r="AH269" s="132" t="str">
        <f>IF(COUNTIF('SA-A'!$A:$A, $C269), AH$1, "")</f>
        <v>SPORTS ANALYTICS (A)</v>
      </c>
      <c r="AI269" s="132" t="str">
        <f>IF(COUNTIF('SA-B'!$A:$A, $C269), AI$1, "")</f>
        <v/>
      </c>
      <c r="AJ269" s="132" t="str">
        <f>IF(COUNTIF(CSM!$A:$A, $C269), AJ$1, "")</f>
        <v/>
      </c>
      <c r="AK269" s="132" t="str">
        <f>IF(COUNTIF(EM!$A:$A, $C269), AK$1, "")</f>
        <v/>
      </c>
      <c r="AL269" s="132" t="str">
        <f>IF(COUNTIF(I4TS!$A:$A, $C269), AL$1, "")</f>
        <v>Industry 4.0 in Transport Sector</v>
      </c>
    </row>
    <row r="270" spans="1:38" ht="13">
      <c r="A270" s="131">
        <v>269</v>
      </c>
      <c r="B270" s="131" t="s">
        <v>1063</v>
      </c>
      <c r="C270" s="131" t="s">
        <v>305</v>
      </c>
      <c r="D270" s="106" t="s">
        <v>1104</v>
      </c>
      <c r="E270" s="106" t="s">
        <v>1105</v>
      </c>
      <c r="F270" s="131">
        <f t="shared" ca="1" si="1"/>
        <v>5</v>
      </c>
      <c r="G270" s="106" t="str">
        <f ca="1">IFERROR(__xludf.DUMMYFUNCTION("INDEX(FILTER($P270:$AL270, $P270:$AL270 &lt;&gt; """"), 1)"),"Behavioural Economics and Decision-Making (B)")</f>
        <v>Behavioural Economics and Decision-Making (B)</v>
      </c>
      <c r="H270" s="106" t="str">
        <f ca="1">IFERROR(__xludf.DUMMYFUNCTION("INDEX(FILTER($P270:$AL270, $P270:$AL270 &lt;&gt; """"), 2)"),"SPORTS ANALYTICS (A)")</f>
        <v>SPORTS ANALYTICS (A)</v>
      </c>
      <c r="I270" s="106" t="str">
        <f ca="1">IFERROR(__xludf.DUMMYFUNCTION("INDEX(FILTER($P270:$AL270, $P270:$AL270 &lt;&gt; """"), 3)"),"Customer Success Management")</f>
        <v>Customer Success Management</v>
      </c>
      <c r="J270" s="106" t="str">
        <f ca="1">IFERROR(__xludf.DUMMYFUNCTION("IFERROR(INDEX(FILTER($P270:$AL270, $P270:$AL270 &lt;&gt; """"), 4),)"),"")</f>
        <v/>
      </c>
      <c r="K270" s="106" t="str">
        <f ca="1">IFERROR(__xludf.DUMMYFUNCTION("IFERROR(INDEX(FILTER($P270:$AL270, $P270:$AL270 &lt;&gt; """"), 5),)"),"")</f>
        <v/>
      </c>
      <c r="L270" s="107"/>
      <c r="M270" s="107"/>
      <c r="N270" s="107"/>
      <c r="O270" s="107"/>
      <c r="P270" s="132" t="str">
        <f>IF(COUNTIF('Fintech-A'!$A:$A, $C270), P$1, "")</f>
        <v/>
      </c>
      <c r="Q270" s="132" t="str">
        <f>IF(COUNTIF('Fintech-B'!$A:$A, $C270), Q$1, "")</f>
        <v/>
      </c>
      <c r="R270" s="132" t="str">
        <f>IF(COUNTIF('BEDM-A'!$A:$A, $C270), R$1, "")</f>
        <v/>
      </c>
      <c r="S270" s="132" t="str">
        <f>IF(COUNTIF('BEDM-B'!$A:$A, $C270), S$1, "")</f>
        <v>Behavioural Economics and Decision-Making (B)</v>
      </c>
      <c r="T270" s="132" t="str">
        <f>IF(COUNTIF('Art-A'!$A:$A, $C270), T$1, "")</f>
        <v/>
      </c>
      <c r="U270" s="132" t="str">
        <f>IF(COUNTIF('Art-B'!$A:$A, $C270), U$1, "")</f>
        <v/>
      </c>
      <c r="V270" s="132" t="str">
        <f>IF(COUNTIF('WH-A'!$A:$A, $C270), V$1, "")</f>
        <v/>
      </c>
      <c r="W270" s="132" t="str">
        <f>IF(COUNTIF('WH-B'!$A:$A, $C270), W$1, "")</f>
        <v/>
      </c>
      <c r="X270" s="132" t="str">
        <f>IF(COUNTIF(LETV!$A:$A, $C270), X$1, "")</f>
        <v/>
      </c>
      <c r="Y270" s="132" t="str">
        <f>IF(COUNTIF('Film&amp;Firm-A'!$A:$A, $C270), Y$1, "")</f>
        <v/>
      </c>
      <c r="Z270" s="132" t="str">
        <f>IF(COUNTIF('Film&amp;Firm-B'!$A:$A, $C270), Z$1, "")</f>
        <v/>
      </c>
      <c r="AA270" s="132" t="str">
        <f>IF(COUNTIF(SHRM!$A:$A, $C270), AA$1, "")</f>
        <v/>
      </c>
      <c r="AB270" s="132" t="str">
        <f>IF(COUNTIF('SCM-A'!$A:$A, $C270), AB$1, "")</f>
        <v/>
      </c>
      <c r="AC270" s="132" t="str">
        <f>IF(COUNTIF('SCM-B'!$A:$A, $C270), AC$1, "")</f>
        <v/>
      </c>
      <c r="AD270" s="132" t="str">
        <f>IF(COUNTIF(AIS!$A:$A, $C270), AD$1, "")</f>
        <v/>
      </c>
      <c r="AE270" s="132" t="str">
        <f>IF(COUNTIF(EB!$A:$A, $C270), AE$1, "")</f>
        <v/>
      </c>
      <c r="AF270" s="132" t="str">
        <f>IF(COUNTIF('AIAM-A'!$A:$A, $C270), AF$1, "")</f>
        <v/>
      </c>
      <c r="AG270" s="132" t="str">
        <f>IF(COUNTIF('AIAM-B'!$A:$A, $C270), AG$1, "")</f>
        <v/>
      </c>
      <c r="AH270" s="132" t="str">
        <f>IF(COUNTIF('SA-A'!$A:$A, $C270), AH$1, "")</f>
        <v>SPORTS ANALYTICS (A)</v>
      </c>
      <c r="AI270" s="132" t="str">
        <f>IF(COUNTIF('SA-B'!$A:$A, $C270), AI$1, "")</f>
        <v/>
      </c>
      <c r="AJ270" s="132" t="str">
        <f>IF(COUNTIF(CSM!$A:$A, $C270), AJ$1, "")</f>
        <v>Customer Success Management</v>
      </c>
      <c r="AK270" s="132" t="str">
        <f>IF(COUNTIF(EM!$A:$A, $C270), AK$1, "")</f>
        <v/>
      </c>
      <c r="AL270" s="132" t="str">
        <f>IF(COUNTIF(I4TS!$A:$A, $C270), AL$1, "")</f>
        <v/>
      </c>
    </row>
    <row r="271" spans="1:38" ht="13">
      <c r="A271" s="131">
        <v>270</v>
      </c>
      <c r="B271" s="131" t="s">
        <v>1063</v>
      </c>
      <c r="C271" s="131" t="s">
        <v>1106</v>
      </c>
      <c r="D271" s="106" t="s">
        <v>1107</v>
      </c>
      <c r="E271" s="106" t="s">
        <v>1108</v>
      </c>
      <c r="F271" s="131">
        <f t="shared" ca="1" si="1"/>
        <v>5</v>
      </c>
      <c r="G271" s="106" t="str">
        <f ca="1">IFERROR(__xludf.DUMMYFUNCTION("INDEX(FILTER($P271:$AL271, $P271:$AL271 &lt;&gt; """"), 1)"),"Strategic Career Management (A)")</f>
        <v>Strategic Career Management (A)</v>
      </c>
      <c r="H271" s="106" t="str">
        <f ca="1">IFERROR(__xludf.DUMMYFUNCTION("INDEX(FILTER($P271:$AL271, $P271:$AL271 &lt;&gt; """"), 2)"),"SPORTS ANALYTICS (A)")</f>
        <v>SPORTS ANALYTICS (A)</v>
      </c>
      <c r="I271" s="106" t="str">
        <f ca="1">IFERROR(__xludf.DUMMYFUNCTION("INDEX(FILTER($P271:$AL271, $P271:$AL271 &lt;&gt; """"), 3)"),"Industry 4.0 in Transport Sector")</f>
        <v>Industry 4.0 in Transport Sector</v>
      </c>
      <c r="J271" s="106" t="str">
        <f ca="1">IFERROR(__xludf.DUMMYFUNCTION("IFERROR(INDEX(FILTER($P271:$AL271, $P271:$AL271 &lt;&gt; """"), 4),)"),"")</f>
        <v/>
      </c>
      <c r="K271" s="106" t="str">
        <f ca="1">IFERROR(__xludf.DUMMYFUNCTION("IFERROR(INDEX(FILTER($P271:$AL271, $P271:$AL271 &lt;&gt; """"), 5),)"),"")</f>
        <v/>
      </c>
      <c r="L271" s="107"/>
      <c r="M271" s="107"/>
      <c r="N271" s="107"/>
      <c r="O271" s="107"/>
      <c r="P271" s="132" t="str">
        <f>IF(COUNTIF('Fintech-A'!$A:$A, $C271), P$1, "")</f>
        <v/>
      </c>
      <c r="Q271" s="132" t="str">
        <f>IF(COUNTIF('Fintech-B'!$A:$A, $C271), Q$1, "")</f>
        <v/>
      </c>
      <c r="R271" s="132" t="str">
        <f>IF(COUNTIF('BEDM-A'!$A:$A, $C271), R$1, "")</f>
        <v/>
      </c>
      <c r="S271" s="132" t="str">
        <f>IF(COUNTIF('BEDM-B'!$A:$A, $C271), S$1, "")</f>
        <v/>
      </c>
      <c r="T271" s="132" t="str">
        <f>IF(COUNTIF('Art-A'!$A:$A, $C271), T$1, "")</f>
        <v/>
      </c>
      <c r="U271" s="132" t="str">
        <f>IF(COUNTIF('Art-B'!$A:$A, $C271), U$1, "")</f>
        <v/>
      </c>
      <c r="V271" s="132" t="str">
        <f>IF(COUNTIF('WH-A'!$A:$A, $C271), V$1, "")</f>
        <v/>
      </c>
      <c r="W271" s="132" t="str">
        <f>IF(COUNTIF('WH-B'!$A:$A, $C271), W$1, "")</f>
        <v/>
      </c>
      <c r="X271" s="132" t="str">
        <f>IF(COUNTIF(LETV!$A:$A, $C271), X$1, "")</f>
        <v/>
      </c>
      <c r="Y271" s="132" t="str">
        <f>IF(COUNTIF('Film&amp;Firm-A'!$A:$A, $C271), Y$1, "")</f>
        <v/>
      </c>
      <c r="Z271" s="132" t="str">
        <f>IF(COUNTIF('Film&amp;Firm-B'!$A:$A, $C271), Z$1, "")</f>
        <v/>
      </c>
      <c r="AA271" s="132" t="str">
        <f>IF(COUNTIF(SHRM!$A:$A, $C271), AA$1, "")</f>
        <v/>
      </c>
      <c r="AB271" s="132" t="str">
        <f>IF(COUNTIF('SCM-A'!$A:$A, $C271), AB$1, "")</f>
        <v>Strategic Career Management (A)</v>
      </c>
      <c r="AC271" s="132" t="str">
        <f>IF(COUNTIF('SCM-B'!$A:$A, $C271), AC$1, "")</f>
        <v/>
      </c>
      <c r="AD271" s="132" t="str">
        <f>IF(COUNTIF(AIS!$A:$A, $C271), AD$1, "")</f>
        <v/>
      </c>
      <c r="AE271" s="132" t="str">
        <f>IF(COUNTIF(EB!$A:$A, $C271), AE$1, "")</f>
        <v/>
      </c>
      <c r="AF271" s="132" t="str">
        <f>IF(COUNTIF('AIAM-A'!$A:$A, $C271), AF$1, "")</f>
        <v/>
      </c>
      <c r="AG271" s="132" t="str">
        <f>IF(COUNTIF('AIAM-B'!$A:$A, $C271), AG$1, "")</f>
        <v/>
      </c>
      <c r="AH271" s="132" t="str">
        <f>IF(COUNTIF('SA-A'!$A:$A, $C271), AH$1, "")</f>
        <v>SPORTS ANALYTICS (A)</v>
      </c>
      <c r="AI271" s="132" t="str">
        <f>IF(COUNTIF('SA-B'!$A:$A, $C271), AI$1, "")</f>
        <v/>
      </c>
      <c r="AJ271" s="132" t="str">
        <f>IF(COUNTIF(CSM!$A:$A, $C271), AJ$1, "")</f>
        <v/>
      </c>
      <c r="AK271" s="132" t="str">
        <f>IF(COUNTIF(EM!$A:$A, $C271), AK$1, "")</f>
        <v/>
      </c>
      <c r="AL271" s="132" t="str">
        <f>IF(COUNTIF(I4TS!$A:$A, $C271), AL$1, "")</f>
        <v>Industry 4.0 in Transport Sector</v>
      </c>
    </row>
    <row r="272" spans="1:38" ht="13">
      <c r="A272" s="131">
        <v>271</v>
      </c>
      <c r="B272" s="131" t="s">
        <v>1063</v>
      </c>
      <c r="C272" s="131" t="s">
        <v>1109</v>
      </c>
      <c r="D272" s="106" t="s">
        <v>1110</v>
      </c>
      <c r="E272" s="106" t="s">
        <v>1111</v>
      </c>
      <c r="F272" s="131">
        <f t="shared" ca="1" si="1"/>
        <v>5</v>
      </c>
      <c r="G272" s="106" t="str">
        <f ca="1">IFERROR(__xludf.DUMMYFUNCTION("INDEX(FILTER($P272:$AL272, $P272:$AL272 &lt;&gt; """"), 1)"),"Behavioural Economics and Decision-Making (A)")</f>
        <v>Behavioural Economics and Decision-Making (A)</v>
      </c>
      <c r="H272" s="106" t="str">
        <f ca="1">IFERROR(__xludf.DUMMYFUNCTION("INDEX(FILTER($P272:$AL272, $P272:$AL272 &lt;&gt; """"), 2)"),"Workplace Happiness: Science &amp; Practice (B)")</f>
        <v>Workplace Happiness: Science &amp; Practice (B)</v>
      </c>
      <c r="I272" s="106" t="str">
        <f ca="1">IFERROR(__xludf.DUMMYFUNCTION("INDEX(FILTER($P272:$AL272, $P272:$AL272 &lt;&gt; """"), 3)"),"Strategic Career Management (A)")</f>
        <v>Strategic Career Management (A)</v>
      </c>
      <c r="J272" s="106" t="str">
        <f ca="1">IFERROR(__xludf.DUMMYFUNCTION("IFERROR(INDEX(FILTER($P272:$AL272, $P272:$AL272 &lt;&gt; """"), 4),)"),"SPORTS ANALYTICS (A)")</f>
        <v>SPORTS ANALYTICS (A)</v>
      </c>
      <c r="K272" s="106" t="str">
        <f ca="1">IFERROR(__xludf.DUMMYFUNCTION("IFERROR(INDEX(FILTER($P272:$AL272, $P272:$AL272 &lt;&gt; """"), 5),)"),"Industry 4.0 in Transport Sector")</f>
        <v>Industry 4.0 in Transport Sector</v>
      </c>
      <c r="L272" s="107"/>
      <c r="M272" s="107"/>
      <c r="N272" s="107"/>
      <c r="O272" s="107"/>
      <c r="P272" s="132" t="str">
        <f>IF(COUNTIF('Fintech-A'!$A:$A, $C272), P$1, "")</f>
        <v/>
      </c>
      <c r="Q272" s="132" t="str">
        <f>IF(COUNTIF('Fintech-B'!$A:$A, $C272), Q$1, "")</f>
        <v/>
      </c>
      <c r="R272" s="132" t="str">
        <f>IF(COUNTIF('BEDM-A'!$A:$A, $C272), R$1, "")</f>
        <v>Behavioural Economics and Decision-Making (A)</v>
      </c>
      <c r="S272" s="132" t="str">
        <f>IF(COUNTIF('BEDM-B'!$A:$A, $C272), S$1, "")</f>
        <v/>
      </c>
      <c r="T272" s="132" t="str">
        <f>IF(COUNTIF('Art-A'!$A:$A, $C272), T$1, "")</f>
        <v/>
      </c>
      <c r="U272" s="132" t="str">
        <f>IF(COUNTIF('Art-B'!$A:$A, $C272), U$1, "")</f>
        <v/>
      </c>
      <c r="V272" s="132" t="str">
        <f>IF(COUNTIF('WH-A'!$A:$A, $C272), V$1, "")</f>
        <v/>
      </c>
      <c r="W272" s="132" t="str">
        <f>IF(COUNTIF('WH-B'!$A:$A, $C272), W$1, "")</f>
        <v>Workplace Happiness: Science &amp; Practice (B)</v>
      </c>
      <c r="X272" s="132" t="str">
        <f>IF(COUNTIF(LETV!$A:$A, $C272), X$1, "")</f>
        <v/>
      </c>
      <c r="Y272" s="132" t="str">
        <f>IF(COUNTIF('Film&amp;Firm-A'!$A:$A, $C272), Y$1, "")</f>
        <v/>
      </c>
      <c r="Z272" s="132" t="str">
        <f>IF(COUNTIF('Film&amp;Firm-B'!$A:$A, $C272), Z$1, "")</f>
        <v/>
      </c>
      <c r="AA272" s="132" t="str">
        <f>IF(COUNTIF(SHRM!$A:$A, $C272), AA$1, "")</f>
        <v/>
      </c>
      <c r="AB272" s="132" t="str">
        <f>IF(COUNTIF('SCM-A'!$A:$A, $C272), AB$1, "")</f>
        <v>Strategic Career Management (A)</v>
      </c>
      <c r="AC272" s="132" t="str">
        <f>IF(COUNTIF('SCM-B'!$A:$A, $C272), AC$1, "")</f>
        <v/>
      </c>
      <c r="AD272" s="132" t="str">
        <f>IF(COUNTIF(AIS!$A:$A, $C272), AD$1, "")</f>
        <v/>
      </c>
      <c r="AE272" s="132" t="str">
        <f>IF(COUNTIF(EB!$A:$A, $C272), AE$1, "")</f>
        <v/>
      </c>
      <c r="AF272" s="132" t="str">
        <f>IF(COUNTIF('AIAM-A'!$A:$A, $C272), AF$1, "")</f>
        <v/>
      </c>
      <c r="AG272" s="132" t="str">
        <f>IF(COUNTIF('AIAM-B'!$A:$A, $C272), AG$1, "")</f>
        <v/>
      </c>
      <c r="AH272" s="132" t="str">
        <f>IF(COUNTIF('SA-A'!$A:$A, $C272), AH$1, "")</f>
        <v>SPORTS ANALYTICS (A)</v>
      </c>
      <c r="AI272" s="132" t="str">
        <f>IF(COUNTIF('SA-B'!$A:$A, $C272), AI$1, "")</f>
        <v/>
      </c>
      <c r="AJ272" s="132" t="str">
        <f>IF(COUNTIF(CSM!$A:$A, $C272), AJ$1, "")</f>
        <v/>
      </c>
      <c r="AK272" s="132" t="str">
        <f>IF(COUNTIF(EM!$A:$A, $C272), AK$1, "")</f>
        <v/>
      </c>
      <c r="AL272" s="132" t="str">
        <f>IF(COUNTIF(I4TS!$A:$A, $C272), AL$1, "")</f>
        <v>Industry 4.0 in Transport Sector</v>
      </c>
    </row>
    <row r="273" spans="1:38" ht="13">
      <c r="A273" s="131">
        <v>272</v>
      </c>
      <c r="B273" s="131" t="s">
        <v>1063</v>
      </c>
      <c r="C273" s="131" t="s">
        <v>1112</v>
      </c>
      <c r="D273" s="106" t="s">
        <v>1113</v>
      </c>
      <c r="E273" s="106" t="s">
        <v>1114</v>
      </c>
      <c r="F273" s="131">
        <f t="shared" ca="1" si="1"/>
        <v>5</v>
      </c>
      <c r="G273" s="106" t="str">
        <f ca="1">IFERROR(__xludf.DUMMYFUNCTION("INDEX(FILTER($P273:$AL273, $P273:$AL273 &lt;&gt; """"), 1)"),"Behavioural Economics and Decision-Making (B)")</f>
        <v>Behavioural Economics and Decision-Making (B)</v>
      </c>
      <c r="H273" s="106" t="str">
        <f ca="1">IFERROR(__xludf.DUMMYFUNCTION("INDEX(FILTER($P273:$AL273, $P273:$AL273 &lt;&gt; """"), 2)"),"AI Applications in Marketing (B)")</f>
        <v>AI Applications in Marketing (B)</v>
      </c>
      <c r="I273" s="106" t="str">
        <f ca="1">IFERROR(__xludf.DUMMYFUNCTION("INDEX(FILTER($P273:$AL273, $P273:$AL273 &lt;&gt; """"), 3)"),"Industry 4.0 in Transport Sector")</f>
        <v>Industry 4.0 in Transport Sector</v>
      </c>
      <c r="J273" s="106" t="str">
        <f ca="1">IFERROR(__xludf.DUMMYFUNCTION("IFERROR(INDEX(FILTER($P273:$AL273, $P273:$AL273 &lt;&gt; """"), 4),)"),"")</f>
        <v/>
      </c>
      <c r="K273" s="106" t="str">
        <f ca="1">IFERROR(__xludf.DUMMYFUNCTION("IFERROR(INDEX(FILTER($P273:$AL273, $P273:$AL273 &lt;&gt; """"), 5),)"),"")</f>
        <v/>
      </c>
      <c r="L273" s="107"/>
      <c r="M273" s="107"/>
      <c r="N273" s="107"/>
      <c r="O273" s="107"/>
      <c r="P273" s="132" t="str">
        <f>IF(COUNTIF('Fintech-A'!$A:$A, $C273), P$1, "")</f>
        <v/>
      </c>
      <c r="Q273" s="132" t="str">
        <f>IF(COUNTIF('Fintech-B'!$A:$A, $C273), Q$1, "")</f>
        <v/>
      </c>
      <c r="R273" s="132" t="str">
        <f>IF(COUNTIF('BEDM-A'!$A:$A, $C273), R$1, "")</f>
        <v/>
      </c>
      <c r="S273" s="132" t="str">
        <f>IF(COUNTIF('BEDM-B'!$A:$A, $C273), S$1, "")</f>
        <v>Behavioural Economics and Decision-Making (B)</v>
      </c>
      <c r="T273" s="132" t="str">
        <f>IF(COUNTIF('Art-A'!$A:$A, $C273), T$1, "")</f>
        <v/>
      </c>
      <c r="U273" s="132" t="str">
        <f>IF(COUNTIF('Art-B'!$A:$A, $C273), U$1, "")</f>
        <v/>
      </c>
      <c r="V273" s="132" t="str">
        <f>IF(COUNTIF('WH-A'!$A:$A, $C273), V$1, "")</f>
        <v/>
      </c>
      <c r="W273" s="132" t="str">
        <f>IF(COUNTIF('WH-B'!$A:$A, $C273), W$1, "")</f>
        <v/>
      </c>
      <c r="X273" s="132" t="str">
        <f>IF(COUNTIF(LETV!$A:$A, $C273), X$1, "")</f>
        <v/>
      </c>
      <c r="Y273" s="132" t="str">
        <f>IF(COUNTIF('Film&amp;Firm-A'!$A:$A, $C273), Y$1, "")</f>
        <v/>
      </c>
      <c r="Z273" s="132" t="str">
        <f>IF(COUNTIF('Film&amp;Firm-B'!$A:$A, $C273), Z$1, "")</f>
        <v/>
      </c>
      <c r="AA273" s="132" t="str">
        <f>IF(COUNTIF(SHRM!$A:$A, $C273), AA$1, "")</f>
        <v/>
      </c>
      <c r="AB273" s="132" t="str">
        <f>IF(COUNTIF('SCM-A'!$A:$A, $C273), AB$1, "")</f>
        <v/>
      </c>
      <c r="AC273" s="132" t="str">
        <f>IF(COUNTIF('SCM-B'!$A:$A, $C273), AC$1, "")</f>
        <v/>
      </c>
      <c r="AD273" s="132" t="str">
        <f>IF(COUNTIF(AIS!$A:$A, $C273), AD$1, "")</f>
        <v/>
      </c>
      <c r="AE273" s="132" t="str">
        <f>IF(COUNTIF(EB!$A:$A, $C273), AE$1, "")</f>
        <v/>
      </c>
      <c r="AF273" s="132" t="str">
        <f>IF(COUNTIF('AIAM-A'!$A:$A, $C273), AF$1, "")</f>
        <v/>
      </c>
      <c r="AG273" s="132" t="str">
        <f>IF(COUNTIF('AIAM-B'!$A:$A, $C273), AG$1, "")</f>
        <v>AI Applications in Marketing (B)</v>
      </c>
      <c r="AH273" s="132" t="str">
        <f>IF(COUNTIF('SA-A'!$A:$A, $C273), AH$1, "")</f>
        <v/>
      </c>
      <c r="AI273" s="132" t="str">
        <f>IF(COUNTIF('SA-B'!$A:$A, $C273), AI$1, "")</f>
        <v/>
      </c>
      <c r="AJ273" s="132" t="str">
        <f>IF(COUNTIF(CSM!$A:$A, $C273), AJ$1, "")</f>
        <v/>
      </c>
      <c r="AK273" s="132" t="str">
        <f>IF(COUNTIF(EM!$A:$A, $C273), AK$1, "")</f>
        <v/>
      </c>
      <c r="AL273" s="132" t="str">
        <f>IF(COUNTIF(I4TS!$A:$A, $C273), AL$1, "")</f>
        <v>Industry 4.0 in Transport Sector</v>
      </c>
    </row>
    <row r="274" spans="1:38" ht="13">
      <c r="A274" s="131">
        <v>273</v>
      </c>
      <c r="B274" s="131" t="s">
        <v>1063</v>
      </c>
      <c r="C274" s="131" t="s">
        <v>1115</v>
      </c>
      <c r="D274" s="106" t="s">
        <v>1116</v>
      </c>
      <c r="E274" s="106" t="s">
        <v>1117</v>
      </c>
      <c r="F274" s="131">
        <f t="shared" ca="1" si="1"/>
        <v>5</v>
      </c>
      <c r="G274" s="106" t="str">
        <f ca="1">IFERROR(__xludf.DUMMYFUNCTION("INDEX(FILTER($P274:$AL274, $P274:$AL274 &lt;&gt; """"), 1)"),"Workplace Happiness: Science &amp; Practice (A)")</f>
        <v>Workplace Happiness: Science &amp; Practice (A)</v>
      </c>
      <c r="H274" s="106" t="str">
        <f ca="1">IFERROR(__xludf.DUMMYFUNCTION("INDEX(FILTER($P274:$AL274, $P274:$AL274 &lt;&gt; """"), 2)"),"Film &amp; the Firm: Visual Culture in Business Contexts (B)")</f>
        <v>Film &amp; the Firm: Visual Culture in Business Contexts (B)</v>
      </c>
      <c r="I274" s="106" t="str">
        <f ca="1">IFERROR(__xludf.DUMMYFUNCTION("INDEX(FILTER($P274:$AL274, $P274:$AL274 &lt;&gt; """"), 3)"),"AI Applications in Marketing (A)")</f>
        <v>AI Applications in Marketing (A)</v>
      </c>
      <c r="J274" s="106" t="str">
        <f ca="1">IFERROR(__xludf.DUMMYFUNCTION("IFERROR(INDEX(FILTER($P274:$AL274, $P274:$AL274 &lt;&gt; """"), 4),)"),"")</f>
        <v/>
      </c>
      <c r="K274" s="106" t="str">
        <f ca="1">IFERROR(__xludf.DUMMYFUNCTION("IFERROR(INDEX(FILTER($P274:$AL274, $P274:$AL274 &lt;&gt; """"), 5),)"),"")</f>
        <v/>
      </c>
      <c r="L274" s="107"/>
      <c r="M274" s="107"/>
      <c r="N274" s="107"/>
      <c r="O274" s="107"/>
      <c r="P274" s="132" t="str">
        <f>IF(COUNTIF('Fintech-A'!$A:$A, $C274), P$1, "")</f>
        <v/>
      </c>
      <c r="Q274" s="132" t="str">
        <f>IF(COUNTIF('Fintech-B'!$A:$A, $C274), Q$1, "")</f>
        <v/>
      </c>
      <c r="R274" s="132" t="str">
        <f>IF(COUNTIF('BEDM-A'!$A:$A, $C274), R$1, "")</f>
        <v/>
      </c>
      <c r="S274" s="132" t="str">
        <f>IF(COUNTIF('BEDM-B'!$A:$A, $C274), S$1, "")</f>
        <v/>
      </c>
      <c r="T274" s="132" t="str">
        <f>IF(COUNTIF('Art-A'!$A:$A, $C274), T$1, "")</f>
        <v/>
      </c>
      <c r="U274" s="132" t="str">
        <f>IF(COUNTIF('Art-B'!$A:$A, $C274), U$1, "")</f>
        <v/>
      </c>
      <c r="V274" s="132" t="str">
        <f>IF(COUNTIF('WH-A'!$A:$A, $C274), V$1, "")</f>
        <v>Workplace Happiness: Science &amp; Practice (A)</v>
      </c>
      <c r="W274" s="132" t="str">
        <f>IF(COUNTIF('WH-B'!$A:$A, $C274), W$1, "")</f>
        <v/>
      </c>
      <c r="X274" s="132" t="str">
        <f>IF(COUNTIF(LETV!$A:$A, $C274), X$1, "")</f>
        <v/>
      </c>
      <c r="Y274" s="132" t="str">
        <f>IF(COUNTIF('Film&amp;Firm-A'!$A:$A, $C274), Y$1, "")</f>
        <v/>
      </c>
      <c r="Z274" s="132" t="str">
        <f>IF(COUNTIF('Film&amp;Firm-B'!$A:$A, $C274), Z$1, "")</f>
        <v>Film &amp; the Firm: Visual Culture in Business Contexts (B)</v>
      </c>
      <c r="AA274" s="132" t="str">
        <f>IF(COUNTIF(SHRM!$A:$A, $C274), AA$1, "")</f>
        <v/>
      </c>
      <c r="AB274" s="132" t="str">
        <f>IF(COUNTIF('SCM-A'!$A:$A, $C274), AB$1, "")</f>
        <v/>
      </c>
      <c r="AC274" s="132" t="str">
        <f>IF(COUNTIF('SCM-B'!$A:$A, $C274), AC$1, "")</f>
        <v/>
      </c>
      <c r="AD274" s="132" t="str">
        <f>IF(COUNTIF(AIS!$A:$A, $C274), AD$1, "")</f>
        <v/>
      </c>
      <c r="AE274" s="132" t="str">
        <f>IF(COUNTIF(EB!$A:$A, $C274), AE$1, "")</f>
        <v/>
      </c>
      <c r="AF274" s="132" t="str">
        <f>IF(COUNTIF('AIAM-A'!$A:$A, $C274), AF$1, "")</f>
        <v>AI Applications in Marketing (A)</v>
      </c>
      <c r="AG274" s="132" t="str">
        <f>IF(COUNTIF('AIAM-B'!$A:$A, $C274), AG$1, "")</f>
        <v/>
      </c>
      <c r="AH274" s="132" t="str">
        <f>IF(COUNTIF('SA-A'!$A:$A, $C274), AH$1, "")</f>
        <v/>
      </c>
      <c r="AI274" s="132" t="str">
        <f>IF(COUNTIF('SA-B'!$A:$A, $C274), AI$1, "")</f>
        <v/>
      </c>
      <c r="AJ274" s="132" t="str">
        <f>IF(COUNTIF(CSM!$A:$A, $C274), AJ$1, "")</f>
        <v/>
      </c>
      <c r="AK274" s="132" t="str">
        <f>IF(COUNTIF(EM!$A:$A, $C274), AK$1, "")</f>
        <v/>
      </c>
      <c r="AL274" s="132" t="str">
        <f>IF(COUNTIF(I4TS!$A:$A, $C274), AL$1, "")</f>
        <v/>
      </c>
    </row>
    <row r="275" spans="1:38" ht="13">
      <c r="A275" s="131">
        <v>274</v>
      </c>
      <c r="B275" s="131" t="s">
        <v>1063</v>
      </c>
      <c r="C275" s="131" t="s">
        <v>306</v>
      </c>
      <c r="D275" s="106" t="s">
        <v>1118</v>
      </c>
      <c r="E275" s="106" t="s">
        <v>1119</v>
      </c>
      <c r="F275" s="131">
        <f t="shared" ca="1" si="1"/>
        <v>5</v>
      </c>
      <c r="G275" s="106" t="str">
        <f ca="1">IFERROR(__xludf.DUMMYFUNCTION("INDEX(FILTER($P275:$AL275, $P275:$AL275 &lt;&gt; """"), 1)"),"Fintech (Digital Transformation in Finance) (A)")</f>
        <v>Fintech (Digital Transformation in Finance) (A)</v>
      </c>
      <c r="H275" s="106" t="str">
        <f ca="1">IFERROR(__xludf.DUMMYFUNCTION("INDEX(FILTER($P275:$AL275, $P275:$AL275 &lt;&gt; """"), 2)"),"Strategic Career Management (B)")</f>
        <v>Strategic Career Management (B)</v>
      </c>
      <c r="I275" s="106" t="str">
        <f ca="1">IFERROR(__xludf.DUMMYFUNCTION("INDEX(FILTER($P275:$AL275, $P275:$AL275 &lt;&gt; """"), 3)"),"AI Applications in Marketing (A)")</f>
        <v>AI Applications in Marketing (A)</v>
      </c>
      <c r="J275" s="106" t="str">
        <f ca="1">IFERROR(__xludf.DUMMYFUNCTION("IFERROR(INDEX(FILTER($P275:$AL275, $P275:$AL275 &lt;&gt; """"), 4),)"),"")</f>
        <v/>
      </c>
      <c r="K275" s="106" t="str">
        <f ca="1">IFERROR(__xludf.DUMMYFUNCTION("IFERROR(INDEX(FILTER($P275:$AL275, $P275:$AL275 &lt;&gt; """"), 5),)"),"")</f>
        <v/>
      </c>
      <c r="L275" s="107"/>
      <c r="M275" s="107"/>
      <c r="N275" s="107"/>
      <c r="O275" s="107"/>
      <c r="P275" s="132" t="str">
        <f>IF(COUNTIF('Fintech-A'!$A:$A, $C275), P$1, "")</f>
        <v>Fintech (Digital Transformation in Finance) (A)</v>
      </c>
      <c r="Q275" s="132" t="str">
        <f>IF(COUNTIF('Fintech-B'!$A:$A, $C275), Q$1, "")</f>
        <v/>
      </c>
      <c r="R275" s="132" t="str">
        <f>IF(COUNTIF('BEDM-A'!$A:$A, $C275), R$1, "")</f>
        <v/>
      </c>
      <c r="S275" s="132" t="str">
        <f>IF(COUNTIF('BEDM-B'!$A:$A, $C275), S$1, "")</f>
        <v/>
      </c>
      <c r="T275" s="132" t="str">
        <f>IF(COUNTIF('Art-A'!$A:$A, $C275), T$1, "")</f>
        <v/>
      </c>
      <c r="U275" s="132" t="str">
        <f>IF(COUNTIF('Art-B'!$A:$A, $C275), U$1, "")</f>
        <v/>
      </c>
      <c r="V275" s="132" t="str">
        <f>IF(COUNTIF('WH-A'!$A:$A, $C275), V$1, "")</f>
        <v/>
      </c>
      <c r="W275" s="132" t="str">
        <f>IF(COUNTIF('WH-B'!$A:$A, $C275), W$1, "")</f>
        <v/>
      </c>
      <c r="X275" s="132" t="str">
        <f>IF(COUNTIF(LETV!$A:$A, $C275), X$1, "")</f>
        <v/>
      </c>
      <c r="Y275" s="132" t="str">
        <f>IF(COUNTIF('Film&amp;Firm-A'!$A:$A, $C275), Y$1, "")</f>
        <v/>
      </c>
      <c r="Z275" s="132" t="str">
        <f>IF(COUNTIF('Film&amp;Firm-B'!$A:$A, $C275), Z$1, "")</f>
        <v/>
      </c>
      <c r="AA275" s="132" t="str">
        <f>IF(COUNTIF(SHRM!$A:$A, $C275), AA$1, "")</f>
        <v/>
      </c>
      <c r="AB275" s="132" t="str">
        <f>IF(COUNTIF('SCM-A'!$A:$A, $C275), AB$1, "")</f>
        <v/>
      </c>
      <c r="AC275" s="132" t="str">
        <f>IF(COUNTIF('SCM-B'!$A:$A, $C275), AC$1, "")</f>
        <v>Strategic Career Management (B)</v>
      </c>
      <c r="AD275" s="132" t="str">
        <f>IF(COUNTIF(AIS!$A:$A, $C275), AD$1, "")</f>
        <v/>
      </c>
      <c r="AE275" s="132" t="str">
        <f>IF(COUNTIF(EB!$A:$A, $C275), AE$1, "")</f>
        <v/>
      </c>
      <c r="AF275" s="132" t="str">
        <f>IF(COUNTIF('AIAM-A'!$A:$A, $C275), AF$1, "")</f>
        <v>AI Applications in Marketing (A)</v>
      </c>
      <c r="AG275" s="132" t="str">
        <f>IF(COUNTIF('AIAM-B'!$A:$A, $C275), AG$1, "")</f>
        <v/>
      </c>
      <c r="AH275" s="132" t="str">
        <f>IF(COUNTIF('SA-A'!$A:$A, $C275), AH$1, "")</f>
        <v/>
      </c>
      <c r="AI275" s="132" t="str">
        <f>IF(COUNTIF('SA-B'!$A:$A, $C275), AI$1, "")</f>
        <v/>
      </c>
      <c r="AJ275" s="132" t="str">
        <f>IF(COUNTIF(CSM!$A:$A, $C275), AJ$1, "")</f>
        <v/>
      </c>
      <c r="AK275" s="132" t="str">
        <f>IF(COUNTIF(EM!$A:$A, $C275), AK$1, "")</f>
        <v/>
      </c>
      <c r="AL275" s="132" t="str">
        <f>IF(COUNTIF(I4TS!$A:$A, $C275), AL$1, "")</f>
        <v/>
      </c>
    </row>
    <row r="276" spans="1:38" ht="13">
      <c r="A276" s="131">
        <v>275</v>
      </c>
      <c r="B276" s="131" t="s">
        <v>1063</v>
      </c>
      <c r="C276" s="131" t="s">
        <v>1120</v>
      </c>
      <c r="D276" s="106" t="s">
        <v>1121</v>
      </c>
      <c r="E276" s="106" t="s">
        <v>1122</v>
      </c>
      <c r="F276" s="131">
        <f t="shared" ca="1" si="1"/>
        <v>5</v>
      </c>
      <c r="G276" s="106" t="str">
        <f ca="1">IFERROR(__xludf.DUMMYFUNCTION("INDEX(FILTER($P276:$AL276, $P276:$AL276 &lt;&gt; """"), 1)"),"Employer Branding")</f>
        <v>Employer Branding</v>
      </c>
      <c r="H276" s="106" t="str">
        <f ca="1">IFERROR(__xludf.DUMMYFUNCTION("INDEX(FILTER($P276:$AL276, $P276:$AL276 &lt;&gt; """"), 2)"),"SPORTS ANALYTICS (A)")</f>
        <v>SPORTS ANALYTICS (A)</v>
      </c>
      <c r="I276" s="106" t="str">
        <f ca="1">IFERROR(__xludf.DUMMYFUNCTION("INDEX(FILTER($P276:$AL276, $P276:$AL276 &lt;&gt; """"), 3)"),"Industry 4.0 in Transport Sector")</f>
        <v>Industry 4.0 in Transport Sector</v>
      </c>
      <c r="J276" s="106" t="str">
        <f ca="1">IFERROR(__xludf.DUMMYFUNCTION("IFERROR(INDEX(FILTER($P276:$AL276, $P276:$AL276 &lt;&gt; """"), 4),)"),"")</f>
        <v/>
      </c>
      <c r="K276" s="106" t="str">
        <f ca="1">IFERROR(__xludf.DUMMYFUNCTION("IFERROR(INDEX(FILTER($P276:$AL276, $P276:$AL276 &lt;&gt; """"), 5),)"),"")</f>
        <v/>
      </c>
      <c r="L276" s="107"/>
      <c r="M276" s="107"/>
      <c r="N276" s="107"/>
      <c r="O276" s="107"/>
      <c r="P276" s="132" t="str">
        <f>IF(COUNTIF('Fintech-A'!$A:$A, $C276), P$1, "")</f>
        <v/>
      </c>
      <c r="Q276" s="132" t="str">
        <f>IF(COUNTIF('Fintech-B'!$A:$A, $C276), Q$1, "")</f>
        <v/>
      </c>
      <c r="R276" s="132" t="str">
        <f>IF(COUNTIF('BEDM-A'!$A:$A, $C276), R$1, "")</f>
        <v/>
      </c>
      <c r="S276" s="132" t="str">
        <f>IF(COUNTIF('BEDM-B'!$A:$A, $C276), S$1, "")</f>
        <v/>
      </c>
      <c r="T276" s="132" t="str">
        <f>IF(COUNTIF('Art-A'!$A:$A, $C276), T$1, "")</f>
        <v/>
      </c>
      <c r="U276" s="132" t="str">
        <f>IF(COUNTIF('Art-B'!$A:$A, $C276), U$1, "")</f>
        <v/>
      </c>
      <c r="V276" s="132" t="str">
        <f>IF(COUNTIF('WH-A'!$A:$A, $C276), V$1, "")</f>
        <v/>
      </c>
      <c r="W276" s="132" t="str">
        <f>IF(COUNTIF('WH-B'!$A:$A, $C276), W$1, "")</f>
        <v/>
      </c>
      <c r="X276" s="132" t="str">
        <f>IF(COUNTIF(LETV!$A:$A, $C276), X$1, "")</f>
        <v/>
      </c>
      <c r="Y276" s="132" t="str">
        <f>IF(COUNTIF('Film&amp;Firm-A'!$A:$A, $C276), Y$1, "")</f>
        <v/>
      </c>
      <c r="Z276" s="132" t="str">
        <f>IF(COUNTIF('Film&amp;Firm-B'!$A:$A, $C276), Z$1, "")</f>
        <v/>
      </c>
      <c r="AA276" s="132" t="str">
        <f>IF(COUNTIF(SHRM!$A:$A, $C276), AA$1, "")</f>
        <v/>
      </c>
      <c r="AB276" s="132" t="str">
        <f>IF(COUNTIF('SCM-A'!$A:$A, $C276), AB$1, "")</f>
        <v/>
      </c>
      <c r="AC276" s="132" t="str">
        <f>IF(COUNTIF('SCM-B'!$A:$A, $C276), AC$1, "")</f>
        <v/>
      </c>
      <c r="AD276" s="132" t="str">
        <f>IF(COUNTIF(AIS!$A:$A, $C276), AD$1, "")</f>
        <v/>
      </c>
      <c r="AE276" s="132" t="str">
        <f>IF(COUNTIF(EB!$A:$A, $C276), AE$1, "")</f>
        <v>Employer Branding</v>
      </c>
      <c r="AF276" s="132" t="str">
        <f>IF(COUNTIF('AIAM-A'!$A:$A, $C276), AF$1, "")</f>
        <v/>
      </c>
      <c r="AG276" s="132" t="str">
        <f>IF(COUNTIF('AIAM-B'!$A:$A, $C276), AG$1, "")</f>
        <v/>
      </c>
      <c r="AH276" s="132" t="str">
        <f>IF(COUNTIF('SA-A'!$A:$A, $C276), AH$1, "")</f>
        <v>SPORTS ANALYTICS (A)</v>
      </c>
      <c r="AI276" s="132" t="str">
        <f>IF(COUNTIF('SA-B'!$A:$A, $C276), AI$1, "")</f>
        <v/>
      </c>
      <c r="AJ276" s="132" t="str">
        <f>IF(COUNTIF(CSM!$A:$A, $C276), AJ$1, "")</f>
        <v/>
      </c>
      <c r="AK276" s="132" t="str">
        <f>IF(COUNTIF(EM!$A:$A, $C276), AK$1, "")</f>
        <v/>
      </c>
      <c r="AL276" s="132" t="str">
        <f>IF(COUNTIF(I4TS!$A:$A, $C276), AL$1, "")</f>
        <v>Industry 4.0 in Transport Sector</v>
      </c>
    </row>
    <row r="277" spans="1:38" ht="13">
      <c r="A277" s="131">
        <v>276</v>
      </c>
      <c r="B277" s="131" t="s">
        <v>1063</v>
      </c>
      <c r="C277" s="131" t="s">
        <v>307</v>
      </c>
      <c r="D277" s="106" t="s">
        <v>1123</v>
      </c>
      <c r="E277" s="106" t="s">
        <v>1124</v>
      </c>
      <c r="F277" s="131">
        <f t="shared" ca="1" si="1"/>
        <v>5</v>
      </c>
      <c r="G277" s="106" t="str">
        <f ca="1">IFERROR(__xludf.DUMMYFUNCTION("INDEX(FILTER($P277:$AL277, $P277:$AL277 &lt;&gt; """"), 1)"),"Fintech (Digital Transformation in Finance) (A)")</f>
        <v>Fintech (Digital Transformation in Finance) (A)</v>
      </c>
      <c r="H277" s="106" t="str">
        <f ca="1">IFERROR(__xludf.DUMMYFUNCTION("INDEX(FILTER($P277:$AL277, $P277:$AL277 &lt;&gt; """"), 2)"),"Workplace Happiness: Science &amp; Practice (B)")</f>
        <v>Workplace Happiness: Science &amp; Practice (B)</v>
      </c>
      <c r="I277" s="106" t="str">
        <f ca="1">IFERROR(__xludf.DUMMYFUNCTION("INDEX(FILTER($P277:$AL277, $P277:$AL277 &lt;&gt; """"), 3)"),"SPORTS ANALYTICS (A)")</f>
        <v>SPORTS ANALYTICS (A)</v>
      </c>
      <c r="J277" s="106" t="str">
        <f ca="1">IFERROR(__xludf.DUMMYFUNCTION("IFERROR(INDEX(FILTER($P277:$AL277, $P277:$AL277 &lt;&gt; """"), 4),)"),"")</f>
        <v/>
      </c>
      <c r="K277" s="106" t="str">
        <f ca="1">IFERROR(__xludf.DUMMYFUNCTION("IFERROR(INDEX(FILTER($P277:$AL277, $P277:$AL277 &lt;&gt; """"), 5),)"),"")</f>
        <v/>
      </c>
      <c r="L277" s="107"/>
      <c r="M277" s="107"/>
      <c r="N277" s="107"/>
      <c r="O277" s="107"/>
      <c r="P277" s="132" t="str">
        <f>IF(COUNTIF('Fintech-A'!$A:$A, $C277), P$1, "")</f>
        <v>Fintech (Digital Transformation in Finance) (A)</v>
      </c>
      <c r="Q277" s="132" t="str">
        <f>IF(COUNTIF('Fintech-B'!$A:$A, $C277), Q$1, "")</f>
        <v/>
      </c>
      <c r="R277" s="132" t="str">
        <f>IF(COUNTIF('BEDM-A'!$A:$A, $C277), R$1, "")</f>
        <v/>
      </c>
      <c r="S277" s="132" t="str">
        <f>IF(COUNTIF('BEDM-B'!$A:$A, $C277), S$1, "")</f>
        <v/>
      </c>
      <c r="T277" s="132" t="str">
        <f>IF(COUNTIF('Art-A'!$A:$A, $C277), T$1, "")</f>
        <v/>
      </c>
      <c r="U277" s="132" t="str">
        <f>IF(COUNTIF('Art-B'!$A:$A, $C277), U$1, "")</f>
        <v/>
      </c>
      <c r="V277" s="132" t="str">
        <f>IF(COUNTIF('WH-A'!$A:$A, $C277), V$1, "")</f>
        <v/>
      </c>
      <c r="W277" s="132" t="str">
        <f>IF(COUNTIF('WH-B'!$A:$A, $C277), W$1, "")</f>
        <v>Workplace Happiness: Science &amp; Practice (B)</v>
      </c>
      <c r="X277" s="132" t="str">
        <f>IF(COUNTIF(LETV!$A:$A, $C277), X$1, "")</f>
        <v/>
      </c>
      <c r="Y277" s="132" t="str">
        <f>IF(COUNTIF('Film&amp;Firm-A'!$A:$A, $C277), Y$1, "")</f>
        <v/>
      </c>
      <c r="Z277" s="132" t="str">
        <f>IF(COUNTIF('Film&amp;Firm-B'!$A:$A, $C277), Z$1, "")</f>
        <v/>
      </c>
      <c r="AA277" s="132" t="str">
        <f>IF(COUNTIF(SHRM!$A:$A, $C277), AA$1, "")</f>
        <v/>
      </c>
      <c r="AB277" s="132" t="str">
        <f>IF(COUNTIF('SCM-A'!$A:$A, $C277), AB$1, "")</f>
        <v/>
      </c>
      <c r="AC277" s="132" t="str">
        <f>IF(COUNTIF('SCM-B'!$A:$A, $C277), AC$1, "")</f>
        <v/>
      </c>
      <c r="AD277" s="132" t="str">
        <f>IF(COUNTIF(AIS!$A:$A, $C277), AD$1, "")</f>
        <v/>
      </c>
      <c r="AE277" s="132" t="str">
        <f>IF(COUNTIF(EB!$A:$A, $C277), AE$1, "")</f>
        <v/>
      </c>
      <c r="AF277" s="132" t="str">
        <f>IF(COUNTIF('AIAM-A'!$A:$A, $C277), AF$1, "")</f>
        <v/>
      </c>
      <c r="AG277" s="132" t="str">
        <f>IF(COUNTIF('AIAM-B'!$A:$A, $C277), AG$1, "")</f>
        <v/>
      </c>
      <c r="AH277" s="132" t="str">
        <f>IF(COUNTIF('SA-A'!$A:$A, $C277), AH$1, "")</f>
        <v>SPORTS ANALYTICS (A)</v>
      </c>
      <c r="AI277" s="132" t="str">
        <f>IF(COUNTIF('SA-B'!$A:$A, $C277), AI$1, "")</f>
        <v/>
      </c>
      <c r="AJ277" s="132" t="str">
        <f>IF(COUNTIF(CSM!$A:$A, $C277), AJ$1, "")</f>
        <v/>
      </c>
      <c r="AK277" s="132" t="str">
        <f>IF(COUNTIF(EM!$A:$A, $C277), AK$1, "")</f>
        <v/>
      </c>
      <c r="AL277" s="132" t="str">
        <f>IF(COUNTIF(I4TS!$A:$A, $C277), AL$1, "")</f>
        <v/>
      </c>
    </row>
    <row r="278" spans="1:38" ht="13">
      <c r="A278" s="131">
        <v>277</v>
      </c>
      <c r="B278" s="131" t="s">
        <v>1063</v>
      </c>
      <c r="C278" s="131" t="s">
        <v>1125</v>
      </c>
      <c r="D278" s="106" t="s">
        <v>1126</v>
      </c>
      <c r="E278" s="106" t="s">
        <v>1127</v>
      </c>
      <c r="F278" s="131">
        <f t="shared" ca="1" si="1"/>
        <v>5</v>
      </c>
      <c r="G278" s="106" t="str">
        <f ca="1">IFERROR(__xludf.DUMMYFUNCTION("INDEX(FILTER($P278:$AL278, $P278:$AL278 &lt;&gt; """"), 1)"),"Fintech (Digital Transformation in Finance) (A)")</f>
        <v>Fintech (Digital Transformation in Finance) (A)</v>
      </c>
      <c r="H278" s="106" t="str">
        <f ca="1">IFERROR(__xludf.DUMMYFUNCTION("INDEX(FILTER($P278:$AL278, $P278:$AL278 &lt;&gt; """"), 2)"),"Leadership Excellence Through Values : Wisdom from the Mahabharata")</f>
        <v>Leadership Excellence Through Values : Wisdom from the Mahabharata</v>
      </c>
      <c r="I278" s="106" t="str">
        <f ca="1">IFERROR(__xludf.DUMMYFUNCTION("INDEX(FILTER($P278:$AL278, $P278:$AL278 &lt;&gt; """"), 3)"),"Strategic Career Management (B)")</f>
        <v>Strategic Career Management (B)</v>
      </c>
      <c r="J278" s="106" t="str">
        <f ca="1">IFERROR(__xludf.DUMMYFUNCTION("IFERROR(INDEX(FILTER($P278:$AL278, $P278:$AL278 &lt;&gt; """"), 4),)"),"Employer Branding")</f>
        <v>Employer Branding</v>
      </c>
      <c r="K278" s="106" t="str">
        <f ca="1">IFERROR(__xludf.DUMMYFUNCTION("IFERROR(INDEX(FILTER($P278:$AL278, $P278:$AL278 &lt;&gt; """"), 5),)"),"SPORTS ANALYTICS (A)")</f>
        <v>SPORTS ANALYTICS (A)</v>
      </c>
      <c r="L278" s="107"/>
      <c r="M278" s="107"/>
      <c r="N278" s="107"/>
      <c r="O278" s="107"/>
      <c r="P278" s="132" t="str">
        <f>IF(COUNTIF('Fintech-A'!$A:$A, $C278), P$1, "")</f>
        <v>Fintech (Digital Transformation in Finance) (A)</v>
      </c>
      <c r="Q278" s="132" t="str">
        <f>IF(COUNTIF('Fintech-B'!$A:$A, $C278), Q$1, "")</f>
        <v/>
      </c>
      <c r="R278" s="132" t="str">
        <f>IF(COUNTIF('BEDM-A'!$A:$A, $C278), R$1, "")</f>
        <v/>
      </c>
      <c r="S278" s="132" t="str">
        <f>IF(COUNTIF('BEDM-B'!$A:$A, $C278), S$1, "")</f>
        <v/>
      </c>
      <c r="T278" s="132" t="str">
        <f>IF(COUNTIF('Art-A'!$A:$A, $C278), T$1, "")</f>
        <v/>
      </c>
      <c r="U278" s="132" t="str">
        <f>IF(COUNTIF('Art-B'!$A:$A, $C278), U$1, "")</f>
        <v/>
      </c>
      <c r="V278" s="132" t="str">
        <f>IF(COUNTIF('WH-A'!$A:$A, $C278), V$1, "")</f>
        <v/>
      </c>
      <c r="W278" s="132" t="str">
        <f>IF(COUNTIF('WH-B'!$A:$A, $C278), W$1, "")</f>
        <v/>
      </c>
      <c r="X278" s="132" t="str">
        <f>IF(COUNTIF(LETV!$A:$A, $C278), X$1, "")</f>
        <v>Leadership Excellence Through Values : Wisdom from the Mahabharata</v>
      </c>
      <c r="Y278" s="132" t="str">
        <f>IF(COUNTIF('Film&amp;Firm-A'!$A:$A, $C278), Y$1, "")</f>
        <v/>
      </c>
      <c r="Z278" s="132" t="str">
        <f>IF(COUNTIF('Film&amp;Firm-B'!$A:$A, $C278), Z$1, "")</f>
        <v/>
      </c>
      <c r="AA278" s="132" t="str">
        <f>IF(COUNTIF(SHRM!$A:$A, $C278), AA$1, "")</f>
        <v/>
      </c>
      <c r="AB278" s="132" t="str">
        <f>IF(COUNTIF('SCM-A'!$A:$A, $C278), AB$1, "")</f>
        <v/>
      </c>
      <c r="AC278" s="132" t="str">
        <f>IF(COUNTIF('SCM-B'!$A:$A, $C278), AC$1, "")</f>
        <v>Strategic Career Management (B)</v>
      </c>
      <c r="AD278" s="132" t="str">
        <f>IF(COUNTIF(AIS!$A:$A, $C278), AD$1, "")</f>
        <v/>
      </c>
      <c r="AE278" s="132" t="str">
        <f>IF(COUNTIF(EB!$A:$A, $C278), AE$1, "")</f>
        <v>Employer Branding</v>
      </c>
      <c r="AF278" s="132" t="str">
        <f>IF(COUNTIF('AIAM-A'!$A:$A, $C278), AF$1, "")</f>
        <v/>
      </c>
      <c r="AG278" s="132" t="str">
        <f>IF(COUNTIF('AIAM-B'!$A:$A, $C278), AG$1, "")</f>
        <v/>
      </c>
      <c r="AH278" s="132" t="str">
        <f>IF(COUNTIF('SA-A'!$A:$A, $C278), AH$1, "")</f>
        <v>SPORTS ANALYTICS (A)</v>
      </c>
      <c r="AI278" s="132" t="str">
        <f>IF(COUNTIF('SA-B'!$A:$A, $C278), AI$1, "")</f>
        <v/>
      </c>
      <c r="AJ278" s="132" t="str">
        <f>IF(COUNTIF(CSM!$A:$A, $C278), AJ$1, "")</f>
        <v/>
      </c>
      <c r="AK278" s="132" t="str">
        <f>IF(COUNTIF(EM!$A:$A, $C278), AK$1, "")</f>
        <v/>
      </c>
      <c r="AL278" s="132" t="str">
        <f>IF(COUNTIF(I4TS!$A:$A, $C278), AL$1, "")</f>
        <v/>
      </c>
    </row>
    <row r="279" spans="1:38" ht="13">
      <c r="A279" s="131">
        <v>278</v>
      </c>
      <c r="B279" s="131" t="s">
        <v>1063</v>
      </c>
      <c r="C279" s="131" t="s">
        <v>1128</v>
      </c>
      <c r="D279" s="106" t="s">
        <v>1129</v>
      </c>
      <c r="E279" s="106" t="s">
        <v>1130</v>
      </c>
      <c r="F279" s="131">
        <f t="shared" ca="1" si="1"/>
        <v>5</v>
      </c>
      <c r="G279" s="106" t="str">
        <f ca="1">IFERROR(__xludf.DUMMYFUNCTION("INDEX(FILTER($P279:$AL279, $P279:$AL279 &lt;&gt; """"), 1)"),"Fintech (Digital Transformation in Finance) (A)")</f>
        <v>Fintech (Digital Transformation in Finance) (A)</v>
      </c>
      <c r="H279" s="106" t="str">
        <f ca="1">IFERROR(__xludf.DUMMYFUNCTION("INDEX(FILTER($P279:$AL279, $P279:$AL279 &lt;&gt; """"), 2)"),"Behavioural Economics and Decision-Making (B)")</f>
        <v>Behavioural Economics and Decision-Making (B)</v>
      </c>
      <c r="I279" s="106" t="str">
        <f ca="1">IFERROR(__xludf.DUMMYFUNCTION("INDEX(FILTER($P279:$AL279, $P279:$AL279 &lt;&gt; """"), 3)"),"Employer Branding")</f>
        <v>Employer Branding</v>
      </c>
      <c r="J279" s="106" t="str">
        <f ca="1">IFERROR(__xludf.DUMMYFUNCTION("IFERROR(INDEX(FILTER($P279:$AL279, $P279:$AL279 &lt;&gt; """"), 4),)"),"AI Applications in Marketing (A)")</f>
        <v>AI Applications in Marketing (A)</v>
      </c>
      <c r="K279" s="106" t="str">
        <f ca="1">IFERROR(__xludf.DUMMYFUNCTION("IFERROR(INDEX(FILTER($P279:$AL279, $P279:$AL279 &lt;&gt; """"), 5),)"),"Entrepreneurial Marketing")</f>
        <v>Entrepreneurial Marketing</v>
      </c>
      <c r="L279" s="107"/>
      <c r="M279" s="107"/>
      <c r="N279" s="107"/>
      <c r="O279" s="107"/>
      <c r="P279" s="132" t="str">
        <f>IF(COUNTIF('Fintech-A'!$A:$A, $C279), P$1, "")</f>
        <v>Fintech (Digital Transformation in Finance) (A)</v>
      </c>
      <c r="Q279" s="132" t="str">
        <f>IF(COUNTIF('Fintech-B'!$A:$A, $C279), Q$1, "")</f>
        <v/>
      </c>
      <c r="R279" s="132" t="str">
        <f>IF(COUNTIF('BEDM-A'!$A:$A, $C279), R$1, "")</f>
        <v/>
      </c>
      <c r="S279" s="132" t="str">
        <f>IF(COUNTIF('BEDM-B'!$A:$A, $C279), S$1, "")</f>
        <v>Behavioural Economics and Decision-Making (B)</v>
      </c>
      <c r="T279" s="132" t="str">
        <f>IF(COUNTIF('Art-A'!$A:$A, $C279), T$1, "")</f>
        <v/>
      </c>
      <c r="U279" s="132" t="str">
        <f>IF(COUNTIF('Art-B'!$A:$A, $C279), U$1, "")</f>
        <v/>
      </c>
      <c r="V279" s="132" t="str">
        <f>IF(COUNTIF('WH-A'!$A:$A, $C279), V$1, "")</f>
        <v/>
      </c>
      <c r="W279" s="132" t="str">
        <f>IF(COUNTIF('WH-B'!$A:$A, $C279), W$1, "")</f>
        <v/>
      </c>
      <c r="X279" s="132" t="str">
        <f>IF(COUNTIF(LETV!$A:$A, $C279), X$1, "")</f>
        <v/>
      </c>
      <c r="Y279" s="132" t="str">
        <f>IF(COUNTIF('Film&amp;Firm-A'!$A:$A, $C279), Y$1, "")</f>
        <v/>
      </c>
      <c r="Z279" s="132" t="str">
        <f>IF(COUNTIF('Film&amp;Firm-B'!$A:$A, $C279), Z$1, "")</f>
        <v/>
      </c>
      <c r="AA279" s="132" t="str">
        <f>IF(COUNTIF(SHRM!$A:$A, $C279), AA$1, "")</f>
        <v/>
      </c>
      <c r="AB279" s="132" t="str">
        <f>IF(COUNTIF('SCM-A'!$A:$A, $C279), AB$1, "")</f>
        <v/>
      </c>
      <c r="AC279" s="132" t="str">
        <f>IF(COUNTIF('SCM-B'!$A:$A, $C279), AC$1, "")</f>
        <v/>
      </c>
      <c r="AD279" s="132" t="str">
        <f>IF(COUNTIF(AIS!$A:$A, $C279), AD$1, "")</f>
        <v/>
      </c>
      <c r="AE279" s="132" t="str">
        <f>IF(COUNTIF(EB!$A:$A, $C279), AE$1, "")</f>
        <v>Employer Branding</v>
      </c>
      <c r="AF279" s="132" t="str">
        <f>IF(COUNTIF('AIAM-A'!$A:$A, $C279), AF$1, "")</f>
        <v>AI Applications in Marketing (A)</v>
      </c>
      <c r="AG279" s="132" t="str">
        <f>IF(COUNTIF('AIAM-B'!$A:$A, $C279), AG$1, "")</f>
        <v/>
      </c>
      <c r="AH279" s="132" t="str">
        <f>IF(COUNTIF('SA-A'!$A:$A, $C279), AH$1, "")</f>
        <v/>
      </c>
      <c r="AI279" s="132" t="str">
        <f>IF(COUNTIF('SA-B'!$A:$A, $C279), AI$1, "")</f>
        <v/>
      </c>
      <c r="AJ279" s="132" t="str">
        <f>IF(COUNTIF(CSM!$A:$A, $C279), AJ$1, "")</f>
        <v/>
      </c>
      <c r="AK279" s="132" t="str">
        <f>IF(COUNTIF(EM!$A:$A, $C279), AK$1, "")</f>
        <v>Entrepreneurial Marketing</v>
      </c>
      <c r="AL279" s="132" t="str">
        <f>IF(COUNTIF(I4TS!$A:$A, $C279), AL$1, "")</f>
        <v/>
      </c>
    </row>
    <row r="280" spans="1:38" ht="13">
      <c r="A280" s="131">
        <v>279</v>
      </c>
      <c r="B280" s="131" t="s">
        <v>1063</v>
      </c>
      <c r="C280" s="131" t="s">
        <v>308</v>
      </c>
      <c r="D280" s="106" t="s">
        <v>1131</v>
      </c>
      <c r="E280" s="136" t="s">
        <v>1132</v>
      </c>
      <c r="F280" s="131">
        <f t="shared" ca="1" si="1"/>
        <v>5</v>
      </c>
      <c r="G280" s="106" t="str">
        <f ca="1">IFERROR(__xludf.DUMMYFUNCTION("INDEX(FILTER($P280:$AL280, $P280:$AL280 &lt;&gt; """"), 1)"),"Workplace Happiness: Science &amp; Practice (A)")</f>
        <v>Workplace Happiness: Science &amp; Practice (A)</v>
      </c>
      <c r="H280" s="106" t="str">
        <f ca="1">IFERROR(__xludf.DUMMYFUNCTION("INDEX(FILTER($P280:$AL280, $P280:$AL280 &lt;&gt; """"), 2)"),"AI Applications in Marketing (B)")</f>
        <v>AI Applications in Marketing (B)</v>
      </c>
      <c r="I280" s="106" t="str">
        <f ca="1">IFERROR(__xludf.DUMMYFUNCTION("INDEX(FILTER($P280:$AL280, $P280:$AL280 &lt;&gt; """"), 3)"),"Customer Success Management")</f>
        <v>Customer Success Management</v>
      </c>
      <c r="J280" s="106" t="str">
        <f ca="1">IFERROR(__xludf.DUMMYFUNCTION("IFERROR(INDEX(FILTER($P280:$AL280, $P280:$AL280 &lt;&gt; """"), 4),)"),"")</f>
        <v/>
      </c>
      <c r="K280" s="106" t="str">
        <f ca="1">IFERROR(__xludf.DUMMYFUNCTION("IFERROR(INDEX(FILTER($P280:$AL280, $P280:$AL280 &lt;&gt; """"), 5),)"),"")</f>
        <v/>
      </c>
      <c r="L280" s="107"/>
      <c r="M280" s="107"/>
      <c r="N280" s="107"/>
      <c r="O280" s="107"/>
      <c r="P280" s="132" t="str">
        <f>IF(COUNTIF('Fintech-A'!$A:$A, $C280), P$1, "")</f>
        <v/>
      </c>
      <c r="Q280" s="132" t="str">
        <f>IF(COUNTIF('Fintech-B'!$A:$A, $C280), Q$1, "")</f>
        <v/>
      </c>
      <c r="R280" s="132" t="str">
        <f>IF(COUNTIF('BEDM-A'!$A:$A, $C280), R$1, "")</f>
        <v/>
      </c>
      <c r="S280" s="132" t="str">
        <f>IF(COUNTIF('BEDM-B'!$A:$A, $C280), S$1, "")</f>
        <v/>
      </c>
      <c r="T280" s="132" t="str">
        <f>IF(COUNTIF('Art-A'!$A:$A, $C280), T$1, "")</f>
        <v/>
      </c>
      <c r="U280" s="132" t="str">
        <f>IF(COUNTIF('Art-B'!$A:$A, $C280), U$1, "")</f>
        <v/>
      </c>
      <c r="V280" s="132" t="str">
        <f>IF(COUNTIF('WH-A'!$A:$A, $C280), V$1, "")</f>
        <v>Workplace Happiness: Science &amp; Practice (A)</v>
      </c>
      <c r="W280" s="132" t="str">
        <f>IF(COUNTIF('WH-B'!$A:$A, $C280), W$1, "")</f>
        <v/>
      </c>
      <c r="X280" s="132" t="str">
        <f>IF(COUNTIF(LETV!$A:$A, $C280), X$1, "")</f>
        <v/>
      </c>
      <c r="Y280" s="132" t="str">
        <f>IF(COUNTIF('Film&amp;Firm-A'!$A:$A, $C280), Y$1, "")</f>
        <v/>
      </c>
      <c r="Z280" s="132" t="str">
        <f>IF(COUNTIF('Film&amp;Firm-B'!$A:$A, $C280), Z$1, "")</f>
        <v/>
      </c>
      <c r="AA280" s="132" t="str">
        <f>IF(COUNTIF(SHRM!$A:$A, $C280), AA$1, "")</f>
        <v/>
      </c>
      <c r="AB280" s="132" t="str">
        <f>IF(COUNTIF('SCM-A'!$A:$A, $C280), AB$1, "")</f>
        <v/>
      </c>
      <c r="AC280" s="132" t="str">
        <f>IF(COUNTIF('SCM-B'!$A:$A, $C280), AC$1, "")</f>
        <v/>
      </c>
      <c r="AD280" s="132" t="str">
        <f>IF(COUNTIF(AIS!$A:$A, $C280), AD$1, "")</f>
        <v/>
      </c>
      <c r="AE280" s="132" t="str">
        <f>IF(COUNTIF(EB!$A:$A, $C280), AE$1, "")</f>
        <v/>
      </c>
      <c r="AF280" s="132" t="str">
        <f>IF(COUNTIF('AIAM-A'!$A:$A, $C280), AF$1, "")</f>
        <v/>
      </c>
      <c r="AG280" s="132" t="str">
        <f>IF(COUNTIF('AIAM-B'!$A:$A, $C280), AG$1, "")</f>
        <v>AI Applications in Marketing (B)</v>
      </c>
      <c r="AH280" s="132" t="str">
        <f>IF(COUNTIF('SA-A'!$A:$A, $C280), AH$1, "")</f>
        <v/>
      </c>
      <c r="AI280" s="132" t="str">
        <f>IF(COUNTIF('SA-B'!$A:$A, $C280), AI$1, "")</f>
        <v/>
      </c>
      <c r="AJ280" s="132" t="str">
        <f>IF(COUNTIF(CSM!$A:$A, $C280), AJ$1, "")</f>
        <v>Customer Success Management</v>
      </c>
      <c r="AK280" s="132" t="str">
        <f>IF(COUNTIF(EM!$A:$A, $C280), AK$1, "")</f>
        <v/>
      </c>
      <c r="AL280" s="132" t="str">
        <f>IF(COUNTIF(I4TS!$A:$A, $C280), AL$1, "")</f>
        <v/>
      </c>
    </row>
    <row r="281" spans="1:38" ht="13">
      <c r="A281" s="131">
        <v>280</v>
      </c>
      <c r="B281" s="131" t="s">
        <v>1063</v>
      </c>
      <c r="C281" s="131" t="s">
        <v>309</v>
      </c>
      <c r="D281" s="106" t="s">
        <v>1133</v>
      </c>
      <c r="E281" s="106" t="s">
        <v>1134</v>
      </c>
      <c r="F281" s="131">
        <f t="shared" ca="1" si="1"/>
        <v>5</v>
      </c>
      <c r="G281" s="106" t="str">
        <f ca="1">IFERROR(__xludf.DUMMYFUNCTION("INDEX(FILTER($P281:$AL281, $P281:$AL281 &lt;&gt; """"), 1)"),"The Art, Craft, and Science of Management: Learning through Classics and Best Collections (B)")</f>
        <v>The Art, Craft, and Science of Management: Learning through Classics and Best Collections (B)</v>
      </c>
      <c r="H281" s="106" t="str">
        <f ca="1">IFERROR(__xludf.DUMMYFUNCTION("INDEX(FILTER($P281:$AL281, $P281:$AL281 &lt;&gt; """"), 2)"),"Film &amp; the Firm: Visual Culture in Business Contexts (A)")</f>
        <v>Film &amp; the Firm: Visual Culture in Business Contexts (A)</v>
      </c>
      <c r="I281" s="106" t="str">
        <f ca="1">IFERROR(__xludf.DUMMYFUNCTION("INDEX(FILTER($P281:$AL281, $P281:$AL281 &lt;&gt; """"), 3)"),"AI Applications in Marketing (A)")</f>
        <v>AI Applications in Marketing (A)</v>
      </c>
      <c r="J281" s="106" t="str">
        <f ca="1">IFERROR(__xludf.DUMMYFUNCTION("IFERROR(INDEX(FILTER($P281:$AL281, $P281:$AL281 &lt;&gt; """"), 4),)"),"")</f>
        <v/>
      </c>
      <c r="K281" s="106" t="str">
        <f ca="1">IFERROR(__xludf.DUMMYFUNCTION("IFERROR(INDEX(FILTER($P281:$AL281, $P281:$AL281 &lt;&gt; """"), 5),)"),"")</f>
        <v/>
      </c>
      <c r="L281" s="107"/>
      <c r="M281" s="107"/>
      <c r="N281" s="107"/>
      <c r="O281" s="107"/>
      <c r="P281" s="132" t="str">
        <f>IF(COUNTIF('Fintech-A'!$A:$A, $C281), P$1, "")</f>
        <v/>
      </c>
      <c r="Q281" s="132" t="str">
        <f>IF(COUNTIF('Fintech-B'!$A:$A, $C281), Q$1, "")</f>
        <v/>
      </c>
      <c r="R281" s="132" t="str">
        <f>IF(COUNTIF('BEDM-A'!$A:$A, $C281), R$1, "")</f>
        <v/>
      </c>
      <c r="S281" s="132" t="str">
        <f>IF(COUNTIF('BEDM-B'!$A:$A, $C281), S$1, "")</f>
        <v/>
      </c>
      <c r="T281" s="132" t="str">
        <f>IF(COUNTIF('Art-A'!$A:$A, $C281), T$1, "")</f>
        <v/>
      </c>
      <c r="U281" s="132" t="str">
        <f>IF(COUNTIF('Art-B'!$A:$A, $C281), U$1, "")</f>
        <v>The Art, Craft, and Science of Management: Learning through Classics and Best Collections (B)</v>
      </c>
      <c r="V281" s="132" t="str">
        <f>IF(COUNTIF('WH-A'!$A:$A, $C281), V$1, "")</f>
        <v/>
      </c>
      <c r="W281" s="132" t="str">
        <f>IF(COUNTIF('WH-B'!$A:$A, $C281), W$1, "")</f>
        <v/>
      </c>
      <c r="X281" s="132" t="str">
        <f>IF(COUNTIF(LETV!$A:$A, $C281), X$1, "")</f>
        <v/>
      </c>
      <c r="Y281" s="132" t="str">
        <f>IF(COUNTIF('Film&amp;Firm-A'!$A:$A, $C281), Y$1, "")</f>
        <v>Film &amp; the Firm: Visual Culture in Business Contexts (A)</v>
      </c>
      <c r="Z281" s="132" t="str">
        <f>IF(COUNTIF('Film&amp;Firm-B'!$A:$A, $C281), Z$1, "")</f>
        <v/>
      </c>
      <c r="AA281" s="132" t="str">
        <f>IF(COUNTIF(SHRM!$A:$A, $C281), AA$1, "")</f>
        <v/>
      </c>
      <c r="AB281" s="132" t="str">
        <f>IF(COUNTIF('SCM-A'!$A:$A, $C281), AB$1, "")</f>
        <v/>
      </c>
      <c r="AC281" s="132" t="str">
        <f>IF(COUNTIF('SCM-B'!$A:$A, $C281), AC$1, "")</f>
        <v/>
      </c>
      <c r="AD281" s="132" t="str">
        <f>IF(COUNTIF(AIS!$A:$A, $C281), AD$1, "")</f>
        <v/>
      </c>
      <c r="AE281" s="132" t="str">
        <f>IF(COUNTIF(EB!$A:$A, $C281), AE$1, "")</f>
        <v/>
      </c>
      <c r="AF281" s="132" t="str">
        <f>IF(COUNTIF('AIAM-A'!$A:$A, $C281), AF$1, "")</f>
        <v>AI Applications in Marketing (A)</v>
      </c>
      <c r="AG281" s="132" t="str">
        <f>IF(COUNTIF('AIAM-B'!$A:$A, $C281), AG$1, "")</f>
        <v/>
      </c>
      <c r="AH281" s="132" t="str">
        <f>IF(COUNTIF('SA-A'!$A:$A, $C281), AH$1, "")</f>
        <v/>
      </c>
      <c r="AI281" s="132" t="str">
        <f>IF(COUNTIF('SA-B'!$A:$A, $C281), AI$1, "")</f>
        <v/>
      </c>
      <c r="AJ281" s="132" t="str">
        <f>IF(COUNTIF(CSM!$A:$A, $C281), AJ$1, "")</f>
        <v/>
      </c>
      <c r="AK281" s="132" t="str">
        <f>IF(COUNTIF(EM!$A:$A, $C281), AK$1, "")</f>
        <v/>
      </c>
      <c r="AL281" s="132" t="str">
        <f>IF(COUNTIF(I4TS!$A:$A, $C281), AL$1, "")</f>
        <v/>
      </c>
    </row>
    <row r="282" spans="1:38" ht="13">
      <c r="A282" s="131">
        <v>281</v>
      </c>
      <c r="B282" s="131" t="s">
        <v>1063</v>
      </c>
      <c r="C282" s="131" t="s">
        <v>1135</v>
      </c>
      <c r="D282" s="106" t="s">
        <v>1136</v>
      </c>
      <c r="E282" s="106" t="s">
        <v>1137</v>
      </c>
      <c r="F282" s="131">
        <f t="shared" ca="1" si="1"/>
        <v>5</v>
      </c>
      <c r="G282" s="106" t="str">
        <f ca="1">IFERROR(__xludf.DUMMYFUNCTION("INDEX(FILTER($P282:$AL282, $P282:$AL282 &lt;&gt; """"), 1)"),"Fintech (Digital Transformation in Finance) (A)")</f>
        <v>Fintech (Digital Transformation in Finance) (A)</v>
      </c>
      <c r="H282" s="106" t="str">
        <f ca="1">IFERROR(__xludf.DUMMYFUNCTION("INDEX(FILTER($P282:$AL282, $P282:$AL282 &lt;&gt; """"), 2)"),"Workplace Happiness: Science &amp; Practice (B)")</f>
        <v>Workplace Happiness: Science &amp; Practice (B)</v>
      </c>
      <c r="I282" s="106" t="str">
        <f ca="1">IFERROR(__xludf.DUMMYFUNCTION("INDEX(FILTER($P282:$AL282, $P282:$AL282 &lt;&gt; """"), 3)"),"Leadership Excellence Through Values : Wisdom from the Mahabharata")</f>
        <v>Leadership Excellence Through Values : Wisdom from the Mahabharata</v>
      </c>
      <c r="J282" s="106" t="str">
        <f ca="1">IFERROR(__xludf.DUMMYFUNCTION("IFERROR(INDEX(FILTER($P282:$AL282, $P282:$AL282 &lt;&gt; """"), 4),)"),"AI AND  STRATEGY")</f>
        <v>AI AND  STRATEGY</v>
      </c>
      <c r="K282" s="106" t="str">
        <f ca="1">IFERROR(__xludf.DUMMYFUNCTION("IFERROR(INDEX(FILTER($P282:$AL282, $P282:$AL282 &lt;&gt; """"), 5),)"),"Industry 4.0 in Transport Sector")</f>
        <v>Industry 4.0 in Transport Sector</v>
      </c>
      <c r="L282" s="107"/>
      <c r="M282" s="107"/>
      <c r="N282" s="107"/>
      <c r="O282" s="107"/>
      <c r="P282" s="132" t="str">
        <f>IF(COUNTIF('Fintech-A'!$A:$A, $C282), P$1, "")</f>
        <v>Fintech (Digital Transformation in Finance) (A)</v>
      </c>
      <c r="Q282" s="132" t="str">
        <f>IF(COUNTIF('Fintech-B'!$A:$A, $C282), Q$1, "")</f>
        <v/>
      </c>
      <c r="R282" s="132" t="str">
        <f>IF(COUNTIF('BEDM-A'!$A:$A, $C282), R$1, "")</f>
        <v/>
      </c>
      <c r="S282" s="132" t="str">
        <f>IF(COUNTIF('BEDM-B'!$A:$A, $C282), S$1, "")</f>
        <v/>
      </c>
      <c r="T282" s="132" t="str">
        <f>IF(COUNTIF('Art-A'!$A:$A, $C282), T$1, "")</f>
        <v/>
      </c>
      <c r="U282" s="132" t="str">
        <f>IF(COUNTIF('Art-B'!$A:$A, $C282), U$1, "")</f>
        <v/>
      </c>
      <c r="V282" s="132" t="str">
        <f>IF(COUNTIF('WH-A'!$A:$A, $C282), V$1, "")</f>
        <v/>
      </c>
      <c r="W282" s="132" t="str">
        <f>IF(COUNTIF('WH-B'!$A:$A, $C282), W$1, "")</f>
        <v>Workplace Happiness: Science &amp; Practice (B)</v>
      </c>
      <c r="X282" s="132" t="str">
        <f>IF(COUNTIF(LETV!$A:$A, $C282), X$1, "")</f>
        <v>Leadership Excellence Through Values : Wisdom from the Mahabharata</v>
      </c>
      <c r="Y282" s="132" t="str">
        <f>IF(COUNTIF('Film&amp;Firm-A'!$A:$A, $C282), Y$1, "")</f>
        <v/>
      </c>
      <c r="Z282" s="132" t="str">
        <f>IF(COUNTIF('Film&amp;Firm-B'!$A:$A, $C282), Z$1, "")</f>
        <v/>
      </c>
      <c r="AA282" s="132" t="str">
        <f>IF(COUNTIF(SHRM!$A:$A, $C282), AA$1, "")</f>
        <v/>
      </c>
      <c r="AB282" s="132" t="str">
        <f>IF(COUNTIF('SCM-A'!$A:$A, $C282), AB$1, "")</f>
        <v/>
      </c>
      <c r="AC282" s="132" t="str">
        <f>IF(COUNTIF('SCM-B'!$A:$A, $C282), AC$1, "")</f>
        <v/>
      </c>
      <c r="AD282" s="132" t="str">
        <f>IF(COUNTIF(AIS!$A:$A, $C282), AD$1, "")</f>
        <v>AI AND  STRATEGY</v>
      </c>
      <c r="AE282" s="132" t="str">
        <f>IF(COUNTIF(EB!$A:$A, $C282), AE$1, "")</f>
        <v/>
      </c>
      <c r="AF282" s="132" t="str">
        <f>IF(COUNTIF('AIAM-A'!$A:$A, $C282), AF$1, "")</f>
        <v/>
      </c>
      <c r="AG282" s="132" t="str">
        <f>IF(COUNTIF('AIAM-B'!$A:$A, $C282), AG$1, "")</f>
        <v/>
      </c>
      <c r="AH282" s="132" t="str">
        <f>IF(COUNTIF('SA-A'!$A:$A, $C282), AH$1, "")</f>
        <v/>
      </c>
      <c r="AI282" s="132" t="str">
        <f>IF(COUNTIF('SA-B'!$A:$A, $C282), AI$1, "")</f>
        <v/>
      </c>
      <c r="AJ282" s="132" t="str">
        <f>IF(COUNTIF(CSM!$A:$A, $C282), AJ$1, "")</f>
        <v/>
      </c>
      <c r="AK282" s="132" t="str">
        <f>IF(COUNTIF(EM!$A:$A, $C282), AK$1, "")</f>
        <v/>
      </c>
      <c r="AL282" s="132" t="str">
        <f>IF(COUNTIF(I4TS!$A:$A, $C282), AL$1, "")</f>
        <v>Industry 4.0 in Transport Sector</v>
      </c>
    </row>
    <row r="283" spans="1:38" ht="13">
      <c r="A283" s="131">
        <v>282</v>
      </c>
      <c r="B283" s="131" t="s">
        <v>1063</v>
      </c>
      <c r="C283" s="131" t="s">
        <v>1138</v>
      </c>
      <c r="D283" s="106" t="s">
        <v>1139</v>
      </c>
      <c r="E283" s="106" t="s">
        <v>1140</v>
      </c>
      <c r="F283" s="131">
        <f t="shared" ca="1" si="1"/>
        <v>5</v>
      </c>
      <c r="G283" s="106" t="str">
        <f ca="1">IFERROR(__xludf.DUMMYFUNCTION("INDEX(FILTER($P283:$AL283, $P283:$AL283 &lt;&gt; """"), 1)"),"Fintech (Digital Transformation in Finance) (A)")</f>
        <v>Fintech (Digital Transformation in Finance) (A)</v>
      </c>
      <c r="H283" s="106" t="str">
        <f ca="1">IFERROR(__xludf.DUMMYFUNCTION("INDEX(FILTER($P283:$AL283, $P283:$AL283 &lt;&gt; """"), 2)"),"Behavioural Economics and Decision-Making (A)")</f>
        <v>Behavioural Economics and Decision-Making (A)</v>
      </c>
      <c r="I283" s="106" t="str">
        <f ca="1">IFERROR(__xludf.DUMMYFUNCTION("INDEX(FILTER($P283:$AL283, $P283:$AL283 &lt;&gt; """"), 3)"),"Strategic Career Management (B)")</f>
        <v>Strategic Career Management (B)</v>
      </c>
      <c r="J283" s="106" t="str">
        <f ca="1">IFERROR(__xludf.DUMMYFUNCTION("IFERROR(INDEX(FILTER($P283:$AL283, $P283:$AL283 &lt;&gt; """"), 4),)"),"AI Applications in Marketing (A)")</f>
        <v>AI Applications in Marketing (A)</v>
      </c>
      <c r="K283" s="106" t="str">
        <f ca="1">IFERROR(__xludf.DUMMYFUNCTION("IFERROR(INDEX(FILTER($P283:$AL283, $P283:$AL283 &lt;&gt; """"), 5),)"),"Entrepreneurial Marketing")</f>
        <v>Entrepreneurial Marketing</v>
      </c>
      <c r="L283" s="107"/>
      <c r="M283" s="107"/>
      <c r="N283" s="107"/>
      <c r="O283" s="107"/>
      <c r="P283" s="132" t="str">
        <f>IF(COUNTIF('Fintech-A'!$A:$A, $C283), P$1, "")</f>
        <v>Fintech (Digital Transformation in Finance) (A)</v>
      </c>
      <c r="Q283" s="132" t="str">
        <f>IF(COUNTIF('Fintech-B'!$A:$A, $C283), Q$1, "")</f>
        <v/>
      </c>
      <c r="R283" s="132" t="str">
        <f>IF(COUNTIF('BEDM-A'!$A:$A, $C283), R$1, "")</f>
        <v>Behavioural Economics and Decision-Making (A)</v>
      </c>
      <c r="S283" s="132" t="str">
        <f>IF(COUNTIF('BEDM-B'!$A:$A, $C283), S$1, "")</f>
        <v/>
      </c>
      <c r="T283" s="132" t="str">
        <f>IF(COUNTIF('Art-A'!$A:$A, $C283), T$1, "")</f>
        <v/>
      </c>
      <c r="U283" s="132" t="str">
        <f>IF(COUNTIF('Art-B'!$A:$A, $C283), U$1, "")</f>
        <v/>
      </c>
      <c r="V283" s="132" t="str">
        <f>IF(COUNTIF('WH-A'!$A:$A, $C283), V$1, "")</f>
        <v/>
      </c>
      <c r="W283" s="132" t="str">
        <f>IF(COUNTIF('WH-B'!$A:$A, $C283), W$1, "")</f>
        <v/>
      </c>
      <c r="X283" s="132" t="str">
        <f>IF(COUNTIF(LETV!$A:$A, $C283), X$1, "")</f>
        <v/>
      </c>
      <c r="Y283" s="132" t="str">
        <f>IF(COUNTIF('Film&amp;Firm-A'!$A:$A, $C283), Y$1, "")</f>
        <v/>
      </c>
      <c r="Z283" s="132" t="str">
        <f>IF(COUNTIF('Film&amp;Firm-B'!$A:$A, $C283), Z$1, "")</f>
        <v/>
      </c>
      <c r="AA283" s="132" t="str">
        <f>IF(COUNTIF(SHRM!$A:$A, $C283), AA$1, "")</f>
        <v/>
      </c>
      <c r="AB283" s="132" t="str">
        <f>IF(COUNTIF('SCM-A'!$A:$A, $C283), AB$1, "")</f>
        <v/>
      </c>
      <c r="AC283" s="132" t="str">
        <f>IF(COUNTIF('SCM-B'!$A:$A, $C283), AC$1, "")</f>
        <v>Strategic Career Management (B)</v>
      </c>
      <c r="AD283" s="132" t="str">
        <f>IF(COUNTIF(AIS!$A:$A, $C283), AD$1, "")</f>
        <v/>
      </c>
      <c r="AE283" s="132" t="str">
        <f>IF(COUNTIF(EB!$A:$A, $C283), AE$1, "")</f>
        <v/>
      </c>
      <c r="AF283" s="132" t="str">
        <f>IF(COUNTIF('AIAM-A'!$A:$A, $C283), AF$1, "")</f>
        <v>AI Applications in Marketing (A)</v>
      </c>
      <c r="AG283" s="132" t="str">
        <f>IF(COUNTIF('AIAM-B'!$A:$A, $C283), AG$1, "")</f>
        <v/>
      </c>
      <c r="AH283" s="132" t="str">
        <f>IF(COUNTIF('SA-A'!$A:$A, $C283), AH$1, "")</f>
        <v/>
      </c>
      <c r="AI283" s="132" t="str">
        <f>IF(COUNTIF('SA-B'!$A:$A, $C283), AI$1, "")</f>
        <v/>
      </c>
      <c r="AJ283" s="132" t="str">
        <f>IF(COUNTIF(CSM!$A:$A, $C283), AJ$1, "")</f>
        <v/>
      </c>
      <c r="AK283" s="132" t="str">
        <f>IF(COUNTIF(EM!$A:$A, $C283), AK$1, "")</f>
        <v>Entrepreneurial Marketing</v>
      </c>
      <c r="AL283" s="132" t="str">
        <f>IF(COUNTIF(I4TS!$A:$A, $C283), AL$1, "")</f>
        <v/>
      </c>
    </row>
    <row r="284" spans="1:38" ht="13">
      <c r="A284" s="131">
        <v>283</v>
      </c>
      <c r="B284" s="131" t="s">
        <v>1063</v>
      </c>
      <c r="C284" s="131" t="s">
        <v>310</v>
      </c>
      <c r="D284" s="106" t="s">
        <v>1141</v>
      </c>
      <c r="E284" s="106" t="s">
        <v>1142</v>
      </c>
      <c r="F284" s="131">
        <f t="shared" ca="1" si="1"/>
        <v>5</v>
      </c>
      <c r="G284" s="106" t="str">
        <f ca="1">IFERROR(__xludf.DUMMYFUNCTION("INDEX(FILTER($P284:$AL284, $P284:$AL284 &lt;&gt; """"), 1)"),"Fintech (Digital Transformation in Finance) (A)")</f>
        <v>Fintech (Digital Transformation in Finance) (A)</v>
      </c>
      <c r="H284" s="106" t="str">
        <f ca="1">IFERROR(__xludf.DUMMYFUNCTION("INDEX(FILTER($P284:$AL284, $P284:$AL284 &lt;&gt; """"), 2)"),"Employer Branding")</f>
        <v>Employer Branding</v>
      </c>
      <c r="I284" s="106" t="str">
        <f ca="1">IFERROR(__xludf.DUMMYFUNCTION("INDEX(FILTER($P284:$AL284, $P284:$AL284 &lt;&gt; """"), 3)"),"AI Applications in Marketing (B)")</f>
        <v>AI Applications in Marketing (B)</v>
      </c>
      <c r="J284" s="106" t="str">
        <f ca="1">IFERROR(__xludf.DUMMYFUNCTION("IFERROR(INDEX(FILTER($P284:$AL284, $P284:$AL284 &lt;&gt; """"), 4),)"),"")</f>
        <v/>
      </c>
      <c r="K284" s="106" t="str">
        <f ca="1">IFERROR(__xludf.DUMMYFUNCTION("IFERROR(INDEX(FILTER($P284:$AL284, $P284:$AL284 &lt;&gt; """"), 5),)"),"")</f>
        <v/>
      </c>
      <c r="L284" s="107"/>
      <c r="M284" s="107"/>
      <c r="N284" s="107"/>
      <c r="O284" s="107"/>
      <c r="P284" s="132" t="str">
        <f>IF(COUNTIF('Fintech-A'!$A:$A, $C284), P$1, "")</f>
        <v>Fintech (Digital Transformation in Finance) (A)</v>
      </c>
      <c r="Q284" s="132" t="str">
        <f>IF(COUNTIF('Fintech-B'!$A:$A, $C284), Q$1, "")</f>
        <v/>
      </c>
      <c r="R284" s="132" t="str">
        <f>IF(COUNTIF('BEDM-A'!$A:$A, $C284), R$1, "")</f>
        <v/>
      </c>
      <c r="S284" s="132" t="str">
        <f>IF(COUNTIF('BEDM-B'!$A:$A, $C284), S$1, "")</f>
        <v/>
      </c>
      <c r="T284" s="132" t="str">
        <f>IF(COUNTIF('Art-A'!$A:$A, $C284), T$1, "")</f>
        <v/>
      </c>
      <c r="U284" s="132" t="str">
        <f>IF(COUNTIF('Art-B'!$A:$A, $C284), U$1, "")</f>
        <v/>
      </c>
      <c r="V284" s="132" t="str">
        <f>IF(COUNTIF('WH-A'!$A:$A, $C284), V$1, "")</f>
        <v/>
      </c>
      <c r="W284" s="132" t="str">
        <f>IF(COUNTIF('WH-B'!$A:$A, $C284), W$1, "")</f>
        <v/>
      </c>
      <c r="X284" s="132" t="str">
        <f>IF(COUNTIF(LETV!$A:$A, $C284), X$1, "")</f>
        <v/>
      </c>
      <c r="Y284" s="132" t="str">
        <f>IF(COUNTIF('Film&amp;Firm-A'!$A:$A, $C284), Y$1, "")</f>
        <v/>
      </c>
      <c r="Z284" s="132" t="str">
        <f>IF(COUNTIF('Film&amp;Firm-B'!$A:$A, $C284), Z$1, "")</f>
        <v/>
      </c>
      <c r="AA284" s="132" t="str">
        <f>IF(COUNTIF(SHRM!$A:$A, $C284), AA$1, "")</f>
        <v/>
      </c>
      <c r="AB284" s="132" t="str">
        <f>IF(COUNTIF('SCM-A'!$A:$A, $C284), AB$1, "")</f>
        <v/>
      </c>
      <c r="AC284" s="132" t="str">
        <f>IF(COUNTIF('SCM-B'!$A:$A, $C284), AC$1, "")</f>
        <v/>
      </c>
      <c r="AD284" s="132" t="str">
        <f>IF(COUNTIF(AIS!$A:$A, $C284), AD$1, "")</f>
        <v/>
      </c>
      <c r="AE284" s="132" t="str">
        <f>IF(COUNTIF(EB!$A:$A, $C284), AE$1, "")</f>
        <v>Employer Branding</v>
      </c>
      <c r="AF284" s="132" t="str">
        <f>IF(COUNTIF('AIAM-A'!$A:$A, $C284), AF$1, "")</f>
        <v/>
      </c>
      <c r="AG284" s="132" t="str">
        <f>IF(COUNTIF('AIAM-B'!$A:$A, $C284), AG$1, "")</f>
        <v>AI Applications in Marketing (B)</v>
      </c>
      <c r="AH284" s="132" t="str">
        <f>IF(COUNTIF('SA-A'!$A:$A, $C284), AH$1, "")</f>
        <v/>
      </c>
      <c r="AI284" s="132" t="str">
        <f>IF(COUNTIF('SA-B'!$A:$A, $C284), AI$1, "")</f>
        <v/>
      </c>
      <c r="AJ284" s="132" t="str">
        <f>IF(COUNTIF(CSM!$A:$A, $C284), AJ$1, "")</f>
        <v/>
      </c>
      <c r="AK284" s="132" t="str">
        <f>IF(COUNTIF(EM!$A:$A, $C284), AK$1, "")</f>
        <v/>
      </c>
      <c r="AL284" s="132" t="str">
        <f>IF(COUNTIF(I4TS!$A:$A, $C284), AL$1, "")</f>
        <v/>
      </c>
    </row>
    <row r="285" spans="1:38" ht="13">
      <c r="A285" s="131">
        <v>284</v>
      </c>
      <c r="B285" s="131" t="s">
        <v>1063</v>
      </c>
      <c r="C285" s="131" t="s">
        <v>311</v>
      </c>
      <c r="D285" s="106" t="s">
        <v>1143</v>
      </c>
      <c r="E285" s="106" t="s">
        <v>1144</v>
      </c>
      <c r="F285" s="131">
        <f t="shared" ca="1" si="1"/>
        <v>5</v>
      </c>
      <c r="G285" s="106" t="str">
        <f ca="1">IFERROR(__xludf.DUMMYFUNCTION("INDEX(FILTER($P285:$AL285, $P285:$AL285 &lt;&gt; """"), 1)"),"Strategic Career Management (B)")</f>
        <v>Strategic Career Management (B)</v>
      </c>
      <c r="H285" s="106" t="str">
        <f ca="1">IFERROR(__xludf.DUMMYFUNCTION("INDEX(FILTER($P285:$AL285, $P285:$AL285 &lt;&gt; """"), 2)"),"SPORTS ANALYTICS (B)")</f>
        <v>SPORTS ANALYTICS (B)</v>
      </c>
      <c r="I285" s="106" t="str">
        <f ca="1">IFERROR(__xludf.DUMMYFUNCTION("INDEX(FILTER($P285:$AL285, $P285:$AL285 &lt;&gt; """"), 3)"),"Entrepreneurial Marketing")</f>
        <v>Entrepreneurial Marketing</v>
      </c>
      <c r="J285" s="106" t="str">
        <f ca="1">IFERROR(__xludf.DUMMYFUNCTION("IFERROR(INDEX(FILTER($P285:$AL285, $P285:$AL285 &lt;&gt; """"), 4),)"),"")</f>
        <v/>
      </c>
      <c r="K285" s="106" t="str">
        <f ca="1">IFERROR(__xludf.DUMMYFUNCTION("IFERROR(INDEX(FILTER($P285:$AL285, $P285:$AL285 &lt;&gt; """"), 5),)"),"")</f>
        <v/>
      </c>
      <c r="L285" s="107"/>
      <c r="M285" s="107"/>
      <c r="N285" s="107"/>
      <c r="O285" s="107"/>
      <c r="P285" s="132" t="str">
        <f>IF(COUNTIF('Fintech-A'!$A:$A, $C285), P$1, "")</f>
        <v/>
      </c>
      <c r="Q285" s="132" t="str">
        <f>IF(COUNTIF('Fintech-B'!$A:$A, $C285), Q$1, "")</f>
        <v/>
      </c>
      <c r="R285" s="132" t="str">
        <f>IF(COUNTIF('BEDM-A'!$A:$A, $C285), R$1, "")</f>
        <v/>
      </c>
      <c r="S285" s="132" t="str">
        <f>IF(COUNTIF('BEDM-B'!$A:$A, $C285), S$1, "")</f>
        <v/>
      </c>
      <c r="T285" s="132" t="str">
        <f>IF(COUNTIF('Art-A'!$A:$A, $C285), T$1, "")</f>
        <v/>
      </c>
      <c r="U285" s="132" t="str">
        <f>IF(COUNTIF('Art-B'!$A:$A, $C285), U$1, "")</f>
        <v/>
      </c>
      <c r="V285" s="132" t="str">
        <f>IF(COUNTIF('WH-A'!$A:$A, $C285), V$1, "")</f>
        <v/>
      </c>
      <c r="W285" s="132" t="str">
        <f>IF(COUNTIF('WH-B'!$A:$A, $C285), W$1, "")</f>
        <v/>
      </c>
      <c r="X285" s="132" t="str">
        <f>IF(COUNTIF(LETV!$A:$A, $C285), X$1, "")</f>
        <v/>
      </c>
      <c r="Y285" s="132" t="str">
        <f>IF(COUNTIF('Film&amp;Firm-A'!$A:$A, $C285), Y$1, "")</f>
        <v/>
      </c>
      <c r="Z285" s="132" t="str">
        <f>IF(COUNTIF('Film&amp;Firm-B'!$A:$A, $C285), Z$1, "")</f>
        <v/>
      </c>
      <c r="AA285" s="132" t="str">
        <f>IF(COUNTIF(SHRM!$A:$A, $C285), AA$1, "")</f>
        <v/>
      </c>
      <c r="AB285" s="132" t="str">
        <f>IF(COUNTIF('SCM-A'!$A:$A, $C285), AB$1, "")</f>
        <v/>
      </c>
      <c r="AC285" s="132" t="str">
        <f>IF(COUNTIF('SCM-B'!$A:$A, $C285), AC$1, "")</f>
        <v>Strategic Career Management (B)</v>
      </c>
      <c r="AD285" s="132" t="str">
        <f>IF(COUNTIF(AIS!$A:$A, $C285), AD$1, "")</f>
        <v/>
      </c>
      <c r="AE285" s="132" t="str">
        <f>IF(COUNTIF(EB!$A:$A, $C285), AE$1, "")</f>
        <v/>
      </c>
      <c r="AF285" s="132" t="str">
        <f>IF(COUNTIF('AIAM-A'!$A:$A, $C285), AF$1, "")</f>
        <v/>
      </c>
      <c r="AG285" s="132" t="str">
        <f>IF(COUNTIF('AIAM-B'!$A:$A, $C285), AG$1, "")</f>
        <v/>
      </c>
      <c r="AH285" s="132" t="str">
        <f>IF(COUNTIF('SA-A'!$A:$A, $C285), AH$1, "")</f>
        <v/>
      </c>
      <c r="AI285" s="132" t="str">
        <f>IF(COUNTIF('SA-B'!$A:$A, $C285), AI$1, "")</f>
        <v>SPORTS ANALYTICS (B)</v>
      </c>
      <c r="AJ285" s="132" t="str">
        <f>IF(COUNTIF(CSM!$A:$A, $C285), AJ$1, "")</f>
        <v/>
      </c>
      <c r="AK285" s="132" t="str">
        <f>IF(COUNTIF(EM!$A:$A, $C285), AK$1, "")</f>
        <v>Entrepreneurial Marketing</v>
      </c>
      <c r="AL285" s="132" t="str">
        <f>IF(COUNTIF(I4TS!$A:$A, $C285), AL$1, "")</f>
        <v/>
      </c>
    </row>
    <row r="286" spans="1:38" ht="13">
      <c r="A286" s="131">
        <v>285</v>
      </c>
      <c r="B286" s="131" t="s">
        <v>1063</v>
      </c>
      <c r="C286" s="131" t="s">
        <v>1145</v>
      </c>
      <c r="D286" s="106" t="s">
        <v>1146</v>
      </c>
      <c r="E286" s="106" t="s">
        <v>1147</v>
      </c>
      <c r="F286" s="131">
        <f t="shared" ca="1" si="1"/>
        <v>5</v>
      </c>
      <c r="G286" s="106" t="str">
        <f ca="1">IFERROR(__xludf.DUMMYFUNCTION("INDEX(FILTER($P286:$AL286, $P286:$AL286 &lt;&gt; """"), 1)"),"Behavioural Economics and Decision-Making (B)")</f>
        <v>Behavioural Economics and Decision-Making (B)</v>
      </c>
      <c r="H286" s="106" t="str">
        <f ca="1">IFERROR(__xludf.DUMMYFUNCTION("INDEX(FILTER($P286:$AL286, $P286:$AL286 &lt;&gt; """"), 2)"),"Strategic HRM")</f>
        <v>Strategic HRM</v>
      </c>
      <c r="I286" s="106" t="str">
        <f ca="1">IFERROR(__xludf.DUMMYFUNCTION("INDEX(FILTER($P286:$AL286, $P286:$AL286 &lt;&gt; """"), 3)"),"Strategic Career Management (B)")</f>
        <v>Strategic Career Management (B)</v>
      </c>
      <c r="J286" s="106" t="str">
        <f ca="1">IFERROR(__xludf.DUMMYFUNCTION("IFERROR(INDEX(FILTER($P286:$AL286, $P286:$AL286 &lt;&gt; """"), 4),)"),"Entrepreneurial Marketing")</f>
        <v>Entrepreneurial Marketing</v>
      </c>
      <c r="K286" s="106" t="str">
        <f ca="1">IFERROR(__xludf.DUMMYFUNCTION("IFERROR(INDEX(FILTER($P286:$AL286, $P286:$AL286 &lt;&gt; """"), 5),)"),"Industry 4.0 in Transport Sector")</f>
        <v>Industry 4.0 in Transport Sector</v>
      </c>
      <c r="L286" s="107"/>
      <c r="M286" s="107"/>
      <c r="N286" s="107"/>
      <c r="O286" s="107"/>
      <c r="P286" s="132" t="str">
        <f>IF(COUNTIF('Fintech-A'!$A:$A, $C286), P$1, "")</f>
        <v/>
      </c>
      <c r="Q286" s="132" t="str">
        <f>IF(COUNTIF('Fintech-B'!$A:$A, $C286), Q$1, "")</f>
        <v/>
      </c>
      <c r="R286" s="132" t="str">
        <f>IF(COUNTIF('BEDM-A'!$A:$A, $C286), R$1, "")</f>
        <v/>
      </c>
      <c r="S286" s="132" t="str">
        <f>IF(COUNTIF('BEDM-B'!$A:$A, $C286), S$1, "")</f>
        <v>Behavioural Economics and Decision-Making (B)</v>
      </c>
      <c r="T286" s="132" t="str">
        <f>IF(COUNTIF('Art-A'!$A:$A, $C286), T$1, "")</f>
        <v/>
      </c>
      <c r="U286" s="132" t="str">
        <f>IF(COUNTIF('Art-B'!$A:$A, $C286), U$1, "")</f>
        <v/>
      </c>
      <c r="V286" s="132" t="str">
        <f>IF(COUNTIF('WH-A'!$A:$A, $C286), V$1, "")</f>
        <v/>
      </c>
      <c r="W286" s="132" t="str">
        <f>IF(COUNTIF('WH-B'!$A:$A, $C286), W$1, "")</f>
        <v/>
      </c>
      <c r="X286" s="132" t="str">
        <f>IF(COUNTIF(LETV!$A:$A, $C286), X$1, "")</f>
        <v/>
      </c>
      <c r="Y286" s="132" t="str">
        <f>IF(COUNTIF('Film&amp;Firm-A'!$A:$A, $C286), Y$1, "")</f>
        <v/>
      </c>
      <c r="Z286" s="132" t="str">
        <f>IF(COUNTIF('Film&amp;Firm-B'!$A:$A, $C286), Z$1, "")</f>
        <v/>
      </c>
      <c r="AA286" s="132" t="str">
        <f>IF(COUNTIF(SHRM!$A:$A, $C286), AA$1, "")</f>
        <v>Strategic HRM</v>
      </c>
      <c r="AB286" s="132" t="str">
        <f>IF(COUNTIF('SCM-A'!$A:$A, $C286), AB$1, "")</f>
        <v/>
      </c>
      <c r="AC286" s="132" t="str">
        <f>IF(COUNTIF('SCM-B'!$A:$A, $C286), AC$1, "")</f>
        <v>Strategic Career Management (B)</v>
      </c>
      <c r="AD286" s="132" t="str">
        <f>IF(COUNTIF(AIS!$A:$A, $C286), AD$1, "")</f>
        <v/>
      </c>
      <c r="AE286" s="132" t="str">
        <f>IF(COUNTIF(EB!$A:$A, $C286), AE$1, "")</f>
        <v/>
      </c>
      <c r="AF286" s="132" t="str">
        <f>IF(COUNTIF('AIAM-A'!$A:$A, $C286), AF$1, "")</f>
        <v/>
      </c>
      <c r="AG286" s="132" t="str">
        <f>IF(COUNTIF('AIAM-B'!$A:$A, $C286), AG$1, "")</f>
        <v/>
      </c>
      <c r="AH286" s="132" t="str">
        <f>IF(COUNTIF('SA-A'!$A:$A, $C286), AH$1, "")</f>
        <v/>
      </c>
      <c r="AI286" s="132" t="str">
        <f>IF(COUNTIF('SA-B'!$A:$A, $C286), AI$1, "")</f>
        <v/>
      </c>
      <c r="AJ286" s="132" t="str">
        <f>IF(COUNTIF(CSM!$A:$A, $C286), AJ$1, "")</f>
        <v/>
      </c>
      <c r="AK286" s="132" t="str">
        <f>IF(COUNTIF(EM!$A:$A, $C286), AK$1, "")</f>
        <v>Entrepreneurial Marketing</v>
      </c>
      <c r="AL286" s="132" t="str">
        <f>IF(COUNTIF(I4TS!$A:$A, $C286), AL$1, "")</f>
        <v>Industry 4.0 in Transport Sector</v>
      </c>
    </row>
    <row r="287" spans="1:38" ht="13">
      <c r="A287" s="131">
        <v>286</v>
      </c>
      <c r="B287" s="131" t="s">
        <v>1063</v>
      </c>
      <c r="C287" s="131" t="s">
        <v>1148</v>
      </c>
      <c r="D287" s="106" t="s">
        <v>1149</v>
      </c>
      <c r="E287" s="106" t="s">
        <v>1150</v>
      </c>
      <c r="F287" s="131">
        <f t="shared" ca="1" si="1"/>
        <v>5</v>
      </c>
      <c r="G287" s="106" t="str">
        <f ca="1">IFERROR(__xludf.DUMMYFUNCTION("INDEX(FILTER($P287:$AL287, $P287:$AL287 &lt;&gt; """"), 1)"),"Strategic Career Management (B)")</f>
        <v>Strategic Career Management (B)</v>
      </c>
      <c r="H287" s="106" t="str">
        <f ca="1">IFERROR(__xludf.DUMMYFUNCTION("INDEX(FILTER($P287:$AL287, $P287:$AL287 &lt;&gt; """"), 2)"),"AI AND  STRATEGY")</f>
        <v>AI AND  STRATEGY</v>
      </c>
      <c r="I287" s="106" t="str">
        <f ca="1">IFERROR(__xludf.DUMMYFUNCTION("INDEX(FILTER($P287:$AL287, $P287:$AL287 &lt;&gt; """"), 3)"),"SPORTS ANALYTICS (A)")</f>
        <v>SPORTS ANALYTICS (A)</v>
      </c>
      <c r="J287" s="106" t="str">
        <f ca="1">IFERROR(__xludf.DUMMYFUNCTION("IFERROR(INDEX(FILTER($P287:$AL287, $P287:$AL287 &lt;&gt; """"), 4),)"),"")</f>
        <v/>
      </c>
      <c r="K287" s="106" t="str">
        <f ca="1">IFERROR(__xludf.DUMMYFUNCTION("IFERROR(INDEX(FILTER($P287:$AL287, $P287:$AL287 &lt;&gt; """"), 5),)"),"")</f>
        <v/>
      </c>
      <c r="L287" s="107"/>
      <c r="M287" s="107"/>
      <c r="N287" s="107"/>
      <c r="O287" s="107"/>
      <c r="P287" s="132" t="str">
        <f>IF(COUNTIF('Fintech-A'!$A:$A, $C287), P$1, "")</f>
        <v/>
      </c>
      <c r="Q287" s="132" t="str">
        <f>IF(COUNTIF('Fintech-B'!$A:$A, $C287), Q$1, "")</f>
        <v/>
      </c>
      <c r="R287" s="132" t="str">
        <f>IF(COUNTIF('BEDM-A'!$A:$A, $C287), R$1, "")</f>
        <v/>
      </c>
      <c r="S287" s="132" t="str">
        <f>IF(COUNTIF('BEDM-B'!$A:$A, $C287), S$1, "")</f>
        <v/>
      </c>
      <c r="T287" s="132" t="str">
        <f>IF(COUNTIF('Art-A'!$A:$A, $C287), T$1, "")</f>
        <v/>
      </c>
      <c r="U287" s="132" t="str">
        <f>IF(COUNTIF('Art-B'!$A:$A, $C287), U$1, "")</f>
        <v/>
      </c>
      <c r="V287" s="132" t="str">
        <f>IF(COUNTIF('WH-A'!$A:$A, $C287), V$1, "")</f>
        <v/>
      </c>
      <c r="W287" s="132" t="str">
        <f>IF(COUNTIF('WH-B'!$A:$A, $C287), W$1, "")</f>
        <v/>
      </c>
      <c r="X287" s="132" t="str">
        <f>IF(COUNTIF(LETV!$A:$A, $C287), X$1, "")</f>
        <v/>
      </c>
      <c r="Y287" s="132" t="str">
        <f>IF(COUNTIF('Film&amp;Firm-A'!$A:$A, $C287), Y$1, "")</f>
        <v/>
      </c>
      <c r="Z287" s="132" t="str">
        <f>IF(COUNTIF('Film&amp;Firm-B'!$A:$A, $C287), Z$1, "")</f>
        <v/>
      </c>
      <c r="AA287" s="132" t="str">
        <f>IF(COUNTIF(SHRM!$A:$A, $C287), AA$1, "")</f>
        <v/>
      </c>
      <c r="AB287" s="132" t="str">
        <f>IF(COUNTIF('SCM-A'!$A:$A, $C287), AB$1, "")</f>
        <v/>
      </c>
      <c r="AC287" s="132" t="str">
        <f>IF(COUNTIF('SCM-B'!$A:$A, $C287), AC$1, "")</f>
        <v>Strategic Career Management (B)</v>
      </c>
      <c r="AD287" s="132" t="str">
        <f>IF(COUNTIF(AIS!$A:$A, $C287), AD$1, "")</f>
        <v>AI AND  STRATEGY</v>
      </c>
      <c r="AE287" s="132" t="str">
        <f>IF(COUNTIF(EB!$A:$A, $C287), AE$1, "")</f>
        <v/>
      </c>
      <c r="AF287" s="132" t="str">
        <f>IF(COUNTIF('AIAM-A'!$A:$A, $C287), AF$1, "")</f>
        <v/>
      </c>
      <c r="AG287" s="132" t="str">
        <f>IF(COUNTIF('AIAM-B'!$A:$A, $C287), AG$1, "")</f>
        <v/>
      </c>
      <c r="AH287" s="132" t="str">
        <f>IF(COUNTIF('SA-A'!$A:$A, $C287), AH$1, "")</f>
        <v>SPORTS ANALYTICS (A)</v>
      </c>
      <c r="AI287" s="132" t="str">
        <f>IF(COUNTIF('SA-B'!$A:$A, $C287), AI$1, "")</f>
        <v/>
      </c>
      <c r="AJ287" s="132" t="str">
        <f>IF(COUNTIF(CSM!$A:$A, $C287), AJ$1, "")</f>
        <v/>
      </c>
      <c r="AK287" s="132" t="str">
        <f>IF(COUNTIF(EM!$A:$A, $C287), AK$1, "")</f>
        <v/>
      </c>
      <c r="AL287" s="132" t="str">
        <f>IF(COUNTIF(I4TS!$A:$A, $C287), AL$1, "")</f>
        <v/>
      </c>
    </row>
    <row r="288" spans="1:38" ht="13">
      <c r="A288" s="131">
        <v>287</v>
      </c>
      <c r="B288" s="131" t="s">
        <v>1063</v>
      </c>
      <c r="C288" s="131" t="s">
        <v>313</v>
      </c>
      <c r="D288" s="106" t="s">
        <v>1151</v>
      </c>
      <c r="E288" s="106" t="s">
        <v>1152</v>
      </c>
      <c r="F288" s="131">
        <f t="shared" ca="1" si="1"/>
        <v>5</v>
      </c>
      <c r="G288" s="106" t="str">
        <f ca="1">IFERROR(__xludf.DUMMYFUNCTION("INDEX(FILTER($P288:$AL288, $P288:$AL288 &lt;&gt; """"), 1)"),"Fintech (Digital Transformation in Finance) (A)")</f>
        <v>Fintech (Digital Transformation in Finance) (A)</v>
      </c>
      <c r="H288" s="106" t="str">
        <f ca="1">IFERROR(__xludf.DUMMYFUNCTION("INDEX(FILTER($P288:$AL288, $P288:$AL288 &lt;&gt; """"), 2)"),"Employer Branding")</f>
        <v>Employer Branding</v>
      </c>
      <c r="I288" s="106" t="str">
        <f ca="1">IFERROR(__xludf.DUMMYFUNCTION("INDEX(FILTER($P288:$AL288, $P288:$AL288 &lt;&gt; """"), 3)"),"SPORTS ANALYTICS (A)")</f>
        <v>SPORTS ANALYTICS (A)</v>
      </c>
      <c r="J288" s="106" t="str">
        <f ca="1">IFERROR(__xludf.DUMMYFUNCTION("IFERROR(INDEX(FILTER($P288:$AL288, $P288:$AL288 &lt;&gt; """"), 4),)"),"")</f>
        <v/>
      </c>
      <c r="K288" s="106" t="str">
        <f ca="1">IFERROR(__xludf.DUMMYFUNCTION("IFERROR(INDEX(FILTER($P288:$AL288, $P288:$AL288 &lt;&gt; """"), 5),)"),"")</f>
        <v/>
      </c>
      <c r="L288" s="107"/>
      <c r="M288" s="107"/>
      <c r="N288" s="107"/>
      <c r="O288" s="107"/>
      <c r="P288" s="132" t="str">
        <f>IF(COUNTIF('Fintech-A'!$A:$A, $C288), P$1, "")</f>
        <v>Fintech (Digital Transformation in Finance) (A)</v>
      </c>
      <c r="Q288" s="132" t="str">
        <f>IF(COUNTIF('Fintech-B'!$A:$A, $C288), Q$1, "")</f>
        <v/>
      </c>
      <c r="R288" s="132" t="str">
        <f>IF(COUNTIF('BEDM-A'!$A:$A, $C288), R$1, "")</f>
        <v/>
      </c>
      <c r="S288" s="132" t="str">
        <f>IF(COUNTIF('BEDM-B'!$A:$A, $C288), S$1, "")</f>
        <v/>
      </c>
      <c r="T288" s="132" t="str">
        <f>IF(COUNTIF('Art-A'!$A:$A, $C288), T$1, "")</f>
        <v/>
      </c>
      <c r="U288" s="132" t="str">
        <f>IF(COUNTIF('Art-B'!$A:$A, $C288), U$1, "")</f>
        <v/>
      </c>
      <c r="V288" s="132" t="str">
        <f>IF(COUNTIF('WH-A'!$A:$A, $C288), V$1, "")</f>
        <v/>
      </c>
      <c r="W288" s="132" t="str">
        <f>IF(COUNTIF('WH-B'!$A:$A, $C288), W$1, "")</f>
        <v/>
      </c>
      <c r="X288" s="132" t="str">
        <f>IF(COUNTIF(LETV!$A:$A, $C288), X$1, "")</f>
        <v/>
      </c>
      <c r="Y288" s="132" t="str">
        <f>IF(COUNTIF('Film&amp;Firm-A'!$A:$A, $C288), Y$1, "")</f>
        <v/>
      </c>
      <c r="Z288" s="132" t="str">
        <f>IF(COUNTIF('Film&amp;Firm-B'!$A:$A, $C288), Z$1, "")</f>
        <v/>
      </c>
      <c r="AA288" s="132" t="str">
        <f>IF(COUNTIF(SHRM!$A:$A, $C288), AA$1, "")</f>
        <v/>
      </c>
      <c r="AB288" s="132" t="str">
        <f>IF(COUNTIF('SCM-A'!$A:$A, $C288), AB$1, "")</f>
        <v/>
      </c>
      <c r="AC288" s="132" t="str">
        <f>IF(COUNTIF('SCM-B'!$A:$A, $C288), AC$1, "")</f>
        <v/>
      </c>
      <c r="AD288" s="132" t="str">
        <f>IF(COUNTIF(AIS!$A:$A, $C288), AD$1, "")</f>
        <v/>
      </c>
      <c r="AE288" s="132" t="str">
        <f>IF(COUNTIF(EB!$A:$A, $C288), AE$1, "")</f>
        <v>Employer Branding</v>
      </c>
      <c r="AF288" s="132" t="str">
        <f>IF(COUNTIF('AIAM-A'!$A:$A, $C288), AF$1, "")</f>
        <v/>
      </c>
      <c r="AG288" s="132" t="str">
        <f>IF(COUNTIF('AIAM-B'!$A:$A, $C288), AG$1, "")</f>
        <v/>
      </c>
      <c r="AH288" s="132" t="str">
        <f>IF(COUNTIF('SA-A'!$A:$A, $C288), AH$1, "")</f>
        <v>SPORTS ANALYTICS (A)</v>
      </c>
      <c r="AI288" s="132" t="str">
        <f>IF(COUNTIF('SA-B'!$A:$A, $C288), AI$1, "")</f>
        <v/>
      </c>
      <c r="AJ288" s="132" t="str">
        <f>IF(COUNTIF(CSM!$A:$A, $C288), AJ$1, "")</f>
        <v/>
      </c>
      <c r="AK288" s="132" t="str">
        <f>IF(COUNTIF(EM!$A:$A, $C288), AK$1, "")</f>
        <v/>
      </c>
      <c r="AL288" s="132" t="str">
        <f>IF(COUNTIF(I4TS!$A:$A, $C288), AL$1, "")</f>
        <v/>
      </c>
    </row>
    <row r="289" spans="1:38" ht="13">
      <c r="A289" s="131">
        <v>288</v>
      </c>
      <c r="B289" s="131" t="s">
        <v>1063</v>
      </c>
      <c r="C289" s="131" t="s">
        <v>1153</v>
      </c>
      <c r="D289" s="106" t="s">
        <v>1154</v>
      </c>
      <c r="E289" s="106" t="s">
        <v>1155</v>
      </c>
      <c r="F289" s="131">
        <f t="shared" ca="1" si="1"/>
        <v>5</v>
      </c>
      <c r="G289" s="106" t="str">
        <f ca="1">IFERROR(__xludf.DUMMYFUNCTION("INDEX(FILTER($P289:$AL289, $P289:$AL289 &lt;&gt; """"), 1)"),"Strategic HRM")</f>
        <v>Strategic HRM</v>
      </c>
      <c r="H289" s="106" t="str">
        <f ca="1">IFERROR(__xludf.DUMMYFUNCTION("INDEX(FILTER($P289:$AL289, $P289:$AL289 &lt;&gt; """"), 2)"),"Strategic Career Management (A)")</f>
        <v>Strategic Career Management (A)</v>
      </c>
      <c r="I289" s="106" t="str">
        <f ca="1">IFERROR(__xludf.DUMMYFUNCTION("INDEX(FILTER($P289:$AL289, $P289:$AL289 &lt;&gt; """"), 3)"),"AI AND  STRATEGY")</f>
        <v>AI AND  STRATEGY</v>
      </c>
      <c r="J289" s="106" t="str">
        <f ca="1">IFERROR(__xludf.DUMMYFUNCTION("IFERROR(INDEX(FILTER($P289:$AL289, $P289:$AL289 &lt;&gt; """"), 4),)"),"AI Applications in Marketing (A)")</f>
        <v>AI Applications in Marketing (A)</v>
      </c>
      <c r="K289" s="106" t="str">
        <f ca="1">IFERROR(__xludf.DUMMYFUNCTION("IFERROR(INDEX(FILTER($P289:$AL289, $P289:$AL289 &lt;&gt; """"), 5),)"),"Entrepreneurial Marketing")</f>
        <v>Entrepreneurial Marketing</v>
      </c>
      <c r="L289" s="107"/>
      <c r="M289" s="107"/>
      <c r="N289" s="107"/>
      <c r="O289" s="107"/>
      <c r="P289" s="132" t="str">
        <f>IF(COUNTIF('Fintech-A'!$A:$A, $C289), P$1, "")</f>
        <v/>
      </c>
      <c r="Q289" s="132" t="str">
        <f>IF(COUNTIF('Fintech-B'!$A:$A, $C289), Q$1, "")</f>
        <v/>
      </c>
      <c r="R289" s="132" t="str">
        <f>IF(COUNTIF('BEDM-A'!$A:$A, $C289), R$1, "")</f>
        <v/>
      </c>
      <c r="S289" s="132" t="str">
        <f>IF(COUNTIF('BEDM-B'!$A:$A, $C289), S$1, "")</f>
        <v/>
      </c>
      <c r="T289" s="132" t="str">
        <f>IF(COUNTIF('Art-A'!$A:$A, $C289), T$1, "")</f>
        <v/>
      </c>
      <c r="U289" s="132" t="str">
        <f>IF(COUNTIF('Art-B'!$A:$A, $C289), U$1, "")</f>
        <v/>
      </c>
      <c r="V289" s="132" t="str">
        <f>IF(COUNTIF('WH-A'!$A:$A, $C289), V$1, "")</f>
        <v/>
      </c>
      <c r="W289" s="132" t="str">
        <f>IF(COUNTIF('WH-B'!$A:$A, $C289), W$1, "")</f>
        <v/>
      </c>
      <c r="X289" s="132" t="str">
        <f>IF(COUNTIF(LETV!$A:$A, $C289), X$1, "")</f>
        <v/>
      </c>
      <c r="Y289" s="132" t="str">
        <f>IF(COUNTIF('Film&amp;Firm-A'!$A:$A, $C289), Y$1, "")</f>
        <v/>
      </c>
      <c r="Z289" s="132" t="str">
        <f>IF(COUNTIF('Film&amp;Firm-B'!$A:$A, $C289), Z$1, "")</f>
        <v/>
      </c>
      <c r="AA289" s="132" t="str">
        <f>IF(COUNTIF(SHRM!$A:$A, $C289), AA$1, "")</f>
        <v>Strategic HRM</v>
      </c>
      <c r="AB289" s="132" t="str">
        <f>IF(COUNTIF('SCM-A'!$A:$A, $C289), AB$1, "")</f>
        <v>Strategic Career Management (A)</v>
      </c>
      <c r="AC289" s="132" t="str">
        <f>IF(COUNTIF('SCM-B'!$A:$A, $C289), AC$1, "")</f>
        <v/>
      </c>
      <c r="AD289" s="132" t="str">
        <f>IF(COUNTIF(AIS!$A:$A, $C289), AD$1, "")</f>
        <v>AI AND  STRATEGY</v>
      </c>
      <c r="AE289" s="132" t="str">
        <f>IF(COUNTIF(EB!$A:$A, $C289), AE$1, "")</f>
        <v/>
      </c>
      <c r="AF289" s="132" t="str">
        <f>IF(COUNTIF('AIAM-A'!$A:$A, $C289), AF$1, "")</f>
        <v>AI Applications in Marketing (A)</v>
      </c>
      <c r="AG289" s="132" t="str">
        <f>IF(COUNTIF('AIAM-B'!$A:$A, $C289), AG$1, "")</f>
        <v/>
      </c>
      <c r="AH289" s="132" t="str">
        <f>IF(COUNTIF('SA-A'!$A:$A, $C289), AH$1, "")</f>
        <v/>
      </c>
      <c r="AI289" s="132" t="str">
        <f>IF(COUNTIF('SA-B'!$A:$A, $C289), AI$1, "")</f>
        <v/>
      </c>
      <c r="AJ289" s="132" t="str">
        <f>IF(COUNTIF(CSM!$A:$A, $C289), AJ$1, "")</f>
        <v/>
      </c>
      <c r="AK289" s="132" t="str">
        <f>IF(COUNTIF(EM!$A:$A, $C289), AK$1, "")</f>
        <v>Entrepreneurial Marketing</v>
      </c>
      <c r="AL289" s="132" t="str">
        <f>IF(COUNTIF(I4TS!$A:$A, $C289), AL$1, "")</f>
        <v/>
      </c>
    </row>
    <row r="290" spans="1:38" ht="13">
      <c r="A290" s="131">
        <v>289</v>
      </c>
      <c r="B290" s="131" t="s">
        <v>1063</v>
      </c>
      <c r="C290" s="131" t="s">
        <v>1156</v>
      </c>
      <c r="D290" s="106" t="s">
        <v>1157</v>
      </c>
      <c r="E290" s="106" t="s">
        <v>1158</v>
      </c>
      <c r="F290" s="131">
        <f t="shared" ca="1" si="1"/>
        <v>5</v>
      </c>
      <c r="G290" s="106" t="str">
        <f ca="1">IFERROR(__xludf.DUMMYFUNCTION("INDEX(FILTER($P290:$AL290, $P290:$AL290 &lt;&gt; """"), 1)"),"The Art, Craft, and Science of Management: Learning through Classics and Best Collections (A)")</f>
        <v>The Art, Craft, and Science of Management: Learning through Classics and Best Collections (A)</v>
      </c>
      <c r="H290" s="106" t="str">
        <f ca="1">IFERROR(__xludf.DUMMYFUNCTION("INDEX(FILTER($P290:$AL290, $P290:$AL290 &lt;&gt; """"), 2)"),"Leadership Excellence Through Values : Wisdom from the Mahabharata")</f>
        <v>Leadership Excellence Through Values : Wisdom from the Mahabharata</v>
      </c>
      <c r="I290" s="106" t="str">
        <f ca="1">IFERROR(__xludf.DUMMYFUNCTION("INDEX(FILTER($P290:$AL290, $P290:$AL290 &lt;&gt; """"), 3)"),"Entrepreneurial Marketing")</f>
        <v>Entrepreneurial Marketing</v>
      </c>
      <c r="J290" s="106" t="str">
        <f ca="1">IFERROR(__xludf.DUMMYFUNCTION("IFERROR(INDEX(FILTER($P290:$AL290, $P290:$AL290 &lt;&gt; """"), 4),)"),"")</f>
        <v/>
      </c>
      <c r="K290" s="106" t="str">
        <f ca="1">IFERROR(__xludf.DUMMYFUNCTION("IFERROR(INDEX(FILTER($P290:$AL290, $P290:$AL290 &lt;&gt; """"), 5),)"),"")</f>
        <v/>
      </c>
      <c r="L290" s="107"/>
      <c r="M290" s="107"/>
      <c r="N290" s="107"/>
      <c r="O290" s="107"/>
      <c r="P290" s="132" t="str">
        <f>IF(COUNTIF('Fintech-A'!$A:$A, $C290), P$1, "")</f>
        <v/>
      </c>
      <c r="Q290" s="132" t="str">
        <f>IF(COUNTIF('Fintech-B'!$A:$A, $C290), Q$1, "")</f>
        <v/>
      </c>
      <c r="R290" s="132" t="str">
        <f>IF(COUNTIF('BEDM-A'!$A:$A, $C290), R$1, "")</f>
        <v/>
      </c>
      <c r="S290" s="132" t="str">
        <f>IF(COUNTIF('BEDM-B'!$A:$A, $C290), S$1, "")</f>
        <v/>
      </c>
      <c r="T290" s="132" t="str">
        <f>IF(COUNTIF('Art-A'!$A:$A, $C290), T$1, "")</f>
        <v>The Art, Craft, and Science of Management: Learning through Classics and Best Collections (A)</v>
      </c>
      <c r="U290" s="132" t="str">
        <f>IF(COUNTIF('Art-B'!$A:$A, $C290), U$1, "")</f>
        <v/>
      </c>
      <c r="V290" s="132" t="str">
        <f>IF(COUNTIF('WH-A'!$A:$A, $C290), V$1, "")</f>
        <v/>
      </c>
      <c r="W290" s="132" t="str">
        <f>IF(COUNTIF('WH-B'!$A:$A, $C290), W$1, "")</f>
        <v/>
      </c>
      <c r="X290" s="132" t="str">
        <f>IF(COUNTIF(LETV!$A:$A, $C290), X$1, "")</f>
        <v>Leadership Excellence Through Values : Wisdom from the Mahabharata</v>
      </c>
      <c r="Y290" s="132" t="str">
        <f>IF(COUNTIF('Film&amp;Firm-A'!$A:$A, $C290), Y$1, "")</f>
        <v/>
      </c>
      <c r="Z290" s="132" t="str">
        <f>IF(COUNTIF('Film&amp;Firm-B'!$A:$A, $C290), Z$1, "")</f>
        <v/>
      </c>
      <c r="AA290" s="132" t="str">
        <f>IF(COUNTIF(SHRM!$A:$A, $C290), AA$1, "")</f>
        <v/>
      </c>
      <c r="AB290" s="132" t="str">
        <f>IF(COUNTIF('SCM-A'!$A:$A, $C290), AB$1, "")</f>
        <v/>
      </c>
      <c r="AC290" s="132" t="str">
        <f>IF(COUNTIF('SCM-B'!$A:$A, $C290), AC$1, "")</f>
        <v/>
      </c>
      <c r="AD290" s="132" t="str">
        <f>IF(COUNTIF(AIS!$A:$A, $C290), AD$1, "")</f>
        <v/>
      </c>
      <c r="AE290" s="132" t="str">
        <f>IF(COUNTIF(EB!$A:$A, $C290), AE$1, "")</f>
        <v/>
      </c>
      <c r="AF290" s="132" t="str">
        <f>IF(COUNTIF('AIAM-A'!$A:$A, $C290), AF$1, "")</f>
        <v/>
      </c>
      <c r="AG290" s="132" t="str">
        <f>IF(COUNTIF('AIAM-B'!$A:$A, $C290), AG$1, "")</f>
        <v/>
      </c>
      <c r="AH290" s="132" t="str">
        <f>IF(COUNTIF('SA-A'!$A:$A, $C290), AH$1, "")</f>
        <v/>
      </c>
      <c r="AI290" s="132" t="str">
        <f>IF(COUNTIF('SA-B'!$A:$A, $C290), AI$1, "")</f>
        <v/>
      </c>
      <c r="AJ290" s="132" t="str">
        <f>IF(COUNTIF(CSM!$A:$A, $C290), AJ$1, "")</f>
        <v/>
      </c>
      <c r="AK290" s="132" t="str">
        <f>IF(COUNTIF(EM!$A:$A, $C290), AK$1, "")</f>
        <v>Entrepreneurial Marketing</v>
      </c>
      <c r="AL290" s="132" t="str">
        <f>IF(COUNTIF(I4TS!$A:$A, $C290), AL$1, "")</f>
        <v/>
      </c>
    </row>
    <row r="291" spans="1:38" ht="13">
      <c r="A291" s="131">
        <v>290</v>
      </c>
      <c r="B291" s="131" t="s">
        <v>1063</v>
      </c>
      <c r="C291" s="131" t="s">
        <v>1159</v>
      </c>
      <c r="D291" s="106" t="s">
        <v>1160</v>
      </c>
      <c r="E291" s="106" t="s">
        <v>1161</v>
      </c>
      <c r="F291" s="131">
        <f t="shared" ca="1" si="1"/>
        <v>5</v>
      </c>
      <c r="G291" s="106" t="str">
        <f ca="1">IFERROR(__xludf.DUMMYFUNCTION("INDEX(FILTER($P291:$AL291, $P291:$AL291 &lt;&gt; """"), 1)"),"Behavioural Economics and Decision-Making (A)")</f>
        <v>Behavioural Economics and Decision-Making (A)</v>
      </c>
      <c r="H291" s="106" t="str">
        <f ca="1">IFERROR(__xludf.DUMMYFUNCTION("INDEX(FILTER($P291:$AL291, $P291:$AL291 &lt;&gt; """"), 2)"),"AI Applications in Marketing (B)")</f>
        <v>AI Applications in Marketing (B)</v>
      </c>
      <c r="I291" s="106" t="str">
        <f ca="1">IFERROR(__xludf.DUMMYFUNCTION("INDEX(FILTER($P291:$AL291, $P291:$AL291 &lt;&gt; """"), 3)"),"Customer Success Management")</f>
        <v>Customer Success Management</v>
      </c>
      <c r="J291" s="106" t="str">
        <f ca="1">IFERROR(__xludf.DUMMYFUNCTION("IFERROR(INDEX(FILTER($P291:$AL291, $P291:$AL291 &lt;&gt; """"), 4),)"),"")</f>
        <v/>
      </c>
      <c r="K291" s="106" t="str">
        <f ca="1">IFERROR(__xludf.DUMMYFUNCTION("IFERROR(INDEX(FILTER($P291:$AL291, $P291:$AL291 &lt;&gt; """"), 5),)"),"")</f>
        <v/>
      </c>
      <c r="L291" s="107"/>
      <c r="M291" s="107"/>
      <c r="N291" s="107"/>
      <c r="O291" s="107"/>
      <c r="P291" s="132" t="str">
        <f>IF(COUNTIF('Fintech-A'!$A:$A, $C291), P$1, "")</f>
        <v/>
      </c>
      <c r="Q291" s="132" t="str">
        <f>IF(COUNTIF('Fintech-B'!$A:$A, $C291), Q$1, "")</f>
        <v/>
      </c>
      <c r="R291" s="132" t="str">
        <f>IF(COUNTIF('BEDM-A'!$A:$A, $C291), R$1, "")</f>
        <v>Behavioural Economics and Decision-Making (A)</v>
      </c>
      <c r="S291" s="132" t="str">
        <f>IF(COUNTIF('BEDM-B'!$A:$A, $C291), S$1, "")</f>
        <v/>
      </c>
      <c r="T291" s="132" t="str">
        <f>IF(COUNTIF('Art-A'!$A:$A, $C291), T$1, "")</f>
        <v/>
      </c>
      <c r="U291" s="132" t="str">
        <f>IF(COUNTIF('Art-B'!$A:$A, $C291), U$1, "")</f>
        <v/>
      </c>
      <c r="V291" s="132" t="str">
        <f>IF(COUNTIF('WH-A'!$A:$A, $C291), V$1, "")</f>
        <v/>
      </c>
      <c r="W291" s="132" t="str">
        <f>IF(COUNTIF('WH-B'!$A:$A, $C291), W$1, "")</f>
        <v/>
      </c>
      <c r="X291" s="132" t="str">
        <f>IF(COUNTIF(LETV!$A:$A, $C291), X$1, "")</f>
        <v/>
      </c>
      <c r="Y291" s="132" t="str">
        <f>IF(COUNTIF('Film&amp;Firm-A'!$A:$A, $C291), Y$1, "")</f>
        <v/>
      </c>
      <c r="Z291" s="132" t="str">
        <f>IF(COUNTIF('Film&amp;Firm-B'!$A:$A, $C291), Z$1, "")</f>
        <v/>
      </c>
      <c r="AA291" s="132" t="str">
        <f>IF(COUNTIF(SHRM!$A:$A, $C291), AA$1, "")</f>
        <v/>
      </c>
      <c r="AB291" s="132" t="str">
        <f>IF(COUNTIF('SCM-A'!$A:$A, $C291), AB$1, "")</f>
        <v/>
      </c>
      <c r="AC291" s="132" t="str">
        <f>IF(COUNTIF('SCM-B'!$A:$A, $C291), AC$1, "")</f>
        <v/>
      </c>
      <c r="AD291" s="132" t="str">
        <f>IF(COUNTIF(AIS!$A:$A, $C291), AD$1, "")</f>
        <v/>
      </c>
      <c r="AE291" s="132" t="str">
        <f>IF(COUNTIF(EB!$A:$A, $C291), AE$1, "")</f>
        <v/>
      </c>
      <c r="AF291" s="132" t="str">
        <f>IF(COUNTIF('AIAM-A'!$A:$A, $C291), AF$1, "")</f>
        <v/>
      </c>
      <c r="AG291" s="132" t="str">
        <f>IF(COUNTIF('AIAM-B'!$A:$A, $C291), AG$1, "")</f>
        <v>AI Applications in Marketing (B)</v>
      </c>
      <c r="AH291" s="132" t="str">
        <f>IF(COUNTIF('SA-A'!$A:$A, $C291), AH$1, "")</f>
        <v/>
      </c>
      <c r="AI291" s="132" t="str">
        <f>IF(COUNTIF('SA-B'!$A:$A, $C291), AI$1, "")</f>
        <v/>
      </c>
      <c r="AJ291" s="132" t="str">
        <f>IF(COUNTIF(CSM!$A:$A, $C291), AJ$1, "")</f>
        <v>Customer Success Management</v>
      </c>
      <c r="AK291" s="132" t="str">
        <f>IF(COUNTIF(EM!$A:$A, $C291), AK$1, "")</f>
        <v/>
      </c>
      <c r="AL291" s="132" t="str">
        <f>IF(COUNTIF(I4TS!$A:$A, $C291), AL$1, "")</f>
        <v/>
      </c>
    </row>
    <row r="292" spans="1:38" ht="13">
      <c r="A292" s="131">
        <v>291</v>
      </c>
      <c r="B292" s="131" t="s">
        <v>1063</v>
      </c>
      <c r="C292" s="131" t="s">
        <v>314</v>
      </c>
      <c r="D292" s="106" t="s">
        <v>1162</v>
      </c>
      <c r="E292" s="106" t="s">
        <v>1163</v>
      </c>
      <c r="F292" s="131">
        <f t="shared" ca="1" si="1"/>
        <v>5</v>
      </c>
      <c r="G292" s="106" t="str">
        <f ca="1">IFERROR(__xludf.DUMMYFUNCTION("INDEX(FILTER($P292:$AL292, $P292:$AL292 &lt;&gt; """"), 1)"),"The Art, Craft, and Science of Management: Learning through Classics and Best Collections (B)")</f>
        <v>The Art, Craft, and Science of Management: Learning through Classics and Best Collections (B)</v>
      </c>
      <c r="H292" s="106" t="str">
        <f ca="1">IFERROR(__xludf.DUMMYFUNCTION("INDEX(FILTER($P292:$AL292, $P292:$AL292 &lt;&gt; """"), 2)"),"Workplace Happiness: Science &amp; Practice (B)")</f>
        <v>Workplace Happiness: Science &amp; Practice (B)</v>
      </c>
      <c r="I292" s="106" t="str">
        <f ca="1">IFERROR(__xludf.DUMMYFUNCTION("INDEX(FILTER($P292:$AL292, $P292:$AL292 &lt;&gt; """"), 3)"),"Leadership Excellence Through Values : Wisdom from the Mahabharata")</f>
        <v>Leadership Excellence Through Values : Wisdom from the Mahabharata</v>
      </c>
      <c r="J292" s="106" t="str">
        <f ca="1">IFERROR(__xludf.DUMMYFUNCTION("IFERROR(INDEX(FILTER($P292:$AL292, $P292:$AL292 &lt;&gt; """"), 4),)"),"Film &amp; the Firm: Visual Culture in Business Contexts (B)")</f>
        <v>Film &amp; the Firm: Visual Culture in Business Contexts (B)</v>
      </c>
      <c r="K292" s="106" t="str">
        <f ca="1">IFERROR(__xludf.DUMMYFUNCTION("IFERROR(INDEX(FILTER($P292:$AL292, $P292:$AL292 &lt;&gt; """"), 5),)"),"AI AND  STRATEGY")</f>
        <v>AI AND  STRATEGY</v>
      </c>
      <c r="L292" s="107"/>
      <c r="M292" s="107"/>
      <c r="N292" s="107"/>
      <c r="O292" s="107"/>
      <c r="P292" s="132" t="str">
        <f>IF(COUNTIF('Fintech-A'!$A:$A, $C292), P$1, "")</f>
        <v/>
      </c>
      <c r="Q292" s="132" t="str">
        <f>IF(COUNTIF('Fintech-B'!$A:$A, $C292), Q$1, "")</f>
        <v/>
      </c>
      <c r="R292" s="132" t="str">
        <f>IF(COUNTIF('BEDM-A'!$A:$A, $C292), R$1, "")</f>
        <v/>
      </c>
      <c r="S292" s="132" t="str">
        <f>IF(COUNTIF('BEDM-B'!$A:$A, $C292), S$1, "")</f>
        <v/>
      </c>
      <c r="T292" s="132" t="str">
        <f>IF(COUNTIF('Art-A'!$A:$A, $C292), T$1, "")</f>
        <v/>
      </c>
      <c r="U292" s="132" t="str">
        <f>IF(COUNTIF('Art-B'!$A:$A, $C292), U$1, "")</f>
        <v>The Art, Craft, and Science of Management: Learning through Classics and Best Collections (B)</v>
      </c>
      <c r="V292" s="132" t="str">
        <f>IF(COUNTIF('WH-A'!$A:$A, $C292), V$1, "")</f>
        <v/>
      </c>
      <c r="W292" s="132" t="str">
        <f>IF(COUNTIF('WH-B'!$A:$A, $C292), W$1, "")</f>
        <v>Workplace Happiness: Science &amp; Practice (B)</v>
      </c>
      <c r="X292" s="132" t="str">
        <f>IF(COUNTIF(LETV!$A:$A, $C292), X$1, "")</f>
        <v>Leadership Excellence Through Values : Wisdom from the Mahabharata</v>
      </c>
      <c r="Y292" s="132" t="str">
        <f>IF(COUNTIF('Film&amp;Firm-A'!$A:$A, $C292), Y$1, "")</f>
        <v/>
      </c>
      <c r="Z292" s="132" t="str">
        <f>IF(COUNTIF('Film&amp;Firm-B'!$A:$A, $C292), Z$1, "")</f>
        <v>Film &amp; the Firm: Visual Culture in Business Contexts (B)</v>
      </c>
      <c r="AA292" s="132" t="str">
        <f>IF(COUNTIF(SHRM!$A:$A, $C292), AA$1, "")</f>
        <v/>
      </c>
      <c r="AB292" s="132" t="str">
        <f>IF(COUNTIF('SCM-A'!$A:$A, $C292), AB$1, "")</f>
        <v/>
      </c>
      <c r="AC292" s="132" t="str">
        <f>IF(COUNTIF('SCM-B'!$A:$A, $C292), AC$1, "")</f>
        <v/>
      </c>
      <c r="AD292" s="132" t="str">
        <f>IF(COUNTIF(AIS!$A:$A, $C292), AD$1, "")</f>
        <v>AI AND  STRATEGY</v>
      </c>
      <c r="AE292" s="132" t="str">
        <f>IF(COUNTIF(EB!$A:$A, $C292), AE$1, "")</f>
        <v/>
      </c>
      <c r="AF292" s="132" t="str">
        <f>IF(COUNTIF('AIAM-A'!$A:$A, $C292), AF$1, "")</f>
        <v/>
      </c>
      <c r="AG292" s="132" t="str">
        <f>IF(COUNTIF('AIAM-B'!$A:$A, $C292), AG$1, "")</f>
        <v/>
      </c>
      <c r="AH292" s="132" t="str">
        <f>IF(COUNTIF('SA-A'!$A:$A, $C292), AH$1, "")</f>
        <v/>
      </c>
      <c r="AI292" s="132" t="str">
        <f>IF(COUNTIF('SA-B'!$A:$A, $C292), AI$1, "")</f>
        <v/>
      </c>
      <c r="AJ292" s="132" t="str">
        <f>IF(COUNTIF(CSM!$A:$A, $C292), AJ$1, "")</f>
        <v/>
      </c>
      <c r="AK292" s="132" t="str">
        <f>IF(COUNTIF(EM!$A:$A, $C292), AK$1, "")</f>
        <v/>
      </c>
      <c r="AL292" s="132" t="str">
        <f>IF(COUNTIF(I4TS!$A:$A, $C292), AL$1, "")</f>
        <v/>
      </c>
    </row>
    <row r="293" spans="1:38" ht="13">
      <c r="A293" s="131">
        <v>292</v>
      </c>
      <c r="B293" s="131" t="s">
        <v>1063</v>
      </c>
      <c r="C293" s="131" t="s">
        <v>1164</v>
      </c>
      <c r="D293" s="106" t="s">
        <v>1165</v>
      </c>
      <c r="E293" s="106" t="s">
        <v>1166</v>
      </c>
      <c r="F293" s="131">
        <f t="shared" ca="1" si="1"/>
        <v>5</v>
      </c>
      <c r="G293" s="106" t="str">
        <f ca="1">IFERROR(__xludf.DUMMYFUNCTION("INDEX(FILTER($P293:$AL293, $P293:$AL293 &lt;&gt; """"), 1)"),"Workplace Happiness: Science &amp; Practice (A)")</f>
        <v>Workplace Happiness: Science &amp; Practice (A)</v>
      </c>
      <c r="H293" s="106" t="str">
        <f ca="1">IFERROR(__xludf.DUMMYFUNCTION("INDEX(FILTER($P293:$AL293, $P293:$AL293 &lt;&gt; """"), 2)"),"Leadership Excellence Through Values : Wisdom from the Mahabharata")</f>
        <v>Leadership Excellence Through Values : Wisdom from the Mahabharata</v>
      </c>
      <c r="I293" s="106" t="str">
        <f ca="1">IFERROR(__xludf.DUMMYFUNCTION("INDEX(FILTER($P293:$AL293, $P293:$AL293 &lt;&gt; """"), 3)"),"Customer Success Management")</f>
        <v>Customer Success Management</v>
      </c>
      <c r="J293" s="106" t="str">
        <f ca="1">IFERROR(__xludf.DUMMYFUNCTION("IFERROR(INDEX(FILTER($P293:$AL293, $P293:$AL293 &lt;&gt; """"), 4),)"),"")</f>
        <v/>
      </c>
      <c r="K293" s="106" t="str">
        <f ca="1">IFERROR(__xludf.DUMMYFUNCTION("IFERROR(INDEX(FILTER($P293:$AL293, $P293:$AL293 &lt;&gt; """"), 5),)"),"")</f>
        <v/>
      </c>
      <c r="L293" s="107"/>
      <c r="M293" s="107"/>
      <c r="N293" s="107"/>
      <c r="O293" s="107"/>
      <c r="P293" s="132" t="str">
        <f>IF(COUNTIF('Fintech-A'!$A:$A, $C293), P$1, "")</f>
        <v/>
      </c>
      <c r="Q293" s="132" t="str">
        <f>IF(COUNTIF('Fintech-B'!$A:$A, $C293), Q$1, "")</f>
        <v/>
      </c>
      <c r="R293" s="132" t="str">
        <f>IF(COUNTIF('BEDM-A'!$A:$A, $C293), R$1, "")</f>
        <v/>
      </c>
      <c r="S293" s="132" t="str">
        <f>IF(COUNTIF('BEDM-B'!$A:$A, $C293), S$1, "")</f>
        <v/>
      </c>
      <c r="T293" s="132" t="str">
        <f>IF(COUNTIF('Art-A'!$A:$A, $C293), T$1, "")</f>
        <v/>
      </c>
      <c r="U293" s="132" t="str">
        <f>IF(COUNTIF('Art-B'!$A:$A, $C293), U$1, "")</f>
        <v/>
      </c>
      <c r="V293" s="132" t="str">
        <f>IF(COUNTIF('WH-A'!$A:$A, $C293), V$1, "")</f>
        <v>Workplace Happiness: Science &amp; Practice (A)</v>
      </c>
      <c r="W293" s="132" t="str">
        <f>IF(COUNTIF('WH-B'!$A:$A, $C293), W$1, "")</f>
        <v/>
      </c>
      <c r="X293" s="132" t="str">
        <f>IF(COUNTIF(LETV!$A:$A, $C293), X$1, "")</f>
        <v>Leadership Excellence Through Values : Wisdom from the Mahabharata</v>
      </c>
      <c r="Y293" s="132" t="str">
        <f>IF(COUNTIF('Film&amp;Firm-A'!$A:$A, $C293), Y$1, "")</f>
        <v/>
      </c>
      <c r="Z293" s="132" t="str">
        <f>IF(COUNTIF('Film&amp;Firm-B'!$A:$A, $C293), Z$1, "")</f>
        <v/>
      </c>
      <c r="AA293" s="132" t="str">
        <f>IF(COUNTIF(SHRM!$A:$A, $C293), AA$1, "")</f>
        <v/>
      </c>
      <c r="AB293" s="132" t="str">
        <f>IF(COUNTIF('SCM-A'!$A:$A, $C293), AB$1, "")</f>
        <v/>
      </c>
      <c r="AC293" s="132" t="str">
        <f>IF(COUNTIF('SCM-B'!$A:$A, $C293), AC$1, "")</f>
        <v/>
      </c>
      <c r="AD293" s="132" t="str">
        <f>IF(COUNTIF(AIS!$A:$A, $C293), AD$1, "")</f>
        <v/>
      </c>
      <c r="AE293" s="132" t="str">
        <f>IF(COUNTIF(EB!$A:$A, $C293), AE$1, "")</f>
        <v/>
      </c>
      <c r="AF293" s="132" t="str">
        <f>IF(COUNTIF('AIAM-A'!$A:$A, $C293), AF$1, "")</f>
        <v/>
      </c>
      <c r="AG293" s="132" t="str">
        <f>IF(COUNTIF('AIAM-B'!$A:$A, $C293), AG$1, "")</f>
        <v/>
      </c>
      <c r="AH293" s="132" t="str">
        <f>IF(COUNTIF('SA-A'!$A:$A, $C293), AH$1, "")</f>
        <v/>
      </c>
      <c r="AI293" s="132" t="str">
        <f>IF(COUNTIF('SA-B'!$A:$A, $C293), AI$1, "")</f>
        <v/>
      </c>
      <c r="AJ293" s="132" t="str">
        <f>IF(COUNTIF(CSM!$A:$A, $C293), AJ$1, "")</f>
        <v>Customer Success Management</v>
      </c>
      <c r="AK293" s="132" t="str">
        <f>IF(COUNTIF(EM!$A:$A, $C293), AK$1, "")</f>
        <v/>
      </c>
      <c r="AL293" s="132" t="str">
        <f>IF(COUNTIF(I4TS!$A:$A, $C293), AL$1, "")</f>
        <v/>
      </c>
    </row>
    <row r="294" spans="1:38" ht="13">
      <c r="A294" s="131">
        <v>293</v>
      </c>
      <c r="B294" s="131" t="s">
        <v>1063</v>
      </c>
      <c r="C294" s="131" t="s">
        <v>1167</v>
      </c>
      <c r="D294" s="106" t="s">
        <v>1168</v>
      </c>
      <c r="E294" s="106" t="s">
        <v>1169</v>
      </c>
      <c r="F294" s="131">
        <f t="shared" ca="1" si="1"/>
        <v>5</v>
      </c>
      <c r="G294" s="106" t="str">
        <f ca="1">IFERROR(__xludf.DUMMYFUNCTION("INDEX(FILTER($P294:$AL294, $P294:$AL294 &lt;&gt; """"), 1)"),"Behavioural Economics and Decision-Making (A)")</f>
        <v>Behavioural Economics and Decision-Making (A)</v>
      </c>
      <c r="H294" s="106" t="str">
        <f ca="1">IFERROR(__xludf.DUMMYFUNCTION("INDEX(FILTER($P294:$AL294, $P294:$AL294 &lt;&gt; """"), 2)"),"SPORTS ANALYTICS (A)")</f>
        <v>SPORTS ANALYTICS (A)</v>
      </c>
      <c r="I294" s="106" t="str">
        <f ca="1">IFERROR(__xludf.DUMMYFUNCTION("INDEX(FILTER($P294:$AL294, $P294:$AL294 &lt;&gt; """"), 3)"),"Entrepreneurial Marketing")</f>
        <v>Entrepreneurial Marketing</v>
      </c>
      <c r="J294" s="106" t="str">
        <f ca="1">IFERROR(__xludf.DUMMYFUNCTION("IFERROR(INDEX(FILTER($P294:$AL294, $P294:$AL294 &lt;&gt; """"), 4),)"),"")</f>
        <v/>
      </c>
      <c r="K294" s="106" t="str">
        <f ca="1">IFERROR(__xludf.DUMMYFUNCTION("IFERROR(INDEX(FILTER($P294:$AL294, $P294:$AL294 &lt;&gt; """"), 5),)"),"")</f>
        <v/>
      </c>
      <c r="L294" s="107"/>
      <c r="M294" s="107"/>
      <c r="N294" s="107"/>
      <c r="O294" s="107"/>
      <c r="P294" s="132" t="str">
        <f>IF(COUNTIF('Fintech-A'!$A:$A, $C294), P$1, "")</f>
        <v/>
      </c>
      <c r="Q294" s="132" t="str">
        <f>IF(COUNTIF('Fintech-B'!$A:$A, $C294), Q$1, "")</f>
        <v/>
      </c>
      <c r="R294" s="132" t="str">
        <f>IF(COUNTIF('BEDM-A'!$A:$A, $C294), R$1, "")</f>
        <v>Behavioural Economics and Decision-Making (A)</v>
      </c>
      <c r="S294" s="132" t="str">
        <f>IF(COUNTIF('BEDM-B'!$A:$A, $C294), S$1, "")</f>
        <v/>
      </c>
      <c r="T294" s="132" t="str">
        <f>IF(COUNTIF('Art-A'!$A:$A, $C294), T$1, "")</f>
        <v/>
      </c>
      <c r="U294" s="132" t="str">
        <f>IF(COUNTIF('Art-B'!$A:$A, $C294), U$1, "")</f>
        <v/>
      </c>
      <c r="V294" s="132" t="str">
        <f>IF(COUNTIF('WH-A'!$A:$A, $C294), V$1, "")</f>
        <v/>
      </c>
      <c r="W294" s="132" t="str">
        <f>IF(COUNTIF('WH-B'!$A:$A, $C294), W$1, "")</f>
        <v/>
      </c>
      <c r="X294" s="132" t="str">
        <f>IF(COUNTIF(LETV!$A:$A, $C294), X$1, "")</f>
        <v/>
      </c>
      <c r="Y294" s="132" t="str">
        <f>IF(COUNTIF('Film&amp;Firm-A'!$A:$A, $C294), Y$1, "")</f>
        <v/>
      </c>
      <c r="Z294" s="132" t="str">
        <f>IF(COUNTIF('Film&amp;Firm-B'!$A:$A, $C294), Z$1, "")</f>
        <v/>
      </c>
      <c r="AA294" s="132" t="str">
        <f>IF(COUNTIF(SHRM!$A:$A, $C294), AA$1, "")</f>
        <v/>
      </c>
      <c r="AB294" s="132" t="str">
        <f>IF(COUNTIF('SCM-A'!$A:$A, $C294), AB$1, "")</f>
        <v/>
      </c>
      <c r="AC294" s="132" t="str">
        <f>IF(COUNTIF('SCM-B'!$A:$A, $C294), AC$1, "")</f>
        <v/>
      </c>
      <c r="AD294" s="132" t="str">
        <f>IF(COUNTIF(AIS!$A:$A, $C294), AD$1, "")</f>
        <v/>
      </c>
      <c r="AE294" s="132" t="str">
        <f>IF(COUNTIF(EB!$A:$A, $C294), AE$1, "")</f>
        <v/>
      </c>
      <c r="AF294" s="132" t="str">
        <f>IF(COUNTIF('AIAM-A'!$A:$A, $C294), AF$1, "")</f>
        <v/>
      </c>
      <c r="AG294" s="132" t="str">
        <f>IF(COUNTIF('AIAM-B'!$A:$A, $C294), AG$1, "")</f>
        <v/>
      </c>
      <c r="AH294" s="132" t="str">
        <f>IF(COUNTIF('SA-A'!$A:$A, $C294), AH$1, "")</f>
        <v>SPORTS ANALYTICS (A)</v>
      </c>
      <c r="AI294" s="132" t="str">
        <f>IF(COUNTIF('SA-B'!$A:$A, $C294), AI$1, "")</f>
        <v/>
      </c>
      <c r="AJ294" s="132" t="str">
        <f>IF(COUNTIF(CSM!$A:$A, $C294), AJ$1, "")</f>
        <v/>
      </c>
      <c r="AK294" s="132" t="str">
        <f>IF(COUNTIF(EM!$A:$A, $C294), AK$1, "")</f>
        <v>Entrepreneurial Marketing</v>
      </c>
      <c r="AL294" s="132" t="str">
        <f>IF(COUNTIF(I4TS!$A:$A, $C294), AL$1, "")</f>
        <v/>
      </c>
    </row>
    <row r="295" spans="1:38" ht="13">
      <c r="A295" s="131">
        <v>294</v>
      </c>
      <c r="B295" s="131" t="s">
        <v>1063</v>
      </c>
      <c r="C295" s="131" t="s">
        <v>315</v>
      </c>
      <c r="D295" s="106" t="s">
        <v>1170</v>
      </c>
      <c r="E295" s="106" t="s">
        <v>1171</v>
      </c>
      <c r="F295" s="131">
        <f t="shared" ca="1" si="1"/>
        <v>5</v>
      </c>
      <c r="G295" s="106" t="str">
        <f ca="1">IFERROR(__xludf.DUMMYFUNCTION("INDEX(FILTER($P295:$AL295, $P295:$AL295 &lt;&gt; """"), 1)"),"Behavioural Economics and Decision-Making (A)")</f>
        <v>Behavioural Economics and Decision-Making (A)</v>
      </c>
      <c r="H295" s="106" t="str">
        <f ca="1">IFERROR(__xludf.DUMMYFUNCTION("INDEX(FILTER($P295:$AL295, $P295:$AL295 &lt;&gt; """"), 2)"),"Strategic Career Management (A)")</f>
        <v>Strategic Career Management (A)</v>
      </c>
      <c r="I295" s="106" t="str">
        <f ca="1">IFERROR(__xludf.DUMMYFUNCTION("INDEX(FILTER($P295:$AL295, $P295:$AL295 &lt;&gt; """"), 3)"),"Industry 4.0 in Transport Sector")</f>
        <v>Industry 4.0 in Transport Sector</v>
      </c>
      <c r="J295" s="106" t="str">
        <f ca="1">IFERROR(__xludf.DUMMYFUNCTION("IFERROR(INDEX(FILTER($P295:$AL295, $P295:$AL295 &lt;&gt; """"), 4),)"),"")</f>
        <v/>
      </c>
      <c r="K295" s="106" t="str">
        <f ca="1">IFERROR(__xludf.DUMMYFUNCTION("IFERROR(INDEX(FILTER($P295:$AL295, $P295:$AL295 &lt;&gt; """"), 5),)"),"")</f>
        <v/>
      </c>
      <c r="L295" s="107"/>
      <c r="M295" s="107"/>
      <c r="N295" s="107"/>
      <c r="O295" s="107"/>
      <c r="P295" s="132" t="str">
        <f>IF(COUNTIF('Fintech-A'!$A:$A, $C295), P$1, "")</f>
        <v/>
      </c>
      <c r="Q295" s="132" t="str">
        <f>IF(COUNTIF('Fintech-B'!$A:$A, $C295), Q$1, "")</f>
        <v/>
      </c>
      <c r="R295" s="132" t="str">
        <f>IF(COUNTIF('BEDM-A'!$A:$A, $C295), R$1, "")</f>
        <v>Behavioural Economics and Decision-Making (A)</v>
      </c>
      <c r="S295" s="132" t="str">
        <f>IF(COUNTIF('BEDM-B'!$A:$A, $C295), S$1, "")</f>
        <v/>
      </c>
      <c r="T295" s="132" t="str">
        <f>IF(COUNTIF('Art-A'!$A:$A, $C295), T$1, "")</f>
        <v/>
      </c>
      <c r="U295" s="132" t="str">
        <f>IF(COUNTIF('Art-B'!$A:$A, $C295), U$1, "")</f>
        <v/>
      </c>
      <c r="V295" s="132" t="str">
        <f>IF(COUNTIF('WH-A'!$A:$A, $C295), V$1, "")</f>
        <v/>
      </c>
      <c r="W295" s="132" t="str">
        <f>IF(COUNTIF('WH-B'!$A:$A, $C295), W$1, "")</f>
        <v/>
      </c>
      <c r="X295" s="132" t="str">
        <f>IF(COUNTIF(LETV!$A:$A, $C295), X$1, "")</f>
        <v/>
      </c>
      <c r="Y295" s="132" t="str">
        <f>IF(COUNTIF('Film&amp;Firm-A'!$A:$A, $C295), Y$1, "")</f>
        <v/>
      </c>
      <c r="Z295" s="132" t="str">
        <f>IF(COUNTIF('Film&amp;Firm-B'!$A:$A, $C295), Z$1, "")</f>
        <v/>
      </c>
      <c r="AA295" s="132" t="str">
        <f>IF(COUNTIF(SHRM!$A:$A, $C295), AA$1, "")</f>
        <v/>
      </c>
      <c r="AB295" s="132" t="str">
        <f>IF(COUNTIF('SCM-A'!$A:$A, $C295), AB$1, "")</f>
        <v>Strategic Career Management (A)</v>
      </c>
      <c r="AC295" s="132" t="str">
        <f>IF(COUNTIF('SCM-B'!$A:$A, $C295), AC$1, "")</f>
        <v/>
      </c>
      <c r="AD295" s="132" t="str">
        <f>IF(COUNTIF(AIS!$A:$A, $C295), AD$1, "")</f>
        <v/>
      </c>
      <c r="AE295" s="132" t="str">
        <f>IF(COUNTIF(EB!$A:$A, $C295), AE$1, "")</f>
        <v/>
      </c>
      <c r="AF295" s="132" t="str">
        <f>IF(COUNTIF('AIAM-A'!$A:$A, $C295), AF$1, "")</f>
        <v/>
      </c>
      <c r="AG295" s="132" t="str">
        <f>IF(COUNTIF('AIAM-B'!$A:$A, $C295), AG$1, "")</f>
        <v/>
      </c>
      <c r="AH295" s="132" t="str">
        <f>IF(COUNTIF('SA-A'!$A:$A, $C295), AH$1, "")</f>
        <v/>
      </c>
      <c r="AI295" s="132" t="str">
        <f>IF(COUNTIF('SA-B'!$A:$A, $C295), AI$1, "")</f>
        <v/>
      </c>
      <c r="AJ295" s="132" t="str">
        <f>IF(COUNTIF(CSM!$A:$A, $C295), AJ$1, "")</f>
        <v/>
      </c>
      <c r="AK295" s="132" t="str">
        <f>IF(COUNTIF(EM!$A:$A, $C295), AK$1, "")</f>
        <v/>
      </c>
      <c r="AL295" s="132" t="str">
        <f>IF(COUNTIF(I4TS!$A:$A, $C295), AL$1, "")</f>
        <v>Industry 4.0 in Transport Sector</v>
      </c>
    </row>
    <row r="296" spans="1:38" ht="13">
      <c r="A296" s="131">
        <v>295</v>
      </c>
      <c r="B296" s="131" t="s">
        <v>1063</v>
      </c>
      <c r="C296" s="131" t="s">
        <v>1172</v>
      </c>
      <c r="D296" s="106" t="s">
        <v>1173</v>
      </c>
      <c r="E296" s="106" t="s">
        <v>1174</v>
      </c>
      <c r="F296" s="131">
        <f t="shared" ca="1" si="1"/>
        <v>5</v>
      </c>
      <c r="G296" s="106" t="str">
        <f ca="1">IFERROR(__xludf.DUMMYFUNCTION("INDEX(FILTER($P296:$AL296, $P296:$AL296 &lt;&gt; """"), 1)"),"Fintech (Digital Transformation in Finance) (A)")</f>
        <v>Fintech (Digital Transformation in Finance) (A)</v>
      </c>
      <c r="H296" s="106" t="str">
        <f ca="1">IFERROR(__xludf.DUMMYFUNCTION("INDEX(FILTER($P296:$AL296, $P296:$AL296 &lt;&gt; """"), 2)"),"AI Applications in Marketing (A)")</f>
        <v>AI Applications in Marketing (A)</v>
      </c>
      <c r="I296" s="106" t="str">
        <f ca="1">IFERROR(__xludf.DUMMYFUNCTION("INDEX(FILTER($P296:$AL296, $P296:$AL296 &lt;&gt; """"), 3)"),"SPORTS ANALYTICS (B)")</f>
        <v>SPORTS ANALYTICS (B)</v>
      </c>
      <c r="J296" s="106" t="str">
        <f ca="1">IFERROR(__xludf.DUMMYFUNCTION("IFERROR(INDEX(FILTER($P296:$AL296, $P296:$AL296 &lt;&gt; """"), 4),)"),"")</f>
        <v/>
      </c>
      <c r="K296" s="106" t="str">
        <f ca="1">IFERROR(__xludf.DUMMYFUNCTION("IFERROR(INDEX(FILTER($P296:$AL296, $P296:$AL296 &lt;&gt; """"), 5),)"),"")</f>
        <v/>
      </c>
      <c r="L296" s="107"/>
      <c r="M296" s="107"/>
      <c r="N296" s="107"/>
      <c r="O296" s="107"/>
      <c r="P296" s="132" t="str">
        <f>IF(COUNTIF('Fintech-A'!$A:$A, $C296), P$1, "")</f>
        <v>Fintech (Digital Transformation in Finance) (A)</v>
      </c>
      <c r="Q296" s="132" t="str">
        <f>IF(COUNTIF('Fintech-B'!$A:$A, $C296), Q$1, "")</f>
        <v/>
      </c>
      <c r="R296" s="132" t="str">
        <f>IF(COUNTIF('BEDM-A'!$A:$A, $C296), R$1, "")</f>
        <v/>
      </c>
      <c r="S296" s="132" t="str">
        <f>IF(COUNTIF('BEDM-B'!$A:$A, $C296), S$1, "")</f>
        <v/>
      </c>
      <c r="T296" s="132" t="str">
        <f>IF(COUNTIF('Art-A'!$A:$A, $C296), T$1, "")</f>
        <v/>
      </c>
      <c r="U296" s="132" t="str">
        <f>IF(COUNTIF('Art-B'!$A:$A, $C296), U$1, "")</f>
        <v/>
      </c>
      <c r="V296" s="132" t="str">
        <f>IF(COUNTIF('WH-A'!$A:$A, $C296), V$1, "")</f>
        <v/>
      </c>
      <c r="W296" s="132" t="str">
        <f>IF(COUNTIF('WH-B'!$A:$A, $C296), W$1, "")</f>
        <v/>
      </c>
      <c r="X296" s="132" t="str">
        <f>IF(COUNTIF(LETV!$A:$A, $C296), X$1, "")</f>
        <v/>
      </c>
      <c r="Y296" s="132" t="str">
        <f>IF(COUNTIF('Film&amp;Firm-A'!$A:$A, $C296), Y$1, "")</f>
        <v/>
      </c>
      <c r="Z296" s="132" t="str">
        <f>IF(COUNTIF('Film&amp;Firm-B'!$A:$A, $C296), Z$1, "")</f>
        <v/>
      </c>
      <c r="AA296" s="132" t="str">
        <f>IF(COUNTIF(SHRM!$A:$A, $C296), AA$1, "")</f>
        <v/>
      </c>
      <c r="AB296" s="132" t="str">
        <f>IF(COUNTIF('SCM-A'!$A:$A, $C296), AB$1, "")</f>
        <v/>
      </c>
      <c r="AC296" s="132" t="str">
        <f>IF(COUNTIF('SCM-B'!$A:$A, $C296), AC$1, "")</f>
        <v/>
      </c>
      <c r="AD296" s="132" t="str">
        <f>IF(COUNTIF(AIS!$A:$A, $C296), AD$1, "")</f>
        <v/>
      </c>
      <c r="AE296" s="132" t="str">
        <f>IF(COUNTIF(EB!$A:$A, $C296), AE$1, "")</f>
        <v/>
      </c>
      <c r="AF296" s="132" t="str">
        <f>IF(COUNTIF('AIAM-A'!$A:$A, $C296), AF$1, "")</f>
        <v>AI Applications in Marketing (A)</v>
      </c>
      <c r="AG296" s="132" t="str">
        <f>IF(COUNTIF('AIAM-B'!$A:$A, $C296), AG$1, "")</f>
        <v/>
      </c>
      <c r="AH296" s="132" t="str">
        <f>IF(COUNTIF('SA-A'!$A:$A, $C296), AH$1, "")</f>
        <v/>
      </c>
      <c r="AI296" s="132" t="str">
        <f>IF(COUNTIF('SA-B'!$A:$A, $C296), AI$1, "")</f>
        <v>SPORTS ANALYTICS (B)</v>
      </c>
      <c r="AJ296" s="132" t="str">
        <f>IF(COUNTIF(CSM!$A:$A, $C296), AJ$1, "")</f>
        <v/>
      </c>
      <c r="AK296" s="132" t="str">
        <f>IF(COUNTIF(EM!$A:$A, $C296), AK$1, "")</f>
        <v/>
      </c>
      <c r="AL296" s="132" t="str">
        <f>IF(COUNTIF(I4TS!$A:$A, $C296), AL$1, "")</f>
        <v/>
      </c>
    </row>
    <row r="297" spans="1:38" ht="13">
      <c r="A297" s="131">
        <v>296</v>
      </c>
      <c r="B297" s="131" t="s">
        <v>1063</v>
      </c>
      <c r="C297" s="131" t="s">
        <v>1175</v>
      </c>
      <c r="D297" s="106" t="s">
        <v>1176</v>
      </c>
      <c r="E297" s="106" t="s">
        <v>1177</v>
      </c>
      <c r="F297" s="131">
        <f t="shared" ca="1" si="1"/>
        <v>5</v>
      </c>
      <c r="G297" s="106" t="str">
        <f ca="1">IFERROR(__xludf.DUMMYFUNCTION("INDEX(FILTER($P297:$AL297, $P297:$AL297 &lt;&gt; """"), 1)"),"Leadership Excellence Through Values : Wisdom from the Mahabharata")</f>
        <v>Leadership Excellence Through Values : Wisdom from the Mahabharata</v>
      </c>
      <c r="H297" s="106" t="str">
        <f ca="1">IFERROR(__xludf.DUMMYFUNCTION("INDEX(FILTER($P297:$AL297, $P297:$AL297 &lt;&gt; """"), 2)"),"SPORTS ANALYTICS (B)")</f>
        <v>SPORTS ANALYTICS (B)</v>
      </c>
      <c r="I297" s="106" t="str">
        <f ca="1">IFERROR(__xludf.DUMMYFUNCTION("INDEX(FILTER($P297:$AL297, $P297:$AL297 &lt;&gt; """"), 3)"),"Industry 4.0 in Transport Sector")</f>
        <v>Industry 4.0 in Transport Sector</v>
      </c>
      <c r="J297" s="106" t="str">
        <f ca="1">IFERROR(__xludf.DUMMYFUNCTION("IFERROR(INDEX(FILTER($P297:$AL297, $P297:$AL297 &lt;&gt; """"), 4),)"),"")</f>
        <v/>
      </c>
      <c r="K297" s="106" t="str">
        <f ca="1">IFERROR(__xludf.DUMMYFUNCTION("IFERROR(INDEX(FILTER($P297:$AL297, $P297:$AL297 &lt;&gt; """"), 5),)"),"")</f>
        <v/>
      </c>
      <c r="L297" s="107"/>
      <c r="M297" s="107"/>
      <c r="N297" s="107"/>
      <c r="O297" s="107"/>
      <c r="P297" s="132" t="str">
        <f>IF(COUNTIF('Fintech-A'!$A:$A, $C297), P$1, "")</f>
        <v/>
      </c>
      <c r="Q297" s="132" t="str">
        <f>IF(COUNTIF('Fintech-B'!$A:$A, $C297), Q$1, "")</f>
        <v/>
      </c>
      <c r="R297" s="132" t="str">
        <f>IF(COUNTIF('BEDM-A'!$A:$A, $C297), R$1, "")</f>
        <v/>
      </c>
      <c r="S297" s="132" t="str">
        <f>IF(COUNTIF('BEDM-B'!$A:$A, $C297), S$1, "")</f>
        <v/>
      </c>
      <c r="T297" s="132" t="str">
        <f>IF(COUNTIF('Art-A'!$A:$A, $C297), T$1, "")</f>
        <v/>
      </c>
      <c r="U297" s="132" t="str">
        <f>IF(COUNTIF('Art-B'!$A:$A, $C297), U$1, "")</f>
        <v/>
      </c>
      <c r="V297" s="132" t="str">
        <f>IF(COUNTIF('WH-A'!$A:$A, $C297), V$1, "")</f>
        <v/>
      </c>
      <c r="W297" s="132" t="str">
        <f>IF(COUNTIF('WH-B'!$A:$A, $C297), W$1, "")</f>
        <v/>
      </c>
      <c r="X297" s="132" t="str">
        <f>IF(COUNTIF(LETV!$A:$A, $C297), X$1, "")</f>
        <v>Leadership Excellence Through Values : Wisdom from the Mahabharata</v>
      </c>
      <c r="Y297" s="132" t="str">
        <f>IF(COUNTIF('Film&amp;Firm-A'!$A:$A, $C297), Y$1, "")</f>
        <v/>
      </c>
      <c r="Z297" s="132" t="str">
        <f>IF(COUNTIF('Film&amp;Firm-B'!$A:$A, $C297), Z$1, "")</f>
        <v/>
      </c>
      <c r="AA297" s="132" t="str">
        <f>IF(COUNTIF(SHRM!$A:$A, $C297), AA$1, "")</f>
        <v/>
      </c>
      <c r="AB297" s="132" t="str">
        <f>IF(COUNTIF('SCM-A'!$A:$A, $C297), AB$1, "")</f>
        <v/>
      </c>
      <c r="AC297" s="132" t="str">
        <f>IF(COUNTIF('SCM-B'!$A:$A, $C297), AC$1, "")</f>
        <v/>
      </c>
      <c r="AD297" s="132" t="str">
        <f>IF(COUNTIF(AIS!$A:$A, $C297), AD$1, "")</f>
        <v/>
      </c>
      <c r="AE297" s="132" t="str">
        <f>IF(COUNTIF(EB!$A:$A, $C297), AE$1, "")</f>
        <v/>
      </c>
      <c r="AF297" s="132" t="str">
        <f>IF(COUNTIF('AIAM-A'!$A:$A, $C297), AF$1, "")</f>
        <v/>
      </c>
      <c r="AG297" s="132" t="str">
        <f>IF(COUNTIF('AIAM-B'!$A:$A, $C297), AG$1, "")</f>
        <v/>
      </c>
      <c r="AH297" s="132" t="str">
        <f>IF(COUNTIF('SA-A'!$A:$A, $C297), AH$1, "")</f>
        <v/>
      </c>
      <c r="AI297" s="132" t="str">
        <f>IF(COUNTIF('SA-B'!$A:$A, $C297), AI$1, "")</f>
        <v>SPORTS ANALYTICS (B)</v>
      </c>
      <c r="AJ297" s="132" t="str">
        <f>IF(COUNTIF(CSM!$A:$A, $C297), AJ$1, "")</f>
        <v/>
      </c>
      <c r="AK297" s="132" t="str">
        <f>IF(COUNTIF(EM!$A:$A, $C297), AK$1, "")</f>
        <v/>
      </c>
      <c r="AL297" s="132" t="str">
        <f>IF(COUNTIF(I4TS!$A:$A, $C297), AL$1, "")</f>
        <v>Industry 4.0 in Transport Sector</v>
      </c>
    </row>
    <row r="298" spans="1:38" ht="13">
      <c r="A298" s="131">
        <v>297</v>
      </c>
      <c r="B298" s="131" t="s">
        <v>1063</v>
      </c>
      <c r="C298" s="131" t="s">
        <v>316</v>
      </c>
      <c r="D298" s="106" t="s">
        <v>1178</v>
      </c>
      <c r="E298" s="106" t="s">
        <v>1179</v>
      </c>
      <c r="F298" s="131">
        <f t="shared" ca="1" si="1"/>
        <v>5</v>
      </c>
      <c r="G298" s="106" t="str">
        <f ca="1">IFERROR(__xludf.DUMMYFUNCTION("INDEX(FILTER($P298:$AL298, $P298:$AL298 &lt;&gt; """"), 1)"),"Leadership Excellence Through Values : Wisdom from the Mahabharata")</f>
        <v>Leadership Excellence Through Values : Wisdom from the Mahabharata</v>
      </c>
      <c r="H298" s="106" t="str">
        <f ca="1">IFERROR(__xludf.DUMMYFUNCTION("INDEX(FILTER($P298:$AL298, $P298:$AL298 &lt;&gt; """"), 2)"),"AI Applications in Marketing (A)")</f>
        <v>AI Applications in Marketing (A)</v>
      </c>
      <c r="I298" s="106" t="str">
        <f ca="1">IFERROR(__xludf.DUMMYFUNCTION("INDEX(FILTER($P298:$AL298, $P298:$AL298 &lt;&gt; """"), 3)"),"Customer Success Management")</f>
        <v>Customer Success Management</v>
      </c>
      <c r="J298" s="106" t="str">
        <f ca="1">IFERROR(__xludf.DUMMYFUNCTION("IFERROR(INDEX(FILTER($P298:$AL298, $P298:$AL298 &lt;&gt; """"), 4),)"),"")</f>
        <v/>
      </c>
      <c r="K298" s="106" t="str">
        <f ca="1">IFERROR(__xludf.DUMMYFUNCTION("IFERROR(INDEX(FILTER($P298:$AL298, $P298:$AL298 &lt;&gt; """"), 5),)"),"")</f>
        <v/>
      </c>
      <c r="L298" s="107"/>
      <c r="M298" s="107"/>
      <c r="N298" s="107"/>
      <c r="O298" s="107"/>
      <c r="P298" s="132" t="str">
        <f>IF(COUNTIF('Fintech-A'!$A:$A, $C298), P$1, "")</f>
        <v/>
      </c>
      <c r="Q298" s="132" t="str">
        <f>IF(COUNTIF('Fintech-B'!$A:$A, $C298), Q$1, "")</f>
        <v/>
      </c>
      <c r="R298" s="132" t="str">
        <f>IF(COUNTIF('BEDM-A'!$A:$A, $C298), R$1, "")</f>
        <v/>
      </c>
      <c r="S298" s="132" t="str">
        <f>IF(COUNTIF('BEDM-B'!$A:$A, $C298), S$1, "")</f>
        <v/>
      </c>
      <c r="T298" s="132" t="str">
        <f>IF(COUNTIF('Art-A'!$A:$A, $C298), T$1, "")</f>
        <v/>
      </c>
      <c r="U298" s="132" t="str">
        <f>IF(COUNTIF('Art-B'!$A:$A, $C298), U$1, "")</f>
        <v/>
      </c>
      <c r="V298" s="132" t="str">
        <f>IF(COUNTIF('WH-A'!$A:$A, $C298), V$1, "")</f>
        <v/>
      </c>
      <c r="W298" s="132" t="str">
        <f>IF(COUNTIF('WH-B'!$A:$A, $C298), W$1, "")</f>
        <v/>
      </c>
      <c r="X298" s="132" t="str">
        <f>IF(COUNTIF(LETV!$A:$A, $C298), X$1, "")</f>
        <v>Leadership Excellence Through Values : Wisdom from the Mahabharata</v>
      </c>
      <c r="Y298" s="132" t="str">
        <f>IF(COUNTIF('Film&amp;Firm-A'!$A:$A, $C298), Y$1, "")</f>
        <v/>
      </c>
      <c r="Z298" s="132" t="str">
        <f>IF(COUNTIF('Film&amp;Firm-B'!$A:$A, $C298), Z$1, "")</f>
        <v/>
      </c>
      <c r="AA298" s="132" t="str">
        <f>IF(COUNTIF(SHRM!$A:$A, $C298), AA$1, "")</f>
        <v/>
      </c>
      <c r="AB298" s="132" t="str">
        <f>IF(COUNTIF('SCM-A'!$A:$A, $C298), AB$1, "")</f>
        <v/>
      </c>
      <c r="AC298" s="132" t="str">
        <f>IF(COUNTIF('SCM-B'!$A:$A, $C298), AC$1, "")</f>
        <v/>
      </c>
      <c r="AD298" s="132" t="str">
        <f>IF(COUNTIF(AIS!$A:$A, $C298), AD$1, "")</f>
        <v/>
      </c>
      <c r="AE298" s="132" t="str">
        <f>IF(COUNTIF(EB!$A:$A, $C298), AE$1, "")</f>
        <v/>
      </c>
      <c r="AF298" s="132" t="str">
        <f>IF(COUNTIF('AIAM-A'!$A:$A, $C298), AF$1, "")</f>
        <v>AI Applications in Marketing (A)</v>
      </c>
      <c r="AG298" s="132" t="str">
        <f>IF(COUNTIF('AIAM-B'!$A:$A, $C298), AG$1, "")</f>
        <v/>
      </c>
      <c r="AH298" s="132" t="str">
        <f>IF(COUNTIF('SA-A'!$A:$A, $C298), AH$1, "")</f>
        <v/>
      </c>
      <c r="AI298" s="132" t="str">
        <f>IF(COUNTIF('SA-B'!$A:$A, $C298), AI$1, "")</f>
        <v/>
      </c>
      <c r="AJ298" s="132" t="str">
        <f>IF(COUNTIF(CSM!$A:$A, $C298), AJ$1, "")</f>
        <v>Customer Success Management</v>
      </c>
      <c r="AK298" s="132" t="str">
        <f>IF(COUNTIF(EM!$A:$A, $C298), AK$1, "")</f>
        <v/>
      </c>
      <c r="AL298" s="132" t="str">
        <f>IF(COUNTIF(I4TS!$A:$A, $C298), AL$1, "")</f>
        <v/>
      </c>
    </row>
    <row r="299" spans="1:38" ht="13">
      <c r="A299" s="131">
        <v>298</v>
      </c>
      <c r="B299" s="131" t="s">
        <v>1063</v>
      </c>
      <c r="C299" s="131" t="s">
        <v>317</v>
      </c>
      <c r="D299" s="106" t="s">
        <v>1180</v>
      </c>
      <c r="E299" s="106" t="s">
        <v>1181</v>
      </c>
      <c r="F299" s="131">
        <f t="shared" ca="1" si="1"/>
        <v>5</v>
      </c>
      <c r="G299" s="106" t="str">
        <f ca="1">IFERROR(__xludf.DUMMYFUNCTION("INDEX(FILTER($P299:$AL299, $P299:$AL299 &lt;&gt; """"), 1)"),"Film &amp; the Firm: Visual Culture in Business Contexts (B)")</f>
        <v>Film &amp; the Firm: Visual Culture in Business Contexts (B)</v>
      </c>
      <c r="H299" s="106" t="str">
        <f ca="1">IFERROR(__xludf.DUMMYFUNCTION("INDEX(FILTER($P299:$AL299, $P299:$AL299 &lt;&gt; """"), 2)"),"Strategic Career Management (A)")</f>
        <v>Strategic Career Management (A)</v>
      </c>
      <c r="I299" s="106" t="str">
        <f ca="1">IFERROR(__xludf.DUMMYFUNCTION("INDEX(FILTER($P299:$AL299, $P299:$AL299 &lt;&gt; """"), 3)"),"Customer Success Management")</f>
        <v>Customer Success Management</v>
      </c>
      <c r="J299" s="106" t="str">
        <f ca="1">IFERROR(__xludf.DUMMYFUNCTION("IFERROR(INDEX(FILTER($P299:$AL299, $P299:$AL299 &lt;&gt; """"), 4),)"),"")</f>
        <v/>
      </c>
      <c r="K299" s="106" t="str">
        <f ca="1">IFERROR(__xludf.DUMMYFUNCTION("IFERROR(INDEX(FILTER($P299:$AL299, $P299:$AL299 &lt;&gt; """"), 5),)"),"")</f>
        <v/>
      </c>
      <c r="L299" s="107"/>
      <c r="M299" s="107"/>
      <c r="N299" s="107"/>
      <c r="O299" s="107"/>
      <c r="P299" s="132" t="str">
        <f>IF(COUNTIF('Fintech-A'!$A:$A, $C299), P$1, "")</f>
        <v/>
      </c>
      <c r="Q299" s="132" t="str">
        <f>IF(COUNTIF('Fintech-B'!$A:$A, $C299), Q$1, "")</f>
        <v/>
      </c>
      <c r="R299" s="132" t="str">
        <f>IF(COUNTIF('BEDM-A'!$A:$A, $C299), R$1, "")</f>
        <v/>
      </c>
      <c r="S299" s="132" t="str">
        <f>IF(COUNTIF('BEDM-B'!$A:$A, $C299), S$1, "")</f>
        <v/>
      </c>
      <c r="T299" s="132" t="str">
        <f>IF(COUNTIF('Art-A'!$A:$A, $C299), T$1, "")</f>
        <v/>
      </c>
      <c r="U299" s="132" t="str">
        <f>IF(COUNTIF('Art-B'!$A:$A, $C299), U$1, "")</f>
        <v/>
      </c>
      <c r="V299" s="132" t="str">
        <f>IF(COUNTIF('WH-A'!$A:$A, $C299), V$1, "")</f>
        <v/>
      </c>
      <c r="W299" s="132" t="str">
        <f>IF(COUNTIF('WH-B'!$A:$A, $C299), W$1, "")</f>
        <v/>
      </c>
      <c r="X299" s="132" t="str">
        <f>IF(COUNTIF(LETV!$A:$A, $C299), X$1, "")</f>
        <v/>
      </c>
      <c r="Y299" s="132" t="str">
        <f>IF(COUNTIF('Film&amp;Firm-A'!$A:$A, $C299), Y$1, "")</f>
        <v/>
      </c>
      <c r="Z299" s="132" t="str">
        <f>IF(COUNTIF('Film&amp;Firm-B'!$A:$A, $C299), Z$1, "")</f>
        <v>Film &amp; the Firm: Visual Culture in Business Contexts (B)</v>
      </c>
      <c r="AA299" s="132" t="str">
        <f>IF(COUNTIF(SHRM!$A:$A, $C299), AA$1, "")</f>
        <v/>
      </c>
      <c r="AB299" s="132" t="str">
        <f>IF(COUNTIF('SCM-A'!$A:$A, $C299), AB$1, "")</f>
        <v>Strategic Career Management (A)</v>
      </c>
      <c r="AC299" s="132" t="str">
        <f>IF(COUNTIF('SCM-B'!$A:$A, $C299), AC$1, "")</f>
        <v/>
      </c>
      <c r="AD299" s="132" t="str">
        <f>IF(COUNTIF(AIS!$A:$A, $C299), AD$1, "")</f>
        <v/>
      </c>
      <c r="AE299" s="132" t="str">
        <f>IF(COUNTIF(EB!$A:$A, $C299), AE$1, "")</f>
        <v/>
      </c>
      <c r="AF299" s="132" t="str">
        <f>IF(COUNTIF('AIAM-A'!$A:$A, $C299), AF$1, "")</f>
        <v/>
      </c>
      <c r="AG299" s="132" t="str">
        <f>IF(COUNTIF('AIAM-B'!$A:$A, $C299), AG$1, "")</f>
        <v/>
      </c>
      <c r="AH299" s="132" t="str">
        <f>IF(COUNTIF('SA-A'!$A:$A, $C299), AH$1, "")</f>
        <v/>
      </c>
      <c r="AI299" s="132" t="str">
        <f>IF(COUNTIF('SA-B'!$A:$A, $C299), AI$1, "")</f>
        <v/>
      </c>
      <c r="AJ299" s="132" t="str">
        <f>IF(COUNTIF(CSM!$A:$A, $C299), AJ$1, "")</f>
        <v>Customer Success Management</v>
      </c>
      <c r="AK299" s="132" t="str">
        <f>IF(COUNTIF(EM!$A:$A, $C299), AK$1, "")</f>
        <v/>
      </c>
      <c r="AL299" s="132" t="str">
        <f>IF(COUNTIF(I4TS!$A:$A, $C299), AL$1, "")</f>
        <v/>
      </c>
    </row>
    <row r="300" spans="1:38" ht="13">
      <c r="A300" s="131">
        <v>299</v>
      </c>
      <c r="B300" s="131" t="s">
        <v>1063</v>
      </c>
      <c r="C300" s="131" t="s">
        <v>1182</v>
      </c>
      <c r="D300" s="106" t="s">
        <v>1183</v>
      </c>
      <c r="E300" s="106" t="s">
        <v>1184</v>
      </c>
      <c r="F300" s="131">
        <f t="shared" ca="1" si="1"/>
        <v>5</v>
      </c>
      <c r="G300" s="106" t="str">
        <f ca="1">IFERROR(__xludf.DUMMYFUNCTION("INDEX(FILTER($P300:$AL300, $P300:$AL300 &lt;&gt; """"), 1)"),"Fintech (Digital Transformation in Finance) (A)")</f>
        <v>Fintech (Digital Transformation in Finance) (A)</v>
      </c>
      <c r="H300" s="106" t="str">
        <f ca="1">IFERROR(__xludf.DUMMYFUNCTION("INDEX(FILTER($P300:$AL300, $P300:$AL300 &lt;&gt; """"), 2)"),"AI Applications in Marketing (A)")</f>
        <v>AI Applications in Marketing (A)</v>
      </c>
      <c r="I300" s="106" t="str">
        <f ca="1">IFERROR(__xludf.DUMMYFUNCTION("INDEX(FILTER($P300:$AL300, $P300:$AL300 &lt;&gt; """"), 3)"),"SPORTS ANALYTICS (A)")</f>
        <v>SPORTS ANALYTICS (A)</v>
      </c>
      <c r="J300" s="106" t="str">
        <f ca="1">IFERROR(__xludf.DUMMYFUNCTION("IFERROR(INDEX(FILTER($P300:$AL300, $P300:$AL300 &lt;&gt; """"), 4),)"),"")</f>
        <v/>
      </c>
      <c r="K300" s="106" t="str">
        <f ca="1">IFERROR(__xludf.DUMMYFUNCTION("IFERROR(INDEX(FILTER($P300:$AL300, $P300:$AL300 &lt;&gt; """"), 5),)"),"")</f>
        <v/>
      </c>
      <c r="L300" s="107"/>
      <c r="M300" s="107"/>
      <c r="N300" s="107"/>
      <c r="O300" s="107"/>
      <c r="P300" s="132" t="str">
        <f>IF(COUNTIF('Fintech-A'!$A:$A, $C300), P$1, "")</f>
        <v>Fintech (Digital Transformation in Finance) (A)</v>
      </c>
      <c r="Q300" s="132" t="str">
        <f>IF(COUNTIF('Fintech-B'!$A:$A, $C300), Q$1, "")</f>
        <v/>
      </c>
      <c r="R300" s="132" t="str">
        <f>IF(COUNTIF('BEDM-A'!$A:$A, $C300), R$1, "")</f>
        <v/>
      </c>
      <c r="S300" s="132" t="str">
        <f>IF(COUNTIF('BEDM-B'!$A:$A, $C300), S$1, "")</f>
        <v/>
      </c>
      <c r="T300" s="132" t="str">
        <f>IF(COUNTIF('Art-A'!$A:$A, $C300), T$1, "")</f>
        <v/>
      </c>
      <c r="U300" s="132" t="str">
        <f>IF(COUNTIF('Art-B'!$A:$A, $C300), U$1, "")</f>
        <v/>
      </c>
      <c r="V300" s="132" t="str">
        <f>IF(COUNTIF('WH-A'!$A:$A, $C300), V$1, "")</f>
        <v/>
      </c>
      <c r="W300" s="132" t="str">
        <f>IF(COUNTIF('WH-B'!$A:$A, $C300), W$1, "")</f>
        <v/>
      </c>
      <c r="X300" s="132" t="str">
        <f>IF(COUNTIF(LETV!$A:$A, $C300), X$1, "")</f>
        <v/>
      </c>
      <c r="Y300" s="132" t="str">
        <f>IF(COUNTIF('Film&amp;Firm-A'!$A:$A, $C300), Y$1, "")</f>
        <v/>
      </c>
      <c r="Z300" s="132" t="str">
        <f>IF(COUNTIF('Film&amp;Firm-B'!$A:$A, $C300), Z$1, "")</f>
        <v/>
      </c>
      <c r="AA300" s="132" t="str">
        <f>IF(COUNTIF(SHRM!$A:$A, $C300), AA$1, "")</f>
        <v/>
      </c>
      <c r="AB300" s="132" t="str">
        <f>IF(COUNTIF('SCM-A'!$A:$A, $C300), AB$1, "")</f>
        <v/>
      </c>
      <c r="AC300" s="132" t="str">
        <f>IF(COUNTIF('SCM-B'!$A:$A, $C300), AC$1, "")</f>
        <v/>
      </c>
      <c r="AD300" s="132" t="str">
        <f>IF(COUNTIF(AIS!$A:$A, $C300), AD$1, "")</f>
        <v/>
      </c>
      <c r="AE300" s="132" t="str">
        <f>IF(COUNTIF(EB!$A:$A, $C300), AE$1, "")</f>
        <v/>
      </c>
      <c r="AF300" s="132" t="str">
        <f>IF(COUNTIF('AIAM-A'!$A:$A, $C300), AF$1, "")</f>
        <v>AI Applications in Marketing (A)</v>
      </c>
      <c r="AG300" s="132" t="str">
        <f>IF(COUNTIF('AIAM-B'!$A:$A, $C300), AG$1, "")</f>
        <v/>
      </c>
      <c r="AH300" s="132" t="str">
        <f>IF(COUNTIF('SA-A'!$A:$A, $C300), AH$1, "")</f>
        <v>SPORTS ANALYTICS (A)</v>
      </c>
      <c r="AI300" s="132" t="str">
        <f>IF(COUNTIF('SA-B'!$A:$A, $C300), AI$1, "")</f>
        <v/>
      </c>
      <c r="AJ300" s="132" t="str">
        <f>IF(COUNTIF(CSM!$A:$A, $C300), AJ$1, "")</f>
        <v/>
      </c>
      <c r="AK300" s="132" t="str">
        <f>IF(COUNTIF(EM!$A:$A, $C300), AK$1, "")</f>
        <v/>
      </c>
      <c r="AL300" s="132" t="str">
        <f>IF(COUNTIF(I4TS!$A:$A, $C300), AL$1, "")</f>
        <v/>
      </c>
    </row>
    <row r="301" spans="1:38" ht="13">
      <c r="A301" s="131">
        <v>300</v>
      </c>
      <c r="B301" s="131" t="s">
        <v>1063</v>
      </c>
      <c r="C301" s="131" t="s">
        <v>1185</v>
      </c>
      <c r="D301" s="106" t="s">
        <v>1186</v>
      </c>
      <c r="E301" s="106" t="s">
        <v>1187</v>
      </c>
      <c r="F301" s="131">
        <f t="shared" ca="1" si="1"/>
        <v>5</v>
      </c>
      <c r="G301" s="106" t="str">
        <f ca="1">IFERROR(__xludf.DUMMYFUNCTION("INDEX(FILTER($P301:$AL301, $P301:$AL301 &lt;&gt; """"), 1)"),"The Art, Craft, and Science of Management: Learning through Classics and Best Collections (A)")</f>
        <v>The Art, Craft, and Science of Management: Learning through Classics and Best Collections (A)</v>
      </c>
      <c r="H301" s="106" t="str">
        <f ca="1">IFERROR(__xludf.DUMMYFUNCTION("INDEX(FILTER($P301:$AL301, $P301:$AL301 &lt;&gt; """"), 2)"),"Strategic Career Management (A)")</f>
        <v>Strategic Career Management (A)</v>
      </c>
      <c r="I301" s="106" t="str">
        <f ca="1">IFERROR(__xludf.DUMMYFUNCTION("INDEX(FILTER($P301:$AL301, $P301:$AL301 &lt;&gt; """"), 3)"),"AI Applications in Marketing (A)")</f>
        <v>AI Applications in Marketing (A)</v>
      </c>
      <c r="J301" s="106" t="str">
        <f ca="1">IFERROR(__xludf.DUMMYFUNCTION("IFERROR(INDEX(FILTER($P301:$AL301, $P301:$AL301 &lt;&gt; """"), 4),)"),"")</f>
        <v/>
      </c>
      <c r="K301" s="106" t="str">
        <f ca="1">IFERROR(__xludf.DUMMYFUNCTION("IFERROR(INDEX(FILTER($P301:$AL301, $P301:$AL301 &lt;&gt; """"), 5),)"),"")</f>
        <v/>
      </c>
      <c r="L301" s="107"/>
      <c r="M301" s="107"/>
      <c r="N301" s="107"/>
      <c r="O301" s="107"/>
      <c r="P301" s="132" t="str">
        <f>IF(COUNTIF('Fintech-A'!$A:$A, $C301), P$1, "")</f>
        <v/>
      </c>
      <c r="Q301" s="132" t="str">
        <f>IF(COUNTIF('Fintech-B'!$A:$A, $C301), Q$1, "")</f>
        <v/>
      </c>
      <c r="R301" s="132" t="str">
        <f>IF(COUNTIF('BEDM-A'!$A:$A, $C301), R$1, "")</f>
        <v/>
      </c>
      <c r="S301" s="132" t="str">
        <f>IF(COUNTIF('BEDM-B'!$A:$A, $C301), S$1, "")</f>
        <v/>
      </c>
      <c r="T301" s="132" t="str">
        <f>IF(COUNTIF('Art-A'!$A:$A, $C301), T$1, "")</f>
        <v>The Art, Craft, and Science of Management: Learning through Classics and Best Collections (A)</v>
      </c>
      <c r="U301" s="132" t="str">
        <f>IF(COUNTIF('Art-B'!$A:$A, $C301), U$1, "")</f>
        <v/>
      </c>
      <c r="V301" s="132" t="str">
        <f>IF(COUNTIF('WH-A'!$A:$A, $C301), V$1, "")</f>
        <v/>
      </c>
      <c r="W301" s="132" t="str">
        <f>IF(COUNTIF('WH-B'!$A:$A, $C301), W$1, "")</f>
        <v/>
      </c>
      <c r="X301" s="132" t="str">
        <f>IF(COUNTIF(LETV!$A:$A, $C301), X$1, "")</f>
        <v/>
      </c>
      <c r="Y301" s="132" t="str">
        <f>IF(COUNTIF('Film&amp;Firm-A'!$A:$A, $C301), Y$1, "")</f>
        <v/>
      </c>
      <c r="Z301" s="132" t="str">
        <f>IF(COUNTIF('Film&amp;Firm-B'!$A:$A, $C301), Z$1, "")</f>
        <v/>
      </c>
      <c r="AA301" s="132" t="str">
        <f>IF(COUNTIF(SHRM!$A:$A, $C301), AA$1, "")</f>
        <v/>
      </c>
      <c r="AB301" s="132" t="str">
        <f>IF(COUNTIF('SCM-A'!$A:$A, $C301), AB$1, "")</f>
        <v>Strategic Career Management (A)</v>
      </c>
      <c r="AC301" s="132" t="str">
        <f>IF(COUNTIF('SCM-B'!$A:$A, $C301), AC$1, "")</f>
        <v/>
      </c>
      <c r="AD301" s="132" t="str">
        <f>IF(COUNTIF(AIS!$A:$A, $C301), AD$1, "")</f>
        <v/>
      </c>
      <c r="AE301" s="132" t="str">
        <f>IF(COUNTIF(EB!$A:$A, $C301), AE$1, "")</f>
        <v/>
      </c>
      <c r="AF301" s="132" t="str">
        <f>IF(COUNTIF('AIAM-A'!$A:$A, $C301), AF$1, "")</f>
        <v>AI Applications in Marketing (A)</v>
      </c>
      <c r="AG301" s="132" t="str">
        <f>IF(COUNTIF('AIAM-B'!$A:$A, $C301), AG$1, "")</f>
        <v/>
      </c>
      <c r="AH301" s="132" t="str">
        <f>IF(COUNTIF('SA-A'!$A:$A, $C301), AH$1, "")</f>
        <v/>
      </c>
      <c r="AI301" s="132" t="str">
        <f>IF(COUNTIF('SA-B'!$A:$A, $C301), AI$1, "")</f>
        <v/>
      </c>
      <c r="AJ301" s="132" t="str">
        <f>IF(COUNTIF(CSM!$A:$A, $C301), AJ$1, "")</f>
        <v/>
      </c>
      <c r="AK301" s="132" t="str">
        <f>IF(COUNTIF(EM!$A:$A, $C301), AK$1, "")</f>
        <v/>
      </c>
      <c r="AL301" s="132" t="str">
        <f>IF(COUNTIF(I4TS!$A:$A, $C301), AL$1, "")</f>
        <v/>
      </c>
    </row>
    <row r="302" spans="1:38" ht="13">
      <c r="A302" s="131">
        <v>301</v>
      </c>
      <c r="B302" s="131" t="s">
        <v>1063</v>
      </c>
      <c r="C302" s="131" t="s">
        <v>1188</v>
      </c>
      <c r="D302" s="106" t="s">
        <v>1189</v>
      </c>
      <c r="E302" s="106" t="s">
        <v>1190</v>
      </c>
      <c r="F302" s="131">
        <f t="shared" ca="1" si="1"/>
        <v>5</v>
      </c>
      <c r="G302" s="106" t="str">
        <f ca="1">IFERROR(__xludf.DUMMYFUNCTION("INDEX(FILTER($P302:$AL302, $P302:$AL302 &lt;&gt; """"), 1)"),"Film &amp; the Firm: Visual Culture in Business Contexts (B)")</f>
        <v>Film &amp; the Firm: Visual Culture in Business Contexts (B)</v>
      </c>
      <c r="H302" s="106" t="str">
        <f ca="1">IFERROR(__xludf.DUMMYFUNCTION("INDEX(FILTER($P302:$AL302, $P302:$AL302 &lt;&gt; """"), 2)"),"Strategic Career Management (A)")</f>
        <v>Strategic Career Management (A)</v>
      </c>
      <c r="I302" s="106" t="str">
        <f ca="1">IFERROR(__xludf.DUMMYFUNCTION("INDEX(FILTER($P302:$AL302, $P302:$AL302 &lt;&gt; """"), 3)"),"SPORTS ANALYTICS (A)")</f>
        <v>SPORTS ANALYTICS (A)</v>
      </c>
      <c r="J302" s="106" t="str">
        <f ca="1">IFERROR(__xludf.DUMMYFUNCTION("IFERROR(INDEX(FILTER($P302:$AL302, $P302:$AL302 &lt;&gt; """"), 4),)"),"")</f>
        <v/>
      </c>
      <c r="K302" s="106" t="str">
        <f ca="1">IFERROR(__xludf.DUMMYFUNCTION("IFERROR(INDEX(FILTER($P302:$AL302, $P302:$AL302 &lt;&gt; """"), 5),)"),"")</f>
        <v/>
      </c>
      <c r="L302" s="107"/>
      <c r="M302" s="107"/>
      <c r="N302" s="107"/>
      <c r="O302" s="107"/>
      <c r="P302" s="132" t="str">
        <f>IF(COUNTIF('Fintech-A'!$A:$A, $C302), P$1, "")</f>
        <v/>
      </c>
      <c r="Q302" s="132" t="str">
        <f>IF(COUNTIF('Fintech-B'!$A:$A, $C302), Q$1, "")</f>
        <v/>
      </c>
      <c r="R302" s="132" t="str">
        <f>IF(COUNTIF('BEDM-A'!$A:$A, $C302), R$1, "")</f>
        <v/>
      </c>
      <c r="S302" s="132" t="str">
        <f>IF(COUNTIF('BEDM-B'!$A:$A, $C302), S$1, "")</f>
        <v/>
      </c>
      <c r="T302" s="132" t="str">
        <f>IF(COUNTIF('Art-A'!$A:$A, $C302), T$1, "")</f>
        <v/>
      </c>
      <c r="U302" s="132" t="str">
        <f>IF(COUNTIF('Art-B'!$A:$A, $C302), U$1, "")</f>
        <v/>
      </c>
      <c r="V302" s="132" t="str">
        <f>IF(COUNTIF('WH-A'!$A:$A, $C302), V$1, "")</f>
        <v/>
      </c>
      <c r="W302" s="132" t="str">
        <f>IF(COUNTIF('WH-B'!$A:$A, $C302), W$1, "")</f>
        <v/>
      </c>
      <c r="X302" s="132" t="str">
        <f>IF(COUNTIF(LETV!$A:$A, $C302), X$1, "")</f>
        <v/>
      </c>
      <c r="Y302" s="132" t="str">
        <f>IF(COUNTIF('Film&amp;Firm-A'!$A:$A, $C302), Y$1, "")</f>
        <v/>
      </c>
      <c r="Z302" s="132" t="str">
        <f>IF(COUNTIF('Film&amp;Firm-B'!$A:$A, $C302), Z$1, "")</f>
        <v>Film &amp; the Firm: Visual Culture in Business Contexts (B)</v>
      </c>
      <c r="AA302" s="132" t="str">
        <f>IF(COUNTIF(SHRM!$A:$A, $C302), AA$1, "")</f>
        <v/>
      </c>
      <c r="AB302" s="132" t="str">
        <f>IF(COUNTIF('SCM-A'!$A:$A, $C302), AB$1, "")</f>
        <v>Strategic Career Management (A)</v>
      </c>
      <c r="AC302" s="132" t="str">
        <f>IF(COUNTIF('SCM-B'!$A:$A, $C302), AC$1, "")</f>
        <v/>
      </c>
      <c r="AD302" s="132" t="str">
        <f>IF(COUNTIF(AIS!$A:$A, $C302), AD$1, "")</f>
        <v/>
      </c>
      <c r="AE302" s="132" t="str">
        <f>IF(COUNTIF(EB!$A:$A, $C302), AE$1, "")</f>
        <v/>
      </c>
      <c r="AF302" s="132" t="str">
        <f>IF(COUNTIF('AIAM-A'!$A:$A, $C302), AF$1, "")</f>
        <v/>
      </c>
      <c r="AG302" s="132" t="str">
        <f>IF(COUNTIF('AIAM-B'!$A:$A, $C302), AG$1, "")</f>
        <v/>
      </c>
      <c r="AH302" s="132" t="str">
        <f>IF(COUNTIF('SA-A'!$A:$A, $C302), AH$1, "")</f>
        <v>SPORTS ANALYTICS (A)</v>
      </c>
      <c r="AI302" s="132" t="str">
        <f>IF(COUNTIF('SA-B'!$A:$A, $C302), AI$1, "")</f>
        <v/>
      </c>
      <c r="AJ302" s="132" t="str">
        <f>IF(COUNTIF(CSM!$A:$A, $C302), AJ$1, "")</f>
        <v/>
      </c>
      <c r="AK302" s="132" t="str">
        <f>IF(COUNTIF(EM!$A:$A, $C302), AK$1, "")</f>
        <v/>
      </c>
      <c r="AL302" s="132" t="str">
        <f>IF(COUNTIF(I4TS!$A:$A, $C302), AL$1, "")</f>
        <v/>
      </c>
    </row>
    <row r="303" spans="1:38" ht="13">
      <c r="A303" s="131">
        <v>302</v>
      </c>
      <c r="B303" s="131" t="s">
        <v>1063</v>
      </c>
      <c r="C303" s="131" t="s">
        <v>1191</v>
      </c>
      <c r="D303" s="106" t="s">
        <v>1192</v>
      </c>
      <c r="E303" s="106" t="s">
        <v>1193</v>
      </c>
      <c r="F303" s="131">
        <f t="shared" ca="1" si="1"/>
        <v>5</v>
      </c>
      <c r="G303" s="106" t="str">
        <f ca="1">IFERROR(__xludf.DUMMYFUNCTION("INDEX(FILTER($P303:$AL303, $P303:$AL303 &lt;&gt; """"), 1)"),"Fintech (Digital Transformation in Finance) (A)")</f>
        <v>Fintech (Digital Transformation in Finance) (A)</v>
      </c>
      <c r="H303" s="106" t="str">
        <f ca="1">IFERROR(__xludf.DUMMYFUNCTION("INDEX(FILTER($P303:$AL303, $P303:$AL303 &lt;&gt; """"), 2)"),"AI Applications in Marketing (B)")</f>
        <v>AI Applications in Marketing (B)</v>
      </c>
      <c r="I303" s="106" t="str">
        <f ca="1">IFERROR(__xludf.DUMMYFUNCTION("INDEX(FILTER($P303:$AL303, $P303:$AL303 &lt;&gt; """"), 3)"),"Industry 4.0 in Transport Sector")</f>
        <v>Industry 4.0 in Transport Sector</v>
      </c>
      <c r="J303" s="106" t="str">
        <f ca="1">IFERROR(__xludf.DUMMYFUNCTION("IFERROR(INDEX(FILTER($P303:$AL303, $P303:$AL303 &lt;&gt; """"), 4),)"),"")</f>
        <v/>
      </c>
      <c r="K303" s="106" t="str">
        <f ca="1">IFERROR(__xludf.DUMMYFUNCTION("IFERROR(INDEX(FILTER($P303:$AL303, $P303:$AL303 &lt;&gt; """"), 5),)"),"")</f>
        <v/>
      </c>
      <c r="L303" s="107"/>
      <c r="M303" s="107"/>
      <c r="N303" s="107"/>
      <c r="O303" s="107"/>
      <c r="P303" s="132" t="str">
        <f>IF(COUNTIF('Fintech-A'!$A:$A, $C303), P$1, "")</f>
        <v>Fintech (Digital Transformation in Finance) (A)</v>
      </c>
      <c r="Q303" s="132" t="str">
        <f>IF(COUNTIF('Fintech-B'!$A:$A, $C303), Q$1, "")</f>
        <v/>
      </c>
      <c r="R303" s="132" t="str">
        <f>IF(COUNTIF('BEDM-A'!$A:$A, $C303), R$1, "")</f>
        <v/>
      </c>
      <c r="S303" s="132" t="str">
        <f>IF(COUNTIF('BEDM-B'!$A:$A, $C303), S$1, "")</f>
        <v/>
      </c>
      <c r="T303" s="132" t="str">
        <f>IF(COUNTIF('Art-A'!$A:$A, $C303), T$1, "")</f>
        <v/>
      </c>
      <c r="U303" s="132" t="str">
        <f>IF(COUNTIF('Art-B'!$A:$A, $C303), U$1, "")</f>
        <v/>
      </c>
      <c r="V303" s="132" t="str">
        <f>IF(COUNTIF('WH-A'!$A:$A, $C303), V$1, "")</f>
        <v/>
      </c>
      <c r="W303" s="132" t="str">
        <f>IF(COUNTIF('WH-B'!$A:$A, $C303), W$1, "")</f>
        <v/>
      </c>
      <c r="X303" s="132" t="str">
        <f>IF(COUNTIF(LETV!$A:$A, $C303), X$1, "")</f>
        <v/>
      </c>
      <c r="Y303" s="132" t="str">
        <f>IF(COUNTIF('Film&amp;Firm-A'!$A:$A, $C303), Y$1, "")</f>
        <v/>
      </c>
      <c r="Z303" s="132" t="str">
        <f>IF(COUNTIF('Film&amp;Firm-B'!$A:$A, $C303), Z$1, "")</f>
        <v/>
      </c>
      <c r="AA303" s="132" t="str">
        <f>IF(COUNTIF(SHRM!$A:$A, $C303), AA$1, "")</f>
        <v/>
      </c>
      <c r="AB303" s="132" t="str">
        <f>IF(COUNTIF('SCM-A'!$A:$A, $C303), AB$1, "")</f>
        <v/>
      </c>
      <c r="AC303" s="132" t="str">
        <f>IF(COUNTIF('SCM-B'!$A:$A, $C303), AC$1, "")</f>
        <v/>
      </c>
      <c r="AD303" s="132" t="str">
        <f>IF(COUNTIF(AIS!$A:$A, $C303), AD$1, "")</f>
        <v/>
      </c>
      <c r="AE303" s="132" t="str">
        <f>IF(COUNTIF(EB!$A:$A, $C303), AE$1, "")</f>
        <v/>
      </c>
      <c r="AF303" s="132" t="str">
        <f>IF(COUNTIF('AIAM-A'!$A:$A, $C303), AF$1, "")</f>
        <v/>
      </c>
      <c r="AG303" s="132" t="str">
        <f>IF(COUNTIF('AIAM-B'!$A:$A, $C303), AG$1, "")</f>
        <v>AI Applications in Marketing (B)</v>
      </c>
      <c r="AH303" s="132" t="str">
        <f>IF(COUNTIF('SA-A'!$A:$A, $C303), AH$1, "")</f>
        <v/>
      </c>
      <c r="AI303" s="132" t="str">
        <f>IF(COUNTIF('SA-B'!$A:$A, $C303), AI$1, "")</f>
        <v/>
      </c>
      <c r="AJ303" s="132" t="str">
        <f>IF(COUNTIF(CSM!$A:$A, $C303), AJ$1, "")</f>
        <v/>
      </c>
      <c r="AK303" s="132" t="str">
        <f>IF(COUNTIF(EM!$A:$A, $C303), AK$1, "")</f>
        <v/>
      </c>
      <c r="AL303" s="132" t="str">
        <f>IF(COUNTIF(I4TS!$A:$A, $C303), AL$1, "")</f>
        <v>Industry 4.0 in Transport Sector</v>
      </c>
    </row>
    <row r="304" spans="1:38" ht="13">
      <c r="A304" s="131">
        <v>303</v>
      </c>
      <c r="B304" s="131" t="s">
        <v>1063</v>
      </c>
      <c r="C304" s="131" t="s">
        <v>1194</v>
      </c>
      <c r="D304" s="106" t="s">
        <v>1195</v>
      </c>
      <c r="E304" s="106" t="s">
        <v>1196</v>
      </c>
      <c r="F304" s="131">
        <f t="shared" ca="1" si="1"/>
        <v>5</v>
      </c>
      <c r="G304" s="106" t="str">
        <f ca="1">IFERROR(__xludf.DUMMYFUNCTION("INDEX(FILTER($P304:$AL304, $P304:$AL304 &lt;&gt; """"), 1)"),"Fintech (Digital Transformation in Finance) (A)")</f>
        <v>Fintech (Digital Transformation in Finance) (A)</v>
      </c>
      <c r="H304" s="106" t="str">
        <f ca="1">IFERROR(__xludf.DUMMYFUNCTION("INDEX(FILTER($P304:$AL304, $P304:$AL304 &lt;&gt; """"), 2)"),"Behavioural Economics and Decision-Making (A)")</f>
        <v>Behavioural Economics and Decision-Making (A)</v>
      </c>
      <c r="I304" s="106" t="str">
        <f ca="1">IFERROR(__xludf.DUMMYFUNCTION("INDEX(FILTER($P304:$AL304, $P304:$AL304 &lt;&gt; """"), 3)"),"Strategic Career Management (B)")</f>
        <v>Strategic Career Management (B)</v>
      </c>
      <c r="J304" s="106" t="str">
        <f ca="1">IFERROR(__xludf.DUMMYFUNCTION("IFERROR(INDEX(FILTER($P304:$AL304, $P304:$AL304 &lt;&gt; """"), 4),)"),"AI Applications in Marketing (B)")</f>
        <v>AI Applications in Marketing (B)</v>
      </c>
      <c r="K304" s="106" t="str">
        <f ca="1">IFERROR(__xludf.DUMMYFUNCTION("IFERROR(INDEX(FILTER($P304:$AL304, $P304:$AL304 &lt;&gt; """"), 5),)"),"Entrepreneurial Marketing")</f>
        <v>Entrepreneurial Marketing</v>
      </c>
      <c r="L304" s="107"/>
      <c r="M304" s="107"/>
      <c r="N304" s="107"/>
      <c r="O304" s="107"/>
      <c r="P304" s="132" t="str">
        <f>IF(COUNTIF('Fintech-A'!$A:$A, $C304), P$1, "")</f>
        <v>Fintech (Digital Transformation in Finance) (A)</v>
      </c>
      <c r="Q304" s="132" t="str">
        <f>IF(COUNTIF('Fintech-B'!$A:$A, $C304), Q$1, "")</f>
        <v/>
      </c>
      <c r="R304" s="132" t="str">
        <f>IF(COUNTIF('BEDM-A'!$A:$A, $C304), R$1, "")</f>
        <v>Behavioural Economics and Decision-Making (A)</v>
      </c>
      <c r="S304" s="132" t="str">
        <f>IF(COUNTIF('BEDM-B'!$A:$A, $C304), S$1, "")</f>
        <v/>
      </c>
      <c r="T304" s="132" t="str">
        <f>IF(COUNTIF('Art-A'!$A:$A, $C304), T$1, "")</f>
        <v/>
      </c>
      <c r="U304" s="132" t="str">
        <f>IF(COUNTIF('Art-B'!$A:$A, $C304), U$1, "")</f>
        <v/>
      </c>
      <c r="V304" s="132" t="str">
        <f>IF(COUNTIF('WH-A'!$A:$A, $C304), V$1, "")</f>
        <v/>
      </c>
      <c r="W304" s="132" t="str">
        <f>IF(COUNTIF('WH-B'!$A:$A, $C304), W$1, "")</f>
        <v/>
      </c>
      <c r="X304" s="132" t="str">
        <f>IF(COUNTIF(LETV!$A:$A, $C304), X$1, "")</f>
        <v/>
      </c>
      <c r="Y304" s="132" t="str">
        <f>IF(COUNTIF('Film&amp;Firm-A'!$A:$A, $C304), Y$1, "")</f>
        <v/>
      </c>
      <c r="Z304" s="132" t="str">
        <f>IF(COUNTIF('Film&amp;Firm-B'!$A:$A, $C304), Z$1, "")</f>
        <v/>
      </c>
      <c r="AA304" s="132" t="str">
        <f>IF(COUNTIF(SHRM!$A:$A, $C304), AA$1, "")</f>
        <v/>
      </c>
      <c r="AB304" s="132" t="str">
        <f>IF(COUNTIF('SCM-A'!$A:$A, $C304), AB$1, "")</f>
        <v/>
      </c>
      <c r="AC304" s="132" t="str">
        <f>IF(COUNTIF('SCM-B'!$A:$A, $C304), AC$1, "")</f>
        <v>Strategic Career Management (B)</v>
      </c>
      <c r="AD304" s="132" t="str">
        <f>IF(COUNTIF(AIS!$A:$A, $C304), AD$1, "")</f>
        <v/>
      </c>
      <c r="AE304" s="132" t="str">
        <f>IF(COUNTIF(EB!$A:$A, $C304), AE$1, "")</f>
        <v/>
      </c>
      <c r="AF304" s="132" t="str">
        <f>IF(COUNTIF('AIAM-A'!$A:$A, $C304), AF$1, "")</f>
        <v/>
      </c>
      <c r="AG304" s="132" t="str">
        <f>IF(COUNTIF('AIAM-B'!$A:$A, $C304), AG$1, "")</f>
        <v>AI Applications in Marketing (B)</v>
      </c>
      <c r="AH304" s="132" t="str">
        <f>IF(COUNTIF('SA-A'!$A:$A, $C304), AH$1, "")</f>
        <v/>
      </c>
      <c r="AI304" s="132" t="str">
        <f>IF(COUNTIF('SA-B'!$A:$A, $C304), AI$1, "")</f>
        <v/>
      </c>
      <c r="AJ304" s="132" t="str">
        <f>IF(COUNTIF(CSM!$A:$A, $C304), AJ$1, "")</f>
        <v/>
      </c>
      <c r="AK304" s="132" t="str">
        <f>IF(COUNTIF(EM!$A:$A, $C304), AK$1, "")</f>
        <v>Entrepreneurial Marketing</v>
      </c>
      <c r="AL304" s="132" t="str">
        <f>IF(COUNTIF(I4TS!$A:$A, $C304), AL$1, "")</f>
        <v/>
      </c>
    </row>
    <row r="305" spans="1:38" ht="13">
      <c r="A305" s="131">
        <v>304</v>
      </c>
      <c r="B305" s="131" t="s">
        <v>1063</v>
      </c>
      <c r="C305" s="131" t="s">
        <v>1197</v>
      </c>
      <c r="D305" s="106" t="s">
        <v>1198</v>
      </c>
      <c r="E305" s="136" t="s">
        <v>1199</v>
      </c>
      <c r="F305" s="131">
        <f t="shared" ca="1" si="1"/>
        <v>5</v>
      </c>
      <c r="G305" s="106" t="str">
        <f ca="1">IFERROR(__xludf.DUMMYFUNCTION("INDEX(FILTER($P305:$AL305, $P305:$AL305 &lt;&gt; """"), 1)"),"Behavioural Economics and Decision-Making (A)")</f>
        <v>Behavioural Economics and Decision-Making (A)</v>
      </c>
      <c r="H305" s="106" t="str">
        <f ca="1">IFERROR(__xludf.DUMMYFUNCTION("INDEX(FILTER($P305:$AL305, $P305:$AL305 &lt;&gt; """"), 2)"),"AI Applications in Marketing (B)")</f>
        <v>AI Applications in Marketing (B)</v>
      </c>
      <c r="I305" s="106" t="str">
        <f ca="1">IFERROR(__xludf.DUMMYFUNCTION("INDEX(FILTER($P305:$AL305, $P305:$AL305 &lt;&gt; """"), 3)"),"Customer Success Management")</f>
        <v>Customer Success Management</v>
      </c>
      <c r="J305" s="106" t="str">
        <f ca="1">IFERROR(__xludf.DUMMYFUNCTION("IFERROR(INDEX(FILTER($P305:$AL305, $P305:$AL305 &lt;&gt; """"), 4),)"),"")</f>
        <v/>
      </c>
      <c r="K305" s="106" t="str">
        <f ca="1">IFERROR(__xludf.DUMMYFUNCTION("IFERROR(INDEX(FILTER($P305:$AL305, $P305:$AL305 &lt;&gt; """"), 5),)"),"")</f>
        <v/>
      </c>
      <c r="L305" s="107"/>
      <c r="M305" s="107"/>
      <c r="N305" s="107"/>
      <c r="O305" s="107"/>
      <c r="P305" s="132" t="str">
        <f>IF(COUNTIF('Fintech-A'!$A:$A, $C305), P$1, "")</f>
        <v/>
      </c>
      <c r="Q305" s="132" t="str">
        <f>IF(COUNTIF('Fintech-B'!$A:$A, $C305), Q$1, "")</f>
        <v/>
      </c>
      <c r="R305" s="132" t="str">
        <f>IF(COUNTIF('BEDM-A'!$A:$A, $C305), R$1, "")</f>
        <v>Behavioural Economics and Decision-Making (A)</v>
      </c>
      <c r="S305" s="132" t="str">
        <f>IF(COUNTIF('BEDM-B'!$A:$A, $C305), S$1, "")</f>
        <v/>
      </c>
      <c r="T305" s="132" t="str">
        <f>IF(COUNTIF('Art-A'!$A:$A, $C305), T$1, "")</f>
        <v/>
      </c>
      <c r="U305" s="132" t="str">
        <f>IF(COUNTIF('Art-B'!$A:$A, $C305), U$1, "")</f>
        <v/>
      </c>
      <c r="V305" s="132" t="str">
        <f>IF(COUNTIF('WH-A'!$A:$A, $C305), V$1, "")</f>
        <v/>
      </c>
      <c r="W305" s="132" t="str">
        <f>IF(COUNTIF('WH-B'!$A:$A, $C305), W$1, "")</f>
        <v/>
      </c>
      <c r="X305" s="132" t="str">
        <f>IF(COUNTIF(LETV!$A:$A, $C305), X$1, "")</f>
        <v/>
      </c>
      <c r="Y305" s="132" t="str">
        <f>IF(COUNTIF('Film&amp;Firm-A'!$A:$A, $C305), Y$1, "")</f>
        <v/>
      </c>
      <c r="Z305" s="132" t="str">
        <f>IF(COUNTIF('Film&amp;Firm-B'!$A:$A, $C305), Z$1, "")</f>
        <v/>
      </c>
      <c r="AA305" s="132" t="str">
        <f>IF(COUNTIF(SHRM!$A:$A, $C305), AA$1, "")</f>
        <v/>
      </c>
      <c r="AB305" s="132" t="str">
        <f>IF(COUNTIF('SCM-A'!$A:$A, $C305), AB$1, "")</f>
        <v/>
      </c>
      <c r="AC305" s="132" t="str">
        <f>IF(COUNTIF('SCM-B'!$A:$A, $C305), AC$1, "")</f>
        <v/>
      </c>
      <c r="AD305" s="132" t="str">
        <f>IF(COUNTIF(AIS!$A:$A, $C305), AD$1, "")</f>
        <v/>
      </c>
      <c r="AE305" s="132" t="str">
        <f>IF(COUNTIF(EB!$A:$A, $C305), AE$1, "")</f>
        <v/>
      </c>
      <c r="AF305" s="132" t="str">
        <f>IF(COUNTIF('AIAM-A'!$A:$A, $C305), AF$1, "")</f>
        <v/>
      </c>
      <c r="AG305" s="132" t="str">
        <f>IF(COUNTIF('AIAM-B'!$A:$A, $C305), AG$1, "")</f>
        <v>AI Applications in Marketing (B)</v>
      </c>
      <c r="AH305" s="132" t="str">
        <f>IF(COUNTIF('SA-A'!$A:$A, $C305), AH$1, "")</f>
        <v/>
      </c>
      <c r="AI305" s="132" t="str">
        <f>IF(COUNTIF('SA-B'!$A:$A, $C305), AI$1, "")</f>
        <v/>
      </c>
      <c r="AJ305" s="132" t="str">
        <f>IF(COUNTIF(CSM!$A:$A, $C305), AJ$1, "")</f>
        <v>Customer Success Management</v>
      </c>
      <c r="AK305" s="132" t="str">
        <f>IF(COUNTIF(EM!$A:$A, $C305), AK$1, "")</f>
        <v/>
      </c>
      <c r="AL305" s="132" t="str">
        <f>IF(COUNTIF(I4TS!$A:$A, $C305), AL$1, "")</f>
        <v/>
      </c>
    </row>
    <row r="306" spans="1:38" ht="13">
      <c r="A306" s="131">
        <v>305</v>
      </c>
      <c r="B306" s="131" t="s">
        <v>1063</v>
      </c>
      <c r="C306" s="131" t="s">
        <v>1200</v>
      </c>
      <c r="D306" s="106" t="s">
        <v>1201</v>
      </c>
      <c r="E306" s="106" t="s">
        <v>1202</v>
      </c>
      <c r="F306" s="131">
        <f t="shared" ca="1" si="1"/>
        <v>5</v>
      </c>
      <c r="G306" s="106" t="str">
        <f ca="1">IFERROR(__xludf.DUMMYFUNCTION("INDEX(FILTER($P306:$AL306, $P306:$AL306 &lt;&gt; """"), 1)"),"Fintech (Digital Transformation in Finance) (A)")</f>
        <v>Fintech (Digital Transformation in Finance) (A)</v>
      </c>
      <c r="H306" s="106" t="str">
        <f ca="1">IFERROR(__xludf.DUMMYFUNCTION("INDEX(FILTER($P306:$AL306, $P306:$AL306 &lt;&gt; """"), 2)"),"AI AND  STRATEGY")</f>
        <v>AI AND  STRATEGY</v>
      </c>
      <c r="I306" s="106" t="str">
        <f ca="1">IFERROR(__xludf.DUMMYFUNCTION("INDEX(FILTER($P306:$AL306, $P306:$AL306 &lt;&gt; """"), 3)"),"AI Applications in Marketing (B)")</f>
        <v>AI Applications in Marketing (B)</v>
      </c>
      <c r="J306" s="106" t="str">
        <f ca="1">IFERROR(__xludf.DUMMYFUNCTION("IFERROR(INDEX(FILTER($P306:$AL306, $P306:$AL306 &lt;&gt; """"), 4),)"),"SPORTS ANALYTICS (B)")</f>
        <v>SPORTS ANALYTICS (B)</v>
      </c>
      <c r="K306" s="106" t="str">
        <f ca="1">IFERROR(__xludf.DUMMYFUNCTION("IFERROR(INDEX(FILTER($P306:$AL306, $P306:$AL306 &lt;&gt; """"), 5),)"),"Industry 4.0 in Transport Sector")</f>
        <v>Industry 4.0 in Transport Sector</v>
      </c>
      <c r="L306" s="107"/>
      <c r="M306" s="107"/>
      <c r="N306" s="107"/>
      <c r="O306" s="107"/>
      <c r="P306" s="132" t="str">
        <f>IF(COUNTIF('Fintech-A'!$A:$A, $C306), P$1, "")</f>
        <v>Fintech (Digital Transformation in Finance) (A)</v>
      </c>
      <c r="Q306" s="132" t="str">
        <f>IF(COUNTIF('Fintech-B'!$A:$A, $C306), Q$1, "")</f>
        <v/>
      </c>
      <c r="R306" s="132" t="str">
        <f>IF(COUNTIF('BEDM-A'!$A:$A, $C306), R$1, "")</f>
        <v/>
      </c>
      <c r="S306" s="132" t="str">
        <f>IF(COUNTIF('BEDM-B'!$A:$A, $C306), S$1, "")</f>
        <v/>
      </c>
      <c r="T306" s="132" t="str">
        <f>IF(COUNTIF('Art-A'!$A:$A, $C306), T$1, "")</f>
        <v/>
      </c>
      <c r="U306" s="132" t="str">
        <f>IF(COUNTIF('Art-B'!$A:$A, $C306), U$1, "")</f>
        <v/>
      </c>
      <c r="V306" s="132" t="str">
        <f>IF(COUNTIF('WH-A'!$A:$A, $C306), V$1, "")</f>
        <v/>
      </c>
      <c r="W306" s="132" t="str">
        <f>IF(COUNTIF('WH-B'!$A:$A, $C306), W$1, "")</f>
        <v/>
      </c>
      <c r="X306" s="132" t="str">
        <f>IF(COUNTIF(LETV!$A:$A, $C306), X$1, "")</f>
        <v/>
      </c>
      <c r="Y306" s="132" t="str">
        <f>IF(COUNTIF('Film&amp;Firm-A'!$A:$A, $C306), Y$1, "")</f>
        <v/>
      </c>
      <c r="Z306" s="132" t="str">
        <f>IF(COUNTIF('Film&amp;Firm-B'!$A:$A, $C306), Z$1, "")</f>
        <v/>
      </c>
      <c r="AA306" s="132" t="str">
        <f>IF(COUNTIF(SHRM!$A:$A, $C306), AA$1, "")</f>
        <v/>
      </c>
      <c r="AB306" s="132" t="str">
        <f>IF(COUNTIF('SCM-A'!$A:$A, $C306), AB$1, "")</f>
        <v/>
      </c>
      <c r="AC306" s="132" t="str">
        <f>IF(COUNTIF('SCM-B'!$A:$A, $C306), AC$1, "")</f>
        <v/>
      </c>
      <c r="AD306" s="132" t="str">
        <f>IF(COUNTIF(AIS!$A:$A, $C306), AD$1, "")</f>
        <v>AI AND  STRATEGY</v>
      </c>
      <c r="AE306" s="132" t="str">
        <f>IF(COUNTIF(EB!$A:$A, $C306), AE$1, "")</f>
        <v/>
      </c>
      <c r="AF306" s="132" t="str">
        <f>IF(COUNTIF('AIAM-A'!$A:$A, $C306), AF$1, "")</f>
        <v/>
      </c>
      <c r="AG306" s="132" t="str">
        <f>IF(COUNTIF('AIAM-B'!$A:$A, $C306), AG$1, "")</f>
        <v>AI Applications in Marketing (B)</v>
      </c>
      <c r="AH306" s="132" t="str">
        <f>IF(COUNTIF('SA-A'!$A:$A, $C306), AH$1, "")</f>
        <v/>
      </c>
      <c r="AI306" s="132" t="str">
        <f>IF(COUNTIF('SA-B'!$A:$A, $C306), AI$1, "")</f>
        <v>SPORTS ANALYTICS (B)</v>
      </c>
      <c r="AJ306" s="132" t="str">
        <f>IF(COUNTIF(CSM!$A:$A, $C306), AJ$1, "")</f>
        <v/>
      </c>
      <c r="AK306" s="132" t="str">
        <f>IF(COUNTIF(EM!$A:$A, $C306), AK$1, "")</f>
        <v/>
      </c>
      <c r="AL306" s="132" t="str">
        <f>IF(COUNTIF(I4TS!$A:$A, $C306), AL$1, "")</f>
        <v>Industry 4.0 in Transport Sector</v>
      </c>
    </row>
    <row r="307" spans="1:38" ht="13">
      <c r="A307" s="131">
        <v>306</v>
      </c>
      <c r="B307" s="131" t="s">
        <v>1063</v>
      </c>
      <c r="C307" s="131" t="s">
        <v>312</v>
      </c>
      <c r="D307" s="106" t="s">
        <v>1203</v>
      </c>
      <c r="E307" s="106" t="s">
        <v>1204</v>
      </c>
      <c r="F307" s="131">
        <f t="shared" ca="1" si="1"/>
        <v>5</v>
      </c>
      <c r="G307" s="106" t="str">
        <f ca="1">IFERROR(__xludf.DUMMYFUNCTION("INDEX(FILTER($P307:$AL307, $P307:$AL307 &lt;&gt; """"), 1)"),"The Art, Craft, and Science of Management: Learning through Classics and Best Collections (B)")</f>
        <v>The Art, Craft, and Science of Management: Learning through Classics and Best Collections (B)</v>
      </c>
      <c r="H307" s="106" t="str">
        <f ca="1">IFERROR(__xludf.DUMMYFUNCTION("INDEX(FILTER($P307:$AL307, $P307:$AL307 &lt;&gt; """"), 2)"),"Workplace Happiness: Science &amp; Practice (A)")</f>
        <v>Workplace Happiness: Science &amp; Practice (A)</v>
      </c>
      <c r="I307" s="106" t="str">
        <f ca="1">IFERROR(__xludf.DUMMYFUNCTION("INDEX(FILTER($P307:$AL307, $P307:$AL307 &lt;&gt; """"), 3)"),"Leadership Excellence Through Values : Wisdom from the Mahabharata")</f>
        <v>Leadership Excellence Through Values : Wisdom from the Mahabharata</v>
      </c>
      <c r="J307" s="106" t="str">
        <f ca="1">IFERROR(__xludf.DUMMYFUNCTION("IFERROR(INDEX(FILTER($P307:$AL307, $P307:$AL307 &lt;&gt; """"), 4),)"),"Strategic Career Management (A)")</f>
        <v>Strategic Career Management (A)</v>
      </c>
      <c r="K307" s="106" t="str">
        <f ca="1">IFERROR(__xludf.DUMMYFUNCTION("IFERROR(INDEX(FILTER($P307:$AL307, $P307:$AL307 &lt;&gt; """"), 5),)"),"Industry 4.0 in Transport Sector")</f>
        <v>Industry 4.0 in Transport Sector</v>
      </c>
      <c r="L307" s="107"/>
      <c r="M307" s="107"/>
      <c r="N307" s="107"/>
      <c r="O307" s="107"/>
      <c r="P307" s="132" t="str">
        <f>IF(COUNTIF('Fintech-A'!$A:$A, $C307), P$1, "")</f>
        <v/>
      </c>
      <c r="Q307" s="132" t="str">
        <f>IF(COUNTIF('Fintech-B'!$A:$A, $C307), Q$1, "")</f>
        <v/>
      </c>
      <c r="R307" s="132" t="str">
        <f>IF(COUNTIF('BEDM-A'!$A:$A, $C307), R$1, "")</f>
        <v/>
      </c>
      <c r="S307" s="132" t="str">
        <f>IF(COUNTIF('BEDM-B'!$A:$A, $C307), S$1, "")</f>
        <v/>
      </c>
      <c r="T307" s="132" t="str">
        <f>IF(COUNTIF('Art-A'!$A:$A, $C307), T$1, "")</f>
        <v/>
      </c>
      <c r="U307" s="132" t="str">
        <f>IF(COUNTIF('Art-B'!$A:$A, $C307), U$1, "")</f>
        <v>The Art, Craft, and Science of Management: Learning through Classics and Best Collections (B)</v>
      </c>
      <c r="V307" s="132" t="str">
        <f>IF(COUNTIF('WH-A'!$A:$A, $C307), V$1, "")</f>
        <v>Workplace Happiness: Science &amp; Practice (A)</v>
      </c>
      <c r="W307" s="132" t="str">
        <f>IF(COUNTIF('WH-B'!$A:$A, $C307), W$1, "")</f>
        <v/>
      </c>
      <c r="X307" s="132" t="str">
        <f>IF(COUNTIF(LETV!$A:$A, $C307), X$1, "")</f>
        <v>Leadership Excellence Through Values : Wisdom from the Mahabharata</v>
      </c>
      <c r="Y307" s="132" t="str">
        <f>IF(COUNTIF('Film&amp;Firm-A'!$A:$A, $C307), Y$1, "")</f>
        <v/>
      </c>
      <c r="Z307" s="132" t="str">
        <f>IF(COUNTIF('Film&amp;Firm-B'!$A:$A, $C307), Z$1, "")</f>
        <v/>
      </c>
      <c r="AA307" s="132" t="str">
        <f>IF(COUNTIF(SHRM!$A:$A, $C307), AA$1, "")</f>
        <v/>
      </c>
      <c r="AB307" s="132" t="str">
        <f>IF(COUNTIF('SCM-A'!$A:$A, $C307), AB$1, "")</f>
        <v>Strategic Career Management (A)</v>
      </c>
      <c r="AC307" s="132" t="str">
        <f>IF(COUNTIF('SCM-B'!$A:$A, $C307), AC$1, "")</f>
        <v/>
      </c>
      <c r="AD307" s="132" t="str">
        <f>IF(COUNTIF(AIS!$A:$A, $C307), AD$1, "")</f>
        <v/>
      </c>
      <c r="AE307" s="132" t="str">
        <f>IF(COUNTIF(EB!$A:$A, $C307), AE$1, "")</f>
        <v/>
      </c>
      <c r="AF307" s="132" t="str">
        <f>IF(COUNTIF('AIAM-A'!$A:$A, $C307), AF$1, "")</f>
        <v/>
      </c>
      <c r="AG307" s="132" t="str">
        <f>IF(COUNTIF('AIAM-B'!$A:$A, $C307), AG$1, "")</f>
        <v/>
      </c>
      <c r="AH307" s="132" t="str">
        <f>IF(COUNTIF('SA-A'!$A:$A, $C307), AH$1, "")</f>
        <v/>
      </c>
      <c r="AI307" s="132" t="str">
        <f>IF(COUNTIF('SA-B'!$A:$A, $C307), AI$1, "")</f>
        <v/>
      </c>
      <c r="AJ307" s="132" t="str">
        <f>IF(COUNTIF(CSM!$A:$A, $C307), AJ$1, "")</f>
        <v/>
      </c>
      <c r="AK307" s="132" t="str">
        <f>IF(COUNTIF(EM!$A:$A, $C307), AK$1, "")</f>
        <v/>
      </c>
      <c r="AL307" s="132" t="str">
        <f>IF(COUNTIF(I4TS!$A:$A, $C307), AL$1, "")</f>
        <v>Industry 4.0 in Transport Sector</v>
      </c>
    </row>
    <row r="308" spans="1:38" ht="13">
      <c r="A308" s="131">
        <v>307</v>
      </c>
      <c r="B308" s="131" t="s">
        <v>1063</v>
      </c>
      <c r="C308" s="131" t="s">
        <v>1205</v>
      </c>
      <c r="D308" s="106" t="s">
        <v>1206</v>
      </c>
      <c r="E308" s="106" t="s">
        <v>1207</v>
      </c>
      <c r="F308" s="131">
        <f t="shared" ca="1" si="1"/>
        <v>5</v>
      </c>
      <c r="G308" s="106" t="str">
        <f ca="1">IFERROR(__xludf.DUMMYFUNCTION("INDEX(FILTER($P308:$AL308, $P308:$AL308 &lt;&gt; """"), 1)"),"Strategic HRM")</f>
        <v>Strategic HRM</v>
      </c>
      <c r="H308" s="106" t="str">
        <f ca="1">IFERROR(__xludf.DUMMYFUNCTION("INDEX(FILTER($P308:$AL308, $P308:$AL308 &lt;&gt; """"), 2)"),"Strategic Career Management (A)")</f>
        <v>Strategic Career Management (A)</v>
      </c>
      <c r="I308" s="106" t="str">
        <f ca="1">IFERROR(__xludf.DUMMYFUNCTION("INDEX(FILTER($P308:$AL308, $P308:$AL308 &lt;&gt; """"), 3)"),"Industry 4.0 in Transport Sector")</f>
        <v>Industry 4.0 in Transport Sector</v>
      </c>
      <c r="J308" s="106" t="str">
        <f ca="1">IFERROR(__xludf.DUMMYFUNCTION("IFERROR(INDEX(FILTER($P308:$AL308, $P308:$AL308 &lt;&gt; """"), 4),)"),"")</f>
        <v/>
      </c>
      <c r="K308" s="106" t="str">
        <f ca="1">IFERROR(__xludf.DUMMYFUNCTION("IFERROR(INDEX(FILTER($P308:$AL308, $P308:$AL308 &lt;&gt; """"), 5),)"),"")</f>
        <v/>
      </c>
      <c r="L308" s="107"/>
      <c r="M308" s="107"/>
      <c r="N308" s="107"/>
      <c r="O308" s="107"/>
      <c r="P308" s="132" t="str">
        <f>IF(COUNTIF('Fintech-A'!$A:$A, $C308), P$1, "")</f>
        <v/>
      </c>
      <c r="Q308" s="132" t="str">
        <f>IF(COUNTIF('Fintech-B'!$A:$A, $C308), Q$1, "")</f>
        <v/>
      </c>
      <c r="R308" s="132" t="str">
        <f>IF(COUNTIF('BEDM-A'!$A:$A, $C308), R$1, "")</f>
        <v/>
      </c>
      <c r="S308" s="132" t="str">
        <f>IF(COUNTIF('BEDM-B'!$A:$A, $C308), S$1, "")</f>
        <v/>
      </c>
      <c r="T308" s="132" t="str">
        <f>IF(COUNTIF('Art-A'!$A:$A, $C308), T$1, "")</f>
        <v/>
      </c>
      <c r="U308" s="132" t="str">
        <f>IF(COUNTIF('Art-B'!$A:$A, $C308), U$1, "")</f>
        <v/>
      </c>
      <c r="V308" s="132" t="str">
        <f>IF(COUNTIF('WH-A'!$A:$A, $C308), V$1, "")</f>
        <v/>
      </c>
      <c r="W308" s="132" t="str">
        <f>IF(COUNTIF('WH-B'!$A:$A, $C308), W$1, "")</f>
        <v/>
      </c>
      <c r="X308" s="132" t="str">
        <f>IF(COUNTIF(LETV!$A:$A, $C308), X$1, "")</f>
        <v/>
      </c>
      <c r="Y308" s="132" t="str">
        <f>IF(COUNTIF('Film&amp;Firm-A'!$A:$A, $C308), Y$1, "")</f>
        <v/>
      </c>
      <c r="Z308" s="132" t="str">
        <f>IF(COUNTIF('Film&amp;Firm-B'!$A:$A, $C308), Z$1, "")</f>
        <v/>
      </c>
      <c r="AA308" s="132" t="str">
        <f>IF(COUNTIF(SHRM!$A:$A, $C308), AA$1, "")</f>
        <v>Strategic HRM</v>
      </c>
      <c r="AB308" s="132" t="str">
        <f>IF(COUNTIF('SCM-A'!$A:$A, $C308), AB$1, "")</f>
        <v>Strategic Career Management (A)</v>
      </c>
      <c r="AC308" s="132" t="str">
        <f>IF(COUNTIF('SCM-B'!$A:$A, $C308), AC$1, "")</f>
        <v/>
      </c>
      <c r="AD308" s="132" t="str">
        <f>IF(COUNTIF(AIS!$A:$A, $C308), AD$1, "")</f>
        <v/>
      </c>
      <c r="AE308" s="132" t="str">
        <f>IF(COUNTIF(EB!$A:$A, $C308), AE$1, "")</f>
        <v/>
      </c>
      <c r="AF308" s="132" t="str">
        <f>IF(COUNTIF('AIAM-A'!$A:$A, $C308), AF$1, "")</f>
        <v/>
      </c>
      <c r="AG308" s="132" t="str">
        <f>IF(COUNTIF('AIAM-B'!$A:$A, $C308), AG$1, "")</f>
        <v/>
      </c>
      <c r="AH308" s="132" t="str">
        <f>IF(COUNTIF('SA-A'!$A:$A, $C308), AH$1, "")</f>
        <v/>
      </c>
      <c r="AI308" s="132" t="str">
        <f>IF(COUNTIF('SA-B'!$A:$A, $C308), AI$1, "")</f>
        <v/>
      </c>
      <c r="AJ308" s="132" t="str">
        <f>IF(COUNTIF(CSM!$A:$A, $C308), AJ$1, "")</f>
        <v/>
      </c>
      <c r="AK308" s="132" t="str">
        <f>IF(COUNTIF(EM!$A:$A, $C308), AK$1, "")</f>
        <v/>
      </c>
      <c r="AL308" s="132" t="str">
        <f>IF(COUNTIF(I4TS!$A:$A, $C308), AL$1, "")</f>
        <v>Industry 4.0 in Transport Sector</v>
      </c>
    </row>
    <row r="309" spans="1:38" ht="14.5">
      <c r="A309" s="131">
        <v>308</v>
      </c>
      <c r="B309" s="131" t="s">
        <v>1063</v>
      </c>
      <c r="C309" s="131" t="s">
        <v>246</v>
      </c>
      <c r="D309" s="137" t="s">
        <v>1208</v>
      </c>
      <c r="E309" s="138" t="s">
        <v>1209</v>
      </c>
      <c r="F309" s="131">
        <f t="shared" ca="1" si="1"/>
        <v>5</v>
      </c>
      <c r="G309" s="106" t="str">
        <f ca="1">IFERROR(__xludf.DUMMYFUNCTION("INDEX(FILTER($P309:$AL309, $P309:$AL309 &lt;&gt; """"), 1)"),"Fintech (Digital Transformation in Finance) (B)")</f>
        <v>Fintech (Digital Transformation in Finance) (B)</v>
      </c>
      <c r="H309" s="106" t="str">
        <f ca="1">IFERROR(__xludf.DUMMYFUNCTION("INDEX(FILTER($P309:$AL309, $P309:$AL309 &lt;&gt; """"), 2)"),"AI Applications in Marketing (A)")</f>
        <v>AI Applications in Marketing (A)</v>
      </c>
      <c r="I309" s="106" t="str">
        <f ca="1">IFERROR(__xludf.DUMMYFUNCTION("INDEX(FILTER($P309:$AL309, $P309:$AL309 &lt;&gt; """"), 3)"),"SPORTS ANALYTICS (A)")</f>
        <v>SPORTS ANALYTICS (A)</v>
      </c>
      <c r="J309" s="106" t="str">
        <f ca="1">IFERROR(__xludf.DUMMYFUNCTION("IFERROR(INDEX(FILTER($P309:$AL309, $P309:$AL309 &lt;&gt; """"), 4),)"),"")</f>
        <v/>
      </c>
      <c r="K309" s="106" t="str">
        <f ca="1">IFERROR(__xludf.DUMMYFUNCTION("IFERROR(INDEX(FILTER($P309:$AL309, $P309:$AL309 &lt;&gt; """"), 5),)"),"")</f>
        <v/>
      </c>
      <c r="L309" s="107"/>
      <c r="M309" s="107"/>
      <c r="N309" s="107"/>
      <c r="O309" s="107"/>
      <c r="P309" s="132" t="str">
        <f>IF(COUNTIF('Fintech-A'!$A:$A, $C309), P$1, "")</f>
        <v/>
      </c>
      <c r="Q309" s="132" t="str">
        <f>IF(COUNTIF('Fintech-B'!$A:$A, $C309), Q$1, "")</f>
        <v>Fintech (Digital Transformation in Finance) (B)</v>
      </c>
      <c r="R309" s="132" t="str">
        <f>IF(COUNTIF('BEDM-A'!$A:$A, $C309), R$1, "")</f>
        <v/>
      </c>
      <c r="S309" s="132" t="str">
        <f>IF(COUNTIF('BEDM-B'!$A:$A, $C309), S$1, "")</f>
        <v/>
      </c>
      <c r="T309" s="132" t="str">
        <f>IF(COUNTIF('Art-A'!$A:$A, $C309), T$1, "")</f>
        <v/>
      </c>
      <c r="U309" s="132" t="str">
        <f>IF(COUNTIF('Art-B'!$A:$A, $C309), U$1, "")</f>
        <v/>
      </c>
      <c r="V309" s="132" t="str">
        <f>IF(COUNTIF('WH-A'!$A:$A, $C309), V$1, "")</f>
        <v/>
      </c>
      <c r="W309" s="132" t="str">
        <f>IF(COUNTIF('WH-B'!$A:$A, $C309), W$1, "")</f>
        <v/>
      </c>
      <c r="X309" s="132" t="str">
        <f>IF(COUNTIF(LETV!$A:$A, $C309), X$1, "")</f>
        <v/>
      </c>
      <c r="Y309" s="132" t="str">
        <f>IF(COUNTIF('Film&amp;Firm-A'!$A:$A, $C309), Y$1, "")</f>
        <v/>
      </c>
      <c r="Z309" s="132" t="str">
        <f>IF(COUNTIF('Film&amp;Firm-B'!$A:$A, $C309), Z$1, "")</f>
        <v/>
      </c>
      <c r="AA309" s="132" t="str">
        <f>IF(COUNTIF(SHRM!$A:$A, $C309), AA$1, "")</f>
        <v/>
      </c>
      <c r="AB309" s="132" t="str">
        <f>IF(COUNTIF('SCM-A'!$A:$A, $C309), AB$1, "")</f>
        <v/>
      </c>
      <c r="AC309" s="132" t="str">
        <f>IF(COUNTIF('SCM-B'!$A:$A, $C309), AC$1, "")</f>
        <v/>
      </c>
      <c r="AD309" s="132" t="str">
        <f>IF(COUNTIF(AIS!$A:$A, $C309), AD$1, "")</f>
        <v/>
      </c>
      <c r="AE309" s="132" t="str">
        <f>IF(COUNTIF(EB!$A:$A, $C309), AE$1, "")</f>
        <v/>
      </c>
      <c r="AF309" s="132" t="str">
        <f>IF(COUNTIF('AIAM-A'!$A:$A, $C309), AF$1, "")</f>
        <v>AI Applications in Marketing (A)</v>
      </c>
      <c r="AG309" s="132" t="str">
        <f>IF(COUNTIF('AIAM-B'!$A:$A, $C309), AG$1, "")</f>
        <v/>
      </c>
      <c r="AH309" s="132" t="str">
        <f>IF(COUNTIF('SA-A'!$A:$A, $C309), AH$1, "")</f>
        <v>SPORTS ANALYTICS (A)</v>
      </c>
      <c r="AI309" s="132" t="str">
        <f>IF(COUNTIF('SA-B'!$A:$A, $C309), AI$1, "")</f>
        <v/>
      </c>
      <c r="AJ309" s="132" t="str">
        <f>IF(COUNTIF(CSM!$A:$A, $C309), AJ$1, "")</f>
        <v/>
      </c>
      <c r="AK309" s="132" t="str">
        <f>IF(COUNTIF(EM!$A:$A, $C309), AK$1, "")</f>
        <v/>
      </c>
      <c r="AL309" s="132" t="str">
        <f>IF(COUNTIF(I4TS!$A:$A, $C309), AL$1, "")</f>
        <v/>
      </c>
    </row>
    <row r="310" spans="1:38" ht="14.5">
      <c r="A310" s="131">
        <v>309</v>
      </c>
      <c r="B310" s="131" t="s">
        <v>1063</v>
      </c>
      <c r="C310" s="131" t="s">
        <v>281</v>
      </c>
      <c r="D310" s="137" t="s">
        <v>1210</v>
      </c>
      <c r="E310" s="106" t="s">
        <v>1211</v>
      </c>
      <c r="F310" s="131">
        <f t="shared" ca="1" si="1"/>
        <v>5</v>
      </c>
      <c r="G310" s="106" t="str">
        <f ca="1">IFERROR(__xludf.DUMMYFUNCTION("INDEX(FILTER($P310:$AL310, $P310:$AL310 &lt;&gt; """"), 1)"),"The Art, Craft, and Science of Management: Learning through Classics and Best Collections (B)")</f>
        <v>The Art, Craft, and Science of Management: Learning through Classics and Best Collections (B)</v>
      </c>
      <c r="H310" s="106" t="str">
        <f ca="1">IFERROR(__xludf.DUMMYFUNCTION("INDEX(FILTER($P310:$AL310, $P310:$AL310 &lt;&gt; """"), 2)"),"Workplace Happiness: Science &amp; Practice (A)")</f>
        <v>Workplace Happiness: Science &amp; Practice (A)</v>
      </c>
      <c r="I310" s="106" t="str">
        <f ca="1">IFERROR(__xludf.DUMMYFUNCTION("INDEX(FILTER($P310:$AL310, $P310:$AL310 &lt;&gt; """"), 3)"),"Film &amp; the Firm: Visual Culture in Business Contexts (A)")</f>
        <v>Film &amp; the Firm: Visual Culture in Business Contexts (A)</v>
      </c>
      <c r="J310" s="106" t="str">
        <f ca="1">IFERROR(__xludf.DUMMYFUNCTION("IFERROR(INDEX(FILTER($P310:$AL310, $P310:$AL310 &lt;&gt; """"), 4),)"),"")</f>
        <v/>
      </c>
      <c r="K310" s="106" t="str">
        <f ca="1">IFERROR(__xludf.DUMMYFUNCTION("IFERROR(INDEX(FILTER($P310:$AL310, $P310:$AL310 &lt;&gt; """"), 5),)"),"")</f>
        <v/>
      </c>
      <c r="L310" s="107"/>
      <c r="M310" s="107"/>
      <c r="N310" s="107"/>
      <c r="O310" s="107"/>
      <c r="P310" s="132" t="str">
        <f>IF(COUNTIF('Fintech-A'!$A:$A, $C310), P$1, "")</f>
        <v/>
      </c>
      <c r="Q310" s="132" t="str">
        <f>IF(COUNTIF('Fintech-B'!$A:$A, $C310), Q$1, "")</f>
        <v/>
      </c>
      <c r="R310" s="132" t="str">
        <f>IF(COUNTIF('BEDM-A'!$A:$A, $C310), R$1, "")</f>
        <v/>
      </c>
      <c r="S310" s="132" t="str">
        <f>IF(COUNTIF('BEDM-B'!$A:$A, $C310), S$1, "")</f>
        <v/>
      </c>
      <c r="T310" s="132" t="str">
        <f>IF(COUNTIF('Art-A'!$A:$A, $C310), T$1, "")</f>
        <v/>
      </c>
      <c r="U310" s="132" t="str">
        <f>IF(COUNTIF('Art-B'!$A:$A, $C310), U$1, "")</f>
        <v>The Art, Craft, and Science of Management: Learning through Classics and Best Collections (B)</v>
      </c>
      <c r="V310" s="132" t="str">
        <f>IF(COUNTIF('WH-A'!$A:$A, $C310), V$1, "")</f>
        <v>Workplace Happiness: Science &amp; Practice (A)</v>
      </c>
      <c r="W310" s="132" t="str">
        <f>IF(COUNTIF('WH-B'!$A:$A, $C310), W$1, "")</f>
        <v/>
      </c>
      <c r="X310" s="132" t="str">
        <f>IF(COUNTIF(LETV!$A:$A, $C310), X$1, "")</f>
        <v/>
      </c>
      <c r="Y310" s="132" t="str">
        <f>IF(COUNTIF('Film&amp;Firm-A'!$A:$A, $C310), Y$1, "")</f>
        <v>Film &amp; the Firm: Visual Culture in Business Contexts (A)</v>
      </c>
      <c r="Z310" s="132" t="str">
        <f>IF(COUNTIF('Film&amp;Firm-B'!$A:$A, $C310), Z$1, "")</f>
        <v/>
      </c>
      <c r="AA310" s="132" t="str">
        <f>IF(COUNTIF(SHRM!$A:$A, $C310), AA$1, "")</f>
        <v/>
      </c>
      <c r="AB310" s="132" t="str">
        <f>IF(COUNTIF('SCM-A'!$A:$A, $C310), AB$1, "")</f>
        <v/>
      </c>
      <c r="AC310" s="132" t="str">
        <f>IF(COUNTIF('SCM-B'!$A:$A, $C310), AC$1, "")</f>
        <v/>
      </c>
      <c r="AD310" s="132" t="str">
        <f>IF(COUNTIF(AIS!$A:$A, $C310), AD$1, "")</f>
        <v/>
      </c>
      <c r="AE310" s="132" t="str">
        <f>IF(COUNTIF(EB!$A:$A, $C310), AE$1, "")</f>
        <v/>
      </c>
      <c r="AF310" s="132" t="str">
        <f>IF(COUNTIF('AIAM-A'!$A:$A, $C310), AF$1, "")</f>
        <v/>
      </c>
      <c r="AG310" s="132" t="str">
        <f>IF(COUNTIF('AIAM-B'!$A:$A, $C310), AG$1, "")</f>
        <v/>
      </c>
      <c r="AH310" s="132" t="str">
        <f>IF(COUNTIF('SA-A'!$A:$A, $C310), AH$1, "")</f>
        <v/>
      </c>
      <c r="AI310" s="132" t="str">
        <f>IF(COUNTIF('SA-B'!$A:$A, $C310), AI$1, "")</f>
        <v/>
      </c>
      <c r="AJ310" s="132" t="str">
        <f>IF(COUNTIF(CSM!$A:$A, $C310), AJ$1, "")</f>
        <v/>
      </c>
      <c r="AK310" s="132" t="str">
        <f>IF(COUNTIF(EM!$A:$A, $C310), AK$1, "")</f>
        <v/>
      </c>
      <c r="AL310" s="132" t="str">
        <f>IF(COUNTIF(I4TS!$A:$A, $C310), AL$1, "")</f>
        <v/>
      </c>
    </row>
    <row r="311" spans="1:38" ht="14.5">
      <c r="A311" s="131">
        <v>310</v>
      </c>
      <c r="B311" s="131" t="s">
        <v>1063</v>
      </c>
      <c r="C311" s="131" t="s">
        <v>250</v>
      </c>
      <c r="D311" s="137" t="s">
        <v>1212</v>
      </c>
      <c r="E311" s="106" t="s">
        <v>1213</v>
      </c>
      <c r="F311" s="131">
        <f t="shared" ca="1" si="1"/>
        <v>5</v>
      </c>
      <c r="G311" s="106" t="str">
        <f ca="1">IFERROR(__xludf.DUMMYFUNCTION("INDEX(FILTER($P311:$AL311, $P311:$AL311 &lt;&gt; """"), 1)"),"Behavioural Economics and Decision-Making (A)")</f>
        <v>Behavioural Economics and Decision-Making (A)</v>
      </c>
      <c r="H311" s="106" t="str">
        <f ca="1">IFERROR(__xludf.DUMMYFUNCTION("INDEX(FILTER($P311:$AL311, $P311:$AL311 &lt;&gt; """"), 2)"),"The Art, Craft, and Science of Management: Learning through Classics and Best Collections (B)")</f>
        <v>The Art, Craft, and Science of Management: Learning through Classics and Best Collections (B)</v>
      </c>
      <c r="I311" s="106" t="str">
        <f ca="1">IFERROR(__xludf.DUMMYFUNCTION("INDEX(FILTER($P311:$AL311, $P311:$AL311 &lt;&gt; """"), 3)"),"Workplace Happiness: Science &amp; Practice (B)")</f>
        <v>Workplace Happiness: Science &amp; Practice (B)</v>
      </c>
      <c r="J311" s="106" t="str">
        <f ca="1">IFERROR(__xludf.DUMMYFUNCTION("IFERROR(INDEX(FILTER($P311:$AL311, $P311:$AL311 &lt;&gt; """"), 4),)"),"")</f>
        <v/>
      </c>
      <c r="K311" s="106" t="str">
        <f ca="1">IFERROR(__xludf.DUMMYFUNCTION("IFERROR(INDEX(FILTER($P311:$AL311, $P311:$AL311 &lt;&gt; """"), 5),)"),"")</f>
        <v/>
      </c>
      <c r="L311" s="107"/>
      <c r="M311" s="107"/>
      <c r="N311" s="107"/>
      <c r="O311" s="107"/>
      <c r="P311" s="132" t="str">
        <f>IF(COUNTIF('Fintech-A'!$A:$A, $C311), P$1, "")</f>
        <v/>
      </c>
      <c r="Q311" s="132" t="str">
        <f>IF(COUNTIF('Fintech-B'!$A:$A, $C311), Q$1, "")</f>
        <v/>
      </c>
      <c r="R311" s="132" t="str">
        <f>IF(COUNTIF('BEDM-A'!$A:$A, $C311), R$1, "")</f>
        <v>Behavioural Economics and Decision-Making (A)</v>
      </c>
      <c r="S311" s="132" t="str">
        <f>IF(COUNTIF('BEDM-B'!$A:$A, $C311), S$1, "")</f>
        <v/>
      </c>
      <c r="T311" s="132" t="str">
        <f>IF(COUNTIF('Art-A'!$A:$A, $C311), T$1, "")</f>
        <v/>
      </c>
      <c r="U311" s="132" t="str">
        <f>IF(COUNTIF('Art-B'!$A:$A, $C311), U$1, "")</f>
        <v>The Art, Craft, and Science of Management: Learning through Classics and Best Collections (B)</v>
      </c>
      <c r="V311" s="132" t="str">
        <f>IF(COUNTIF('WH-A'!$A:$A, $C311), V$1, "")</f>
        <v/>
      </c>
      <c r="W311" s="132" t="str">
        <f>IF(COUNTIF('WH-B'!$A:$A, $C311), W$1, "")</f>
        <v>Workplace Happiness: Science &amp; Practice (B)</v>
      </c>
      <c r="X311" s="132" t="str">
        <f>IF(COUNTIF(LETV!$A:$A, $C311), X$1, "")</f>
        <v/>
      </c>
      <c r="Y311" s="132" t="str">
        <f>IF(COUNTIF('Film&amp;Firm-A'!$A:$A, $C311), Y$1, "")</f>
        <v/>
      </c>
      <c r="Z311" s="132" t="str">
        <f>IF(COUNTIF('Film&amp;Firm-B'!$A:$A, $C311), Z$1, "")</f>
        <v/>
      </c>
      <c r="AA311" s="132" t="str">
        <f>IF(COUNTIF(SHRM!$A:$A, $C311), AA$1, "")</f>
        <v/>
      </c>
      <c r="AB311" s="132" t="str">
        <f>IF(COUNTIF('SCM-A'!$A:$A, $C311), AB$1, "")</f>
        <v/>
      </c>
      <c r="AC311" s="132" t="str">
        <f>IF(COUNTIF('SCM-B'!$A:$A, $C311), AC$1, "")</f>
        <v/>
      </c>
      <c r="AD311" s="132" t="str">
        <f>IF(COUNTIF(AIS!$A:$A, $C311), AD$1, "")</f>
        <v/>
      </c>
      <c r="AE311" s="132" t="str">
        <f>IF(COUNTIF(EB!$A:$A, $C311), AE$1, "")</f>
        <v/>
      </c>
      <c r="AF311" s="132" t="str">
        <f>IF(COUNTIF('AIAM-A'!$A:$A, $C311), AF$1, "")</f>
        <v/>
      </c>
      <c r="AG311" s="132" t="str">
        <f>IF(COUNTIF('AIAM-B'!$A:$A, $C311), AG$1, "")</f>
        <v/>
      </c>
      <c r="AH311" s="132" t="str">
        <f>IF(COUNTIF('SA-A'!$A:$A, $C311), AH$1, "")</f>
        <v/>
      </c>
      <c r="AI311" s="132" t="str">
        <f>IF(COUNTIF('SA-B'!$A:$A, $C311), AI$1, "")</f>
        <v/>
      </c>
      <c r="AJ311" s="132" t="str">
        <f>IF(COUNTIF(CSM!$A:$A, $C311), AJ$1, "")</f>
        <v/>
      </c>
      <c r="AK311" s="132" t="str">
        <f>IF(COUNTIF(EM!$A:$A, $C311), AK$1, "")</f>
        <v/>
      </c>
      <c r="AL311" s="132" t="str">
        <f>IF(COUNTIF(I4TS!$A:$A, $C311), AL$1, "")</f>
        <v/>
      </c>
    </row>
    <row r="312" spans="1:38" ht="13">
      <c r="A312" s="131">
        <v>311</v>
      </c>
      <c r="B312" s="131" t="s">
        <v>1063</v>
      </c>
      <c r="C312" s="131" t="s">
        <v>1214</v>
      </c>
      <c r="D312" s="106" t="s">
        <v>1215</v>
      </c>
      <c r="E312" s="106" t="s">
        <v>1216</v>
      </c>
      <c r="F312" s="131">
        <f t="shared" ca="1" si="1"/>
        <v>5</v>
      </c>
      <c r="G312" s="106" t="str">
        <f ca="1">IFERROR(__xludf.DUMMYFUNCTION("INDEX(FILTER($P312:$AL312, $P312:$AL312 &lt;&gt; """"), 1)"),"The Art, Craft, and Science of Management: Learning through Classics and Best Collections (B)")</f>
        <v>The Art, Craft, and Science of Management: Learning through Classics and Best Collections (B)</v>
      </c>
      <c r="H312" s="106" t="str">
        <f ca="1">IFERROR(__xludf.DUMMYFUNCTION("INDEX(FILTER($P312:$AL312, $P312:$AL312 &lt;&gt; """"), 2)"),"Film &amp; the Firm: Visual Culture in Business Contexts (B)")</f>
        <v>Film &amp; the Firm: Visual Culture in Business Contexts (B)</v>
      </c>
      <c r="I312" s="106" t="str">
        <f ca="1">IFERROR(__xludf.DUMMYFUNCTION("INDEX(FILTER($P312:$AL312, $P312:$AL312 &lt;&gt; """"), 3)"),"AI AND  STRATEGY")</f>
        <v>AI AND  STRATEGY</v>
      </c>
      <c r="J312" s="106" t="str">
        <f ca="1">IFERROR(__xludf.DUMMYFUNCTION("IFERROR(INDEX(FILTER($P312:$AL312, $P312:$AL312 &lt;&gt; """"), 4),)"),"")</f>
        <v/>
      </c>
      <c r="K312" s="106" t="str">
        <f ca="1">IFERROR(__xludf.DUMMYFUNCTION("IFERROR(INDEX(FILTER($P312:$AL312, $P312:$AL312 &lt;&gt; """"), 5),)"),"")</f>
        <v/>
      </c>
      <c r="L312" s="107"/>
      <c r="M312" s="107"/>
      <c r="N312" s="107"/>
      <c r="O312" s="107"/>
      <c r="P312" s="132" t="str">
        <f>IF(COUNTIF('Fintech-A'!$A:$A, $C312), P$1, "")</f>
        <v/>
      </c>
      <c r="Q312" s="132" t="str">
        <f>IF(COUNTIF('Fintech-B'!$A:$A, $C312), Q$1, "")</f>
        <v/>
      </c>
      <c r="R312" s="132" t="str">
        <f>IF(COUNTIF('BEDM-A'!$A:$A, $C312), R$1, "")</f>
        <v/>
      </c>
      <c r="S312" s="132" t="str">
        <f>IF(COUNTIF('BEDM-B'!$A:$A, $C312), S$1, "")</f>
        <v/>
      </c>
      <c r="T312" s="132" t="str">
        <f>IF(COUNTIF('Art-A'!$A:$A, $C312), T$1, "")</f>
        <v/>
      </c>
      <c r="U312" s="132" t="str">
        <f>IF(COUNTIF('Art-B'!$A:$A, $C312), U$1, "")</f>
        <v>The Art, Craft, and Science of Management: Learning through Classics and Best Collections (B)</v>
      </c>
      <c r="V312" s="132" t="str">
        <f>IF(COUNTIF('WH-A'!$A:$A, $C312), V$1, "")</f>
        <v/>
      </c>
      <c r="W312" s="132" t="str">
        <f>IF(COUNTIF('WH-B'!$A:$A, $C312), W$1, "")</f>
        <v/>
      </c>
      <c r="X312" s="132" t="str">
        <f>IF(COUNTIF(LETV!$A:$A, $C312), X$1, "")</f>
        <v/>
      </c>
      <c r="Y312" s="132" t="str">
        <f>IF(COUNTIF('Film&amp;Firm-A'!$A:$A, $C312), Y$1, "")</f>
        <v/>
      </c>
      <c r="Z312" s="132" t="str">
        <f>IF(COUNTIF('Film&amp;Firm-B'!$A:$A, $C312), Z$1, "")</f>
        <v>Film &amp; the Firm: Visual Culture in Business Contexts (B)</v>
      </c>
      <c r="AA312" s="132" t="str">
        <f>IF(COUNTIF(SHRM!$A:$A, $C312), AA$1, "")</f>
        <v/>
      </c>
      <c r="AB312" s="132" t="str">
        <f>IF(COUNTIF('SCM-A'!$A:$A, $C312), AB$1, "")</f>
        <v/>
      </c>
      <c r="AC312" s="132" t="str">
        <f>IF(COUNTIF('SCM-B'!$A:$A, $C312), AC$1, "")</f>
        <v/>
      </c>
      <c r="AD312" s="132" t="str">
        <f>IF(COUNTIF(AIS!$A:$A, $C312), AD$1, "")</f>
        <v>AI AND  STRATEGY</v>
      </c>
      <c r="AE312" s="132" t="str">
        <f>IF(COUNTIF(EB!$A:$A, $C312), AE$1, "")</f>
        <v/>
      </c>
      <c r="AF312" s="132" t="str">
        <f>IF(COUNTIF('AIAM-A'!$A:$A, $C312), AF$1, "")</f>
        <v/>
      </c>
      <c r="AG312" s="132" t="str">
        <f>IF(COUNTIF('AIAM-B'!$A:$A, $C312), AG$1, "")</f>
        <v/>
      </c>
      <c r="AH312" s="132" t="str">
        <f>IF(COUNTIF('SA-A'!$A:$A, $C312), AH$1, "")</f>
        <v/>
      </c>
      <c r="AI312" s="132" t="str">
        <f>IF(COUNTIF('SA-B'!$A:$A, $C312), AI$1, "")</f>
        <v/>
      </c>
      <c r="AJ312" s="132" t="str">
        <f>IF(COUNTIF(CSM!$A:$A, $C312), AJ$1, "")</f>
        <v/>
      </c>
      <c r="AK312" s="132" t="str">
        <f>IF(COUNTIF(EM!$A:$A, $C312), AK$1, "")</f>
        <v/>
      </c>
      <c r="AL312" s="132" t="str">
        <f>IF(COUNTIF(I4TS!$A:$A, $C312), AL$1, "")</f>
        <v/>
      </c>
    </row>
    <row r="313" spans="1:38" ht="13">
      <c r="A313" s="131">
        <v>312</v>
      </c>
      <c r="B313" s="131" t="s">
        <v>1063</v>
      </c>
      <c r="C313" s="131" t="s">
        <v>1217</v>
      </c>
      <c r="D313" s="106" t="s">
        <v>1218</v>
      </c>
      <c r="E313" s="106" t="s">
        <v>1219</v>
      </c>
      <c r="F313" s="131">
        <f t="shared" ca="1" si="1"/>
        <v>5</v>
      </c>
      <c r="G313" s="106" t="str">
        <f ca="1">IFERROR(__xludf.DUMMYFUNCTION("INDEX(FILTER($P313:$AL313, $P313:$AL313 &lt;&gt; """"), 1)"),"Fintech (Digital Transformation in Finance) (A)")</f>
        <v>Fintech (Digital Transformation in Finance) (A)</v>
      </c>
      <c r="H313" s="106" t="str">
        <f ca="1">IFERROR(__xludf.DUMMYFUNCTION("INDEX(FILTER($P313:$AL313, $P313:$AL313 &lt;&gt; """"), 2)"),"Behavioural Economics and Decision-Making (B)")</f>
        <v>Behavioural Economics and Decision-Making (B)</v>
      </c>
      <c r="I313" s="106" t="str">
        <f ca="1">IFERROR(__xludf.DUMMYFUNCTION("INDEX(FILTER($P313:$AL313, $P313:$AL313 &lt;&gt; """"), 3)"),"Film &amp; the Firm: Visual Culture in Business Contexts (A)")</f>
        <v>Film &amp; the Firm: Visual Culture in Business Contexts (A)</v>
      </c>
      <c r="J313" s="106" t="str">
        <f ca="1">IFERROR(__xludf.DUMMYFUNCTION("IFERROR(INDEX(FILTER($P313:$AL313, $P313:$AL313 &lt;&gt; """"), 4),)"),"")</f>
        <v/>
      </c>
      <c r="K313" s="106" t="str">
        <f ca="1">IFERROR(__xludf.DUMMYFUNCTION("IFERROR(INDEX(FILTER($P313:$AL313, $P313:$AL313 &lt;&gt; """"), 5),)"),"")</f>
        <v/>
      </c>
      <c r="L313" s="107"/>
      <c r="M313" s="107"/>
      <c r="N313" s="107"/>
      <c r="O313" s="107"/>
      <c r="P313" s="132" t="str">
        <f>IF(COUNTIF('Fintech-A'!$A:$A, $C313), P$1, "")</f>
        <v>Fintech (Digital Transformation in Finance) (A)</v>
      </c>
      <c r="Q313" s="132" t="str">
        <f>IF(COUNTIF('Fintech-B'!$A:$A, $C313), Q$1, "")</f>
        <v/>
      </c>
      <c r="R313" s="132" t="str">
        <f>IF(COUNTIF('BEDM-A'!$A:$A, $C313), R$1, "")</f>
        <v/>
      </c>
      <c r="S313" s="132" t="str">
        <f>IF(COUNTIF('BEDM-B'!$A:$A, $C313), S$1, "")</f>
        <v>Behavioural Economics and Decision-Making (B)</v>
      </c>
      <c r="T313" s="132" t="str">
        <f>IF(COUNTIF('Art-A'!$A:$A, $C313), T$1, "")</f>
        <v/>
      </c>
      <c r="U313" s="132" t="str">
        <f>IF(COUNTIF('Art-B'!$A:$A, $C313), U$1, "")</f>
        <v/>
      </c>
      <c r="V313" s="132" t="str">
        <f>IF(COUNTIF('WH-A'!$A:$A, $C313), V$1, "")</f>
        <v/>
      </c>
      <c r="W313" s="132" t="str">
        <f>IF(COUNTIF('WH-B'!$A:$A, $C313), W$1, "")</f>
        <v/>
      </c>
      <c r="X313" s="132" t="str">
        <f>IF(COUNTIF(LETV!$A:$A, $C313), X$1, "")</f>
        <v/>
      </c>
      <c r="Y313" s="132" t="str">
        <f>IF(COUNTIF('Film&amp;Firm-A'!$A:$A, $C313), Y$1, "")</f>
        <v>Film &amp; the Firm: Visual Culture in Business Contexts (A)</v>
      </c>
      <c r="Z313" s="132" t="str">
        <f>IF(COUNTIF('Film&amp;Firm-B'!$A:$A, $C313), Z$1, "")</f>
        <v/>
      </c>
      <c r="AA313" s="132" t="str">
        <f>IF(COUNTIF(SHRM!$A:$A, $C313), AA$1, "")</f>
        <v/>
      </c>
      <c r="AB313" s="132" t="str">
        <f>IF(COUNTIF('SCM-A'!$A:$A, $C313), AB$1, "")</f>
        <v/>
      </c>
      <c r="AC313" s="132" t="str">
        <f>IF(COUNTIF('SCM-B'!$A:$A, $C313), AC$1, "")</f>
        <v/>
      </c>
      <c r="AD313" s="132" t="str">
        <f>IF(COUNTIF(AIS!$A:$A, $C313), AD$1, "")</f>
        <v/>
      </c>
      <c r="AE313" s="132" t="str">
        <f>IF(COUNTIF(EB!$A:$A, $C313), AE$1, "")</f>
        <v/>
      </c>
      <c r="AF313" s="132" t="str">
        <f>IF(COUNTIF('AIAM-A'!$A:$A, $C313), AF$1, "")</f>
        <v/>
      </c>
      <c r="AG313" s="132" t="str">
        <f>IF(COUNTIF('AIAM-B'!$A:$A, $C313), AG$1, "")</f>
        <v/>
      </c>
      <c r="AH313" s="132" t="str">
        <f>IF(COUNTIF('SA-A'!$A:$A, $C313), AH$1, "")</f>
        <v/>
      </c>
      <c r="AI313" s="132" t="str">
        <f>IF(COUNTIF('SA-B'!$A:$A, $C313), AI$1, "")</f>
        <v/>
      </c>
      <c r="AJ313" s="132" t="str">
        <f>IF(COUNTIF(CSM!$A:$A, $C313), AJ$1, "")</f>
        <v/>
      </c>
      <c r="AK313" s="132" t="str">
        <f>IF(COUNTIF(EM!$A:$A, $C313), AK$1, "")</f>
        <v/>
      </c>
      <c r="AL313" s="132" t="str">
        <f>IF(COUNTIF(I4TS!$A:$A, $C313), AL$1, "")</f>
        <v/>
      </c>
    </row>
    <row r="314" spans="1:38" ht="13">
      <c r="A314" s="131">
        <v>313</v>
      </c>
      <c r="B314" s="131" t="s">
        <v>1063</v>
      </c>
      <c r="C314" s="131" t="s">
        <v>1220</v>
      </c>
      <c r="D314" s="106" t="s">
        <v>1221</v>
      </c>
      <c r="E314" s="136" t="s">
        <v>1222</v>
      </c>
      <c r="F314" s="131">
        <f t="shared" ca="1" si="1"/>
        <v>5</v>
      </c>
      <c r="G314" s="106" t="str">
        <f ca="1">IFERROR(__xludf.DUMMYFUNCTION("INDEX(FILTER($P314:$AL314, $P314:$AL314 &lt;&gt; """"), 1)"),"Workplace Happiness: Science &amp; Practice (A)")</f>
        <v>Workplace Happiness: Science &amp; Practice (A)</v>
      </c>
      <c r="H314" s="106" t="str">
        <f ca="1">IFERROR(__xludf.DUMMYFUNCTION("INDEX(FILTER($P314:$AL314, $P314:$AL314 &lt;&gt; """"), 2)"),"Strategic Career Management (A)")</f>
        <v>Strategic Career Management (A)</v>
      </c>
      <c r="I314" s="106" t="str">
        <f ca="1">IFERROR(__xludf.DUMMYFUNCTION("INDEX(FILTER($P314:$AL314, $P314:$AL314 &lt;&gt; """"), 3)"),"Entrepreneurial Marketing")</f>
        <v>Entrepreneurial Marketing</v>
      </c>
      <c r="J314" s="106" t="str">
        <f ca="1">IFERROR(__xludf.DUMMYFUNCTION("IFERROR(INDEX(FILTER($P314:$AL314, $P314:$AL314 &lt;&gt; """"), 4),)"),"")</f>
        <v/>
      </c>
      <c r="K314" s="106" t="str">
        <f ca="1">IFERROR(__xludf.DUMMYFUNCTION("IFERROR(INDEX(FILTER($P314:$AL314, $P314:$AL314 &lt;&gt; """"), 5),)"),"")</f>
        <v/>
      </c>
      <c r="L314" s="107"/>
      <c r="M314" s="107"/>
      <c r="N314" s="107"/>
      <c r="O314" s="107"/>
      <c r="P314" s="132" t="str">
        <f>IF(COUNTIF('Fintech-A'!$A:$A, $C314), P$1, "")</f>
        <v/>
      </c>
      <c r="Q314" s="132" t="str">
        <f>IF(COUNTIF('Fintech-B'!$A:$A, $C314), Q$1, "")</f>
        <v/>
      </c>
      <c r="R314" s="132" t="str">
        <f>IF(COUNTIF('BEDM-A'!$A:$A, $C314), R$1, "")</f>
        <v/>
      </c>
      <c r="S314" s="132" t="str">
        <f>IF(COUNTIF('BEDM-B'!$A:$A, $C314), S$1, "")</f>
        <v/>
      </c>
      <c r="T314" s="132" t="str">
        <f>IF(COUNTIF('Art-A'!$A:$A, $C314), T$1, "")</f>
        <v/>
      </c>
      <c r="U314" s="132" t="str">
        <f>IF(COUNTIF('Art-B'!$A:$A, $C314), U$1, "")</f>
        <v/>
      </c>
      <c r="V314" s="132" t="str">
        <f>IF(COUNTIF('WH-A'!$A:$A, $C314), V$1, "")</f>
        <v>Workplace Happiness: Science &amp; Practice (A)</v>
      </c>
      <c r="W314" s="132" t="str">
        <f>IF(COUNTIF('WH-B'!$A:$A, $C314), W$1, "")</f>
        <v/>
      </c>
      <c r="X314" s="132" t="str">
        <f>IF(COUNTIF(LETV!$A:$A, $C314), X$1, "")</f>
        <v/>
      </c>
      <c r="Y314" s="132" t="str">
        <f>IF(COUNTIF('Film&amp;Firm-A'!$A:$A, $C314), Y$1, "")</f>
        <v/>
      </c>
      <c r="Z314" s="132" t="str">
        <f>IF(COUNTIF('Film&amp;Firm-B'!$A:$A, $C314), Z$1, "")</f>
        <v/>
      </c>
      <c r="AA314" s="132" t="str">
        <f>IF(COUNTIF(SHRM!$A:$A, $C314), AA$1, "")</f>
        <v/>
      </c>
      <c r="AB314" s="132" t="str">
        <f>IF(COUNTIF('SCM-A'!$A:$A, $C314), AB$1, "")</f>
        <v>Strategic Career Management (A)</v>
      </c>
      <c r="AC314" s="132" t="str">
        <f>IF(COUNTIF('SCM-B'!$A:$A, $C314), AC$1, "")</f>
        <v/>
      </c>
      <c r="AD314" s="132" t="str">
        <f>IF(COUNTIF(AIS!$A:$A, $C314), AD$1, "")</f>
        <v/>
      </c>
      <c r="AE314" s="132" t="str">
        <f>IF(COUNTIF(EB!$A:$A, $C314), AE$1, "")</f>
        <v/>
      </c>
      <c r="AF314" s="132" t="str">
        <f>IF(COUNTIF('AIAM-A'!$A:$A, $C314), AF$1, "")</f>
        <v/>
      </c>
      <c r="AG314" s="132" t="str">
        <f>IF(COUNTIF('AIAM-B'!$A:$A, $C314), AG$1, "")</f>
        <v/>
      </c>
      <c r="AH314" s="132" t="str">
        <f>IF(COUNTIF('SA-A'!$A:$A, $C314), AH$1, "")</f>
        <v/>
      </c>
      <c r="AI314" s="132" t="str">
        <f>IF(COUNTIF('SA-B'!$A:$A, $C314), AI$1, "")</f>
        <v/>
      </c>
      <c r="AJ314" s="132" t="str">
        <f>IF(COUNTIF(CSM!$A:$A, $C314), AJ$1, "")</f>
        <v/>
      </c>
      <c r="AK314" s="132" t="str">
        <f>IF(COUNTIF(EM!$A:$A, $C314), AK$1, "")</f>
        <v>Entrepreneurial Marketing</v>
      </c>
      <c r="AL314" s="132" t="str">
        <f>IF(COUNTIF(I4TS!$A:$A, $C314), AL$1, "")</f>
        <v/>
      </c>
    </row>
    <row r="315" spans="1:38" ht="13">
      <c r="A315" s="131">
        <v>314</v>
      </c>
      <c r="B315" s="131" t="s">
        <v>1063</v>
      </c>
      <c r="C315" s="131" t="s">
        <v>1223</v>
      </c>
      <c r="D315" s="106" t="s">
        <v>1224</v>
      </c>
      <c r="E315" s="136" t="s">
        <v>1225</v>
      </c>
      <c r="F315" s="131">
        <f t="shared" ca="1" si="1"/>
        <v>5</v>
      </c>
      <c r="G315" s="106" t="str">
        <f ca="1">IFERROR(__xludf.DUMMYFUNCTION("INDEX(FILTER($P315:$AL315, $P315:$AL315 &lt;&gt; """"), 1)"),"Strategic HRM")</f>
        <v>Strategic HRM</v>
      </c>
      <c r="H315" s="106" t="str">
        <f ca="1">IFERROR(__xludf.DUMMYFUNCTION("INDEX(FILTER($P315:$AL315, $P315:$AL315 &lt;&gt; """"), 2)"),"Strategic Career Management (B)")</f>
        <v>Strategic Career Management (B)</v>
      </c>
      <c r="I315" s="106" t="str">
        <f ca="1">IFERROR(__xludf.DUMMYFUNCTION("INDEX(FILTER($P315:$AL315, $P315:$AL315 &lt;&gt; """"), 3)"),"SPORTS ANALYTICS (A)")</f>
        <v>SPORTS ANALYTICS (A)</v>
      </c>
      <c r="J315" s="106" t="str">
        <f ca="1">IFERROR(__xludf.DUMMYFUNCTION("IFERROR(INDEX(FILTER($P315:$AL315, $P315:$AL315 &lt;&gt; """"), 4),)"),"")</f>
        <v/>
      </c>
      <c r="K315" s="106" t="str">
        <f ca="1">IFERROR(__xludf.DUMMYFUNCTION("IFERROR(INDEX(FILTER($P315:$AL315, $P315:$AL315 &lt;&gt; """"), 5),)"),"")</f>
        <v/>
      </c>
      <c r="L315" s="107"/>
      <c r="M315" s="107"/>
      <c r="N315" s="107"/>
      <c r="O315" s="107"/>
      <c r="P315" s="132" t="str">
        <f>IF(COUNTIF('Fintech-A'!$A:$A, $C315), P$1, "")</f>
        <v/>
      </c>
      <c r="Q315" s="132" t="str">
        <f>IF(COUNTIF('Fintech-B'!$A:$A, $C315), Q$1, "")</f>
        <v/>
      </c>
      <c r="R315" s="132" t="str">
        <f>IF(COUNTIF('BEDM-A'!$A:$A, $C315), R$1, "")</f>
        <v/>
      </c>
      <c r="S315" s="132" t="str">
        <f>IF(COUNTIF('BEDM-B'!$A:$A, $C315), S$1, "")</f>
        <v/>
      </c>
      <c r="T315" s="132" t="str">
        <f>IF(COUNTIF('Art-A'!$A:$A, $C315), T$1, "")</f>
        <v/>
      </c>
      <c r="U315" s="132" t="str">
        <f>IF(COUNTIF('Art-B'!$A:$A, $C315), U$1, "")</f>
        <v/>
      </c>
      <c r="V315" s="132" t="str">
        <f>IF(COUNTIF('WH-A'!$A:$A, $C315), V$1, "")</f>
        <v/>
      </c>
      <c r="W315" s="132" t="str">
        <f>IF(COUNTIF('WH-B'!$A:$A, $C315), W$1, "")</f>
        <v/>
      </c>
      <c r="X315" s="132" t="str">
        <f>IF(COUNTIF(LETV!$A:$A, $C315), X$1, "")</f>
        <v/>
      </c>
      <c r="Y315" s="132" t="str">
        <f>IF(COUNTIF('Film&amp;Firm-A'!$A:$A, $C315), Y$1, "")</f>
        <v/>
      </c>
      <c r="Z315" s="132" t="str">
        <f>IF(COUNTIF('Film&amp;Firm-B'!$A:$A, $C315), Z$1, "")</f>
        <v/>
      </c>
      <c r="AA315" s="132" t="str">
        <f>IF(COUNTIF(SHRM!$A:$A, $C315), AA$1, "")</f>
        <v>Strategic HRM</v>
      </c>
      <c r="AB315" s="132" t="str">
        <f>IF(COUNTIF('SCM-A'!$A:$A, $C315), AB$1, "")</f>
        <v/>
      </c>
      <c r="AC315" s="132" t="str">
        <f>IF(COUNTIF('SCM-B'!$A:$A, $C315), AC$1, "")</f>
        <v>Strategic Career Management (B)</v>
      </c>
      <c r="AD315" s="132" t="str">
        <f>IF(COUNTIF(AIS!$A:$A, $C315), AD$1, "")</f>
        <v/>
      </c>
      <c r="AE315" s="132" t="str">
        <f>IF(COUNTIF(EB!$A:$A, $C315), AE$1, "")</f>
        <v/>
      </c>
      <c r="AF315" s="132" t="str">
        <f>IF(COUNTIF('AIAM-A'!$A:$A, $C315), AF$1, "")</f>
        <v/>
      </c>
      <c r="AG315" s="132" t="str">
        <f>IF(COUNTIF('AIAM-B'!$A:$A, $C315), AG$1, "")</f>
        <v/>
      </c>
      <c r="AH315" s="132" t="str">
        <f>IF(COUNTIF('SA-A'!$A:$A, $C315), AH$1, "")</f>
        <v>SPORTS ANALYTICS (A)</v>
      </c>
      <c r="AI315" s="132" t="str">
        <f>IF(COUNTIF('SA-B'!$A:$A, $C315), AI$1, "")</f>
        <v/>
      </c>
      <c r="AJ315" s="132" t="str">
        <f>IF(COUNTIF(CSM!$A:$A, $C315), AJ$1, "")</f>
        <v/>
      </c>
      <c r="AK315" s="132" t="str">
        <f>IF(COUNTIF(EM!$A:$A, $C315), AK$1, "")</f>
        <v/>
      </c>
      <c r="AL315" s="132" t="str">
        <f>IF(COUNTIF(I4TS!$A:$A, $C315), AL$1, "")</f>
        <v/>
      </c>
    </row>
    <row r="316" spans="1:38" ht="13">
      <c r="A316" s="131">
        <v>315</v>
      </c>
      <c r="B316" s="131" t="s">
        <v>1063</v>
      </c>
      <c r="C316" s="131" t="s">
        <v>1226</v>
      </c>
      <c r="D316" s="106" t="s">
        <v>1227</v>
      </c>
      <c r="E316" s="106" t="s">
        <v>1228</v>
      </c>
      <c r="F316" s="131">
        <f t="shared" ca="1" si="1"/>
        <v>5</v>
      </c>
      <c r="G316" s="106" t="str">
        <f ca="1">IFERROR(__xludf.DUMMYFUNCTION("INDEX(FILTER($P316:$AL316, $P316:$AL316 &lt;&gt; """"), 1)"),"Employer Branding")</f>
        <v>Employer Branding</v>
      </c>
      <c r="H316" s="106" t="str">
        <f ca="1">IFERROR(__xludf.DUMMYFUNCTION("INDEX(FILTER($P316:$AL316, $P316:$AL316 &lt;&gt; """"), 2)"),"AI Applications in Marketing (A)")</f>
        <v>AI Applications in Marketing (A)</v>
      </c>
      <c r="I316" s="106" t="str">
        <f ca="1">IFERROR(__xludf.DUMMYFUNCTION("INDEX(FILTER($P316:$AL316, $P316:$AL316 &lt;&gt; """"), 3)"),"Entrepreneurial Marketing")</f>
        <v>Entrepreneurial Marketing</v>
      </c>
      <c r="J316" s="106" t="str">
        <f ca="1">IFERROR(__xludf.DUMMYFUNCTION("IFERROR(INDEX(FILTER($P316:$AL316, $P316:$AL316 &lt;&gt; """"), 4),)"),"")</f>
        <v/>
      </c>
      <c r="K316" s="106" t="str">
        <f ca="1">IFERROR(__xludf.DUMMYFUNCTION("IFERROR(INDEX(FILTER($P316:$AL316, $P316:$AL316 &lt;&gt; """"), 5),)"),"")</f>
        <v/>
      </c>
      <c r="L316" s="107"/>
      <c r="M316" s="107"/>
      <c r="N316" s="107"/>
      <c r="O316" s="107"/>
      <c r="P316" s="132" t="str">
        <f>IF(COUNTIF('Fintech-A'!$A:$A, $C316), P$1, "")</f>
        <v/>
      </c>
      <c r="Q316" s="132" t="str">
        <f>IF(COUNTIF('Fintech-B'!$A:$A, $C316), Q$1, "")</f>
        <v/>
      </c>
      <c r="R316" s="132" t="str">
        <f>IF(COUNTIF('BEDM-A'!$A:$A, $C316), R$1, "")</f>
        <v/>
      </c>
      <c r="S316" s="132" t="str">
        <f>IF(COUNTIF('BEDM-B'!$A:$A, $C316), S$1, "")</f>
        <v/>
      </c>
      <c r="T316" s="132" t="str">
        <f>IF(COUNTIF('Art-A'!$A:$A, $C316), T$1, "")</f>
        <v/>
      </c>
      <c r="U316" s="132" t="str">
        <f>IF(COUNTIF('Art-B'!$A:$A, $C316), U$1, "")</f>
        <v/>
      </c>
      <c r="V316" s="132" t="str">
        <f>IF(COUNTIF('WH-A'!$A:$A, $C316), V$1, "")</f>
        <v/>
      </c>
      <c r="W316" s="132" t="str">
        <f>IF(COUNTIF('WH-B'!$A:$A, $C316), W$1, "")</f>
        <v/>
      </c>
      <c r="X316" s="132" t="str">
        <f>IF(COUNTIF(LETV!$A:$A, $C316), X$1, "")</f>
        <v/>
      </c>
      <c r="Y316" s="132" t="str">
        <f>IF(COUNTIF('Film&amp;Firm-A'!$A:$A, $C316), Y$1, "")</f>
        <v/>
      </c>
      <c r="Z316" s="132" t="str">
        <f>IF(COUNTIF('Film&amp;Firm-B'!$A:$A, $C316), Z$1, "")</f>
        <v/>
      </c>
      <c r="AA316" s="132" t="str">
        <f>IF(COUNTIF(SHRM!$A:$A, $C316), AA$1, "")</f>
        <v/>
      </c>
      <c r="AB316" s="132" t="str">
        <f>IF(COUNTIF('SCM-A'!$A:$A, $C316), AB$1, "")</f>
        <v/>
      </c>
      <c r="AC316" s="132" t="str">
        <f>IF(COUNTIF('SCM-B'!$A:$A, $C316), AC$1, "")</f>
        <v/>
      </c>
      <c r="AD316" s="132" t="str">
        <f>IF(COUNTIF(AIS!$A:$A, $C316), AD$1, "")</f>
        <v/>
      </c>
      <c r="AE316" s="132" t="str">
        <f>IF(COUNTIF(EB!$A:$A, $C316), AE$1, "")</f>
        <v>Employer Branding</v>
      </c>
      <c r="AF316" s="132" t="str">
        <f>IF(COUNTIF('AIAM-A'!$A:$A, $C316), AF$1, "")</f>
        <v>AI Applications in Marketing (A)</v>
      </c>
      <c r="AG316" s="132" t="str">
        <f>IF(COUNTIF('AIAM-B'!$A:$A, $C316), AG$1, "")</f>
        <v/>
      </c>
      <c r="AH316" s="132" t="str">
        <f>IF(COUNTIF('SA-A'!$A:$A, $C316), AH$1, "")</f>
        <v/>
      </c>
      <c r="AI316" s="132" t="str">
        <f>IF(COUNTIF('SA-B'!$A:$A, $C316), AI$1, "")</f>
        <v/>
      </c>
      <c r="AJ316" s="132" t="str">
        <f>IF(COUNTIF(CSM!$A:$A, $C316), AJ$1, "")</f>
        <v/>
      </c>
      <c r="AK316" s="132" t="str">
        <f>IF(COUNTIF(EM!$A:$A, $C316), AK$1, "")</f>
        <v>Entrepreneurial Marketing</v>
      </c>
      <c r="AL316" s="132" t="str">
        <f>IF(COUNTIF(I4TS!$A:$A, $C316), AL$1, "")</f>
        <v/>
      </c>
    </row>
    <row r="317" spans="1:38" ht="13">
      <c r="A317" s="131">
        <v>316</v>
      </c>
      <c r="B317" s="131" t="s">
        <v>1063</v>
      </c>
      <c r="C317" s="131" t="s">
        <v>1229</v>
      </c>
      <c r="D317" s="106" t="s">
        <v>1230</v>
      </c>
      <c r="E317" s="136" t="s">
        <v>1231</v>
      </c>
      <c r="F317" s="131">
        <f t="shared" ca="1" si="1"/>
        <v>5</v>
      </c>
      <c r="G317" s="106" t="str">
        <f ca="1">IFERROR(__xludf.DUMMYFUNCTION("INDEX(FILTER($P317:$AL317, $P317:$AL317 &lt;&gt; """"), 1)"),"Behavioural Economics and Decision-Making (A)")</f>
        <v>Behavioural Economics and Decision-Making (A)</v>
      </c>
      <c r="H317" s="106" t="str">
        <f ca="1">IFERROR(__xludf.DUMMYFUNCTION("INDEX(FILTER($P317:$AL317, $P317:$AL317 &lt;&gt; """"), 2)"),"Film &amp; the Firm: Visual Culture in Business Contexts (B)")</f>
        <v>Film &amp; the Firm: Visual Culture in Business Contexts (B)</v>
      </c>
      <c r="I317" s="106" t="str">
        <f ca="1">IFERROR(__xludf.DUMMYFUNCTION("INDEX(FILTER($P317:$AL317, $P317:$AL317 &lt;&gt; """"), 3)"),"Customer Success Management")</f>
        <v>Customer Success Management</v>
      </c>
      <c r="J317" s="106" t="str">
        <f ca="1">IFERROR(__xludf.DUMMYFUNCTION("IFERROR(INDEX(FILTER($P317:$AL317, $P317:$AL317 &lt;&gt; """"), 4),)"),"")</f>
        <v/>
      </c>
      <c r="K317" s="106" t="str">
        <f ca="1">IFERROR(__xludf.DUMMYFUNCTION("IFERROR(INDEX(FILTER($P317:$AL317, $P317:$AL317 &lt;&gt; """"), 5),)"),"")</f>
        <v/>
      </c>
      <c r="L317" s="107"/>
      <c r="M317" s="107"/>
      <c r="N317" s="107"/>
      <c r="O317" s="107"/>
      <c r="P317" s="132" t="str">
        <f>IF(COUNTIF('Fintech-A'!$A:$A, $C317), P$1, "")</f>
        <v/>
      </c>
      <c r="Q317" s="132" t="str">
        <f>IF(COUNTIF('Fintech-B'!$A:$A, $C317), Q$1, "")</f>
        <v/>
      </c>
      <c r="R317" s="132" t="str">
        <f>IF(COUNTIF('BEDM-A'!$A:$A, $C317), R$1, "")</f>
        <v>Behavioural Economics and Decision-Making (A)</v>
      </c>
      <c r="S317" s="132" t="str">
        <f>IF(COUNTIF('BEDM-B'!$A:$A, $C317), S$1, "")</f>
        <v/>
      </c>
      <c r="T317" s="132" t="str">
        <f>IF(COUNTIF('Art-A'!$A:$A, $C317), T$1, "")</f>
        <v/>
      </c>
      <c r="U317" s="132" t="str">
        <f>IF(COUNTIF('Art-B'!$A:$A, $C317), U$1, "")</f>
        <v/>
      </c>
      <c r="V317" s="132" t="str">
        <f>IF(COUNTIF('WH-A'!$A:$A, $C317), V$1, "")</f>
        <v/>
      </c>
      <c r="W317" s="132" t="str">
        <f>IF(COUNTIF('WH-B'!$A:$A, $C317), W$1, "")</f>
        <v/>
      </c>
      <c r="X317" s="132" t="str">
        <f>IF(COUNTIF(LETV!$A:$A, $C317), X$1, "")</f>
        <v/>
      </c>
      <c r="Y317" s="132" t="str">
        <f>IF(COUNTIF('Film&amp;Firm-A'!$A:$A, $C317), Y$1, "")</f>
        <v/>
      </c>
      <c r="Z317" s="132" t="str">
        <f>IF(COUNTIF('Film&amp;Firm-B'!$A:$A, $C317), Z$1, "")</f>
        <v>Film &amp; the Firm: Visual Culture in Business Contexts (B)</v>
      </c>
      <c r="AA317" s="132" t="str">
        <f>IF(COUNTIF(SHRM!$A:$A, $C317), AA$1, "")</f>
        <v/>
      </c>
      <c r="AB317" s="132" t="str">
        <f>IF(COUNTIF('SCM-A'!$A:$A, $C317), AB$1, "")</f>
        <v/>
      </c>
      <c r="AC317" s="132" t="str">
        <f>IF(COUNTIF('SCM-B'!$A:$A, $C317), AC$1, "")</f>
        <v/>
      </c>
      <c r="AD317" s="132" t="str">
        <f>IF(COUNTIF(AIS!$A:$A, $C317), AD$1, "")</f>
        <v/>
      </c>
      <c r="AE317" s="132" t="str">
        <f>IF(COUNTIF(EB!$A:$A, $C317), AE$1, "")</f>
        <v/>
      </c>
      <c r="AF317" s="132" t="str">
        <f>IF(COUNTIF('AIAM-A'!$A:$A, $C317), AF$1, "")</f>
        <v/>
      </c>
      <c r="AG317" s="132" t="str">
        <f>IF(COUNTIF('AIAM-B'!$A:$A, $C317), AG$1, "")</f>
        <v/>
      </c>
      <c r="AH317" s="132" t="str">
        <f>IF(COUNTIF('SA-A'!$A:$A, $C317), AH$1, "")</f>
        <v/>
      </c>
      <c r="AI317" s="132" t="str">
        <f>IF(COUNTIF('SA-B'!$A:$A, $C317), AI$1, "")</f>
        <v/>
      </c>
      <c r="AJ317" s="132" t="str">
        <f>IF(COUNTIF(CSM!$A:$A, $C317), AJ$1, "")</f>
        <v>Customer Success Management</v>
      </c>
      <c r="AK317" s="132" t="str">
        <f>IF(COUNTIF(EM!$A:$A, $C317), AK$1, "")</f>
        <v/>
      </c>
      <c r="AL317" s="132" t="str">
        <f>IF(COUNTIF(I4TS!$A:$A, $C317), AL$1, "")</f>
        <v/>
      </c>
    </row>
    <row r="318" spans="1:38" ht="13">
      <c r="A318" s="131">
        <v>317</v>
      </c>
      <c r="B318" s="131" t="s">
        <v>1063</v>
      </c>
      <c r="C318" s="131" t="s">
        <v>1232</v>
      </c>
      <c r="D318" s="106" t="s">
        <v>1233</v>
      </c>
      <c r="E318" s="136" t="s">
        <v>1234</v>
      </c>
      <c r="F318" s="131">
        <f t="shared" ca="1" si="1"/>
        <v>5</v>
      </c>
      <c r="G318" s="106" t="str">
        <f ca="1">IFERROR(__xludf.DUMMYFUNCTION("INDEX(FILTER($P318:$AL318, $P318:$AL318 &lt;&gt; """"), 1)"),"Film &amp; the Firm: Visual Culture in Business Contexts (A)")</f>
        <v>Film &amp; the Firm: Visual Culture in Business Contexts (A)</v>
      </c>
      <c r="H318" s="106" t="str">
        <f ca="1">IFERROR(__xludf.DUMMYFUNCTION("INDEX(FILTER($P318:$AL318, $P318:$AL318 &lt;&gt; """"), 2)"),"SPORTS ANALYTICS (B)")</f>
        <v>SPORTS ANALYTICS (B)</v>
      </c>
      <c r="I318" s="106" t="str">
        <f ca="1">IFERROR(__xludf.DUMMYFUNCTION("INDEX(FILTER($P318:$AL318, $P318:$AL318 &lt;&gt; """"), 3)"),"Customer Success Management")</f>
        <v>Customer Success Management</v>
      </c>
      <c r="J318" s="106" t="str">
        <f ca="1">IFERROR(__xludf.DUMMYFUNCTION("IFERROR(INDEX(FILTER($P318:$AL318, $P318:$AL318 &lt;&gt; """"), 4),)"),"")</f>
        <v/>
      </c>
      <c r="K318" s="106" t="str">
        <f ca="1">IFERROR(__xludf.DUMMYFUNCTION("IFERROR(INDEX(FILTER($P318:$AL318, $P318:$AL318 &lt;&gt; """"), 5),)"),"")</f>
        <v/>
      </c>
      <c r="L318" s="107"/>
      <c r="M318" s="107"/>
      <c r="N318" s="107"/>
      <c r="O318" s="107"/>
      <c r="P318" s="132" t="str">
        <f>IF(COUNTIF('Fintech-A'!$A:$A, $C318), P$1, "")</f>
        <v/>
      </c>
      <c r="Q318" s="132" t="str">
        <f>IF(COUNTIF('Fintech-B'!$A:$A, $C318), Q$1, "")</f>
        <v/>
      </c>
      <c r="R318" s="132" t="str">
        <f>IF(COUNTIF('BEDM-A'!$A:$A, $C318), R$1, "")</f>
        <v/>
      </c>
      <c r="S318" s="132" t="str">
        <f>IF(COUNTIF('BEDM-B'!$A:$A, $C318), S$1, "")</f>
        <v/>
      </c>
      <c r="T318" s="132" t="str">
        <f>IF(COUNTIF('Art-A'!$A:$A, $C318), T$1, "")</f>
        <v/>
      </c>
      <c r="U318" s="132" t="str">
        <f>IF(COUNTIF('Art-B'!$A:$A, $C318), U$1, "")</f>
        <v/>
      </c>
      <c r="V318" s="132" t="str">
        <f>IF(COUNTIF('WH-A'!$A:$A, $C318), V$1, "")</f>
        <v/>
      </c>
      <c r="W318" s="132" t="str">
        <f>IF(COUNTIF('WH-B'!$A:$A, $C318), W$1, "")</f>
        <v/>
      </c>
      <c r="X318" s="132" t="str">
        <f>IF(COUNTIF(LETV!$A:$A, $C318), X$1, "")</f>
        <v/>
      </c>
      <c r="Y318" s="132" t="str">
        <f>IF(COUNTIF('Film&amp;Firm-A'!$A:$A, $C318), Y$1, "")</f>
        <v>Film &amp; the Firm: Visual Culture in Business Contexts (A)</v>
      </c>
      <c r="Z318" s="132" t="str">
        <f>IF(COUNTIF('Film&amp;Firm-B'!$A:$A, $C318), Z$1, "")</f>
        <v/>
      </c>
      <c r="AA318" s="132" t="str">
        <f>IF(COUNTIF(SHRM!$A:$A, $C318), AA$1, "")</f>
        <v/>
      </c>
      <c r="AB318" s="132" t="str">
        <f>IF(COUNTIF('SCM-A'!$A:$A, $C318), AB$1, "")</f>
        <v/>
      </c>
      <c r="AC318" s="132" t="str">
        <f>IF(COUNTIF('SCM-B'!$A:$A, $C318), AC$1, "")</f>
        <v/>
      </c>
      <c r="AD318" s="132" t="str">
        <f>IF(COUNTIF(AIS!$A:$A, $C318), AD$1, "")</f>
        <v/>
      </c>
      <c r="AE318" s="132" t="str">
        <f>IF(COUNTIF(EB!$A:$A, $C318), AE$1, "")</f>
        <v/>
      </c>
      <c r="AF318" s="132" t="str">
        <f>IF(COUNTIF('AIAM-A'!$A:$A, $C318), AF$1, "")</f>
        <v/>
      </c>
      <c r="AG318" s="132" t="str">
        <f>IF(COUNTIF('AIAM-B'!$A:$A, $C318), AG$1, "")</f>
        <v/>
      </c>
      <c r="AH318" s="132" t="str">
        <f>IF(COUNTIF('SA-A'!$A:$A, $C318), AH$1, "")</f>
        <v/>
      </c>
      <c r="AI318" s="132" t="str">
        <f>IF(COUNTIF('SA-B'!$A:$A, $C318), AI$1, "")</f>
        <v>SPORTS ANALYTICS (B)</v>
      </c>
      <c r="AJ318" s="132" t="str">
        <f>IF(COUNTIF(CSM!$A:$A, $C318), AJ$1, "")</f>
        <v>Customer Success Management</v>
      </c>
      <c r="AK318" s="132" t="str">
        <f>IF(COUNTIF(EM!$A:$A, $C318), AK$1, "")</f>
        <v/>
      </c>
      <c r="AL318" s="132" t="str">
        <f>IF(COUNTIF(I4TS!$A:$A, $C318), AL$1, "")</f>
        <v/>
      </c>
    </row>
    <row r="319" spans="1:38" ht="13">
      <c r="A319" s="131">
        <v>318</v>
      </c>
      <c r="B319" s="131" t="s">
        <v>1063</v>
      </c>
      <c r="C319" s="131" t="s">
        <v>1235</v>
      </c>
      <c r="D319" s="106" t="s">
        <v>1236</v>
      </c>
      <c r="E319" s="106" t="s">
        <v>1237</v>
      </c>
      <c r="F319" s="131">
        <f t="shared" ca="1" si="1"/>
        <v>5</v>
      </c>
      <c r="G319" s="106" t="str">
        <f ca="1">IFERROR(__xludf.DUMMYFUNCTION("INDEX(FILTER($P319:$AL319, $P319:$AL319 &lt;&gt; """"), 1)"),"Behavioural Economics and Decision-Making (A)")</f>
        <v>Behavioural Economics and Decision-Making (A)</v>
      </c>
      <c r="H319" s="106" t="str">
        <f ca="1">IFERROR(__xludf.DUMMYFUNCTION("INDEX(FILTER($P319:$AL319, $P319:$AL319 &lt;&gt; """"), 2)"),"Film &amp; the Firm: Visual Culture in Business Contexts (A)")</f>
        <v>Film &amp; the Firm: Visual Culture in Business Contexts (A)</v>
      </c>
      <c r="I319" s="106" t="str">
        <f ca="1">IFERROR(__xludf.DUMMYFUNCTION("INDEX(FILTER($P319:$AL319, $P319:$AL319 &lt;&gt; """"), 3)"),"SPORTS ANALYTICS (A)")</f>
        <v>SPORTS ANALYTICS (A)</v>
      </c>
      <c r="J319" s="106" t="str">
        <f ca="1">IFERROR(__xludf.DUMMYFUNCTION("IFERROR(INDEX(FILTER($P319:$AL319, $P319:$AL319 &lt;&gt; """"), 4),)"),"")</f>
        <v/>
      </c>
      <c r="K319" s="106" t="str">
        <f ca="1">IFERROR(__xludf.DUMMYFUNCTION("IFERROR(INDEX(FILTER($P319:$AL319, $P319:$AL319 &lt;&gt; """"), 5),)"),"")</f>
        <v/>
      </c>
      <c r="L319" s="107"/>
      <c r="M319" s="107"/>
      <c r="N319" s="107"/>
      <c r="O319" s="107"/>
      <c r="P319" s="132" t="str">
        <f>IF(COUNTIF('Fintech-A'!$A:$A, $C319), P$1, "")</f>
        <v/>
      </c>
      <c r="Q319" s="132" t="str">
        <f>IF(COUNTIF('Fintech-B'!$A:$A, $C319), Q$1, "")</f>
        <v/>
      </c>
      <c r="R319" s="132" t="str">
        <f>IF(COUNTIF('BEDM-A'!$A:$A, $C319), R$1, "")</f>
        <v>Behavioural Economics and Decision-Making (A)</v>
      </c>
      <c r="S319" s="132" t="str">
        <f>IF(COUNTIF('BEDM-B'!$A:$A, $C319), S$1, "")</f>
        <v/>
      </c>
      <c r="T319" s="132" t="str">
        <f>IF(COUNTIF('Art-A'!$A:$A, $C319), T$1, "")</f>
        <v/>
      </c>
      <c r="U319" s="132" t="str">
        <f>IF(COUNTIF('Art-B'!$A:$A, $C319), U$1, "")</f>
        <v/>
      </c>
      <c r="V319" s="132" t="str">
        <f>IF(COUNTIF('WH-A'!$A:$A, $C319), V$1, "")</f>
        <v/>
      </c>
      <c r="W319" s="132" t="str">
        <f>IF(COUNTIF('WH-B'!$A:$A, $C319), W$1, "")</f>
        <v/>
      </c>
      <c r="X319" s="132" t="str">
        <f>IF(COUNTIF(LETV!$A:$A, $C319), X$1, "")</f>
        <v/>
      </c>
      <c r="Y319" s="132" t="str">
        <f>IF(COUNTIF('Film&amp;Firm-A'!$A:$A, $C319), Y$1, "")</f>
        <v>Film &amp; the Firm: Visual Culture in Business Contexts (A)</v>
      </c>
      <c r="Z319" s="132" t="str">
        <f>IF(COUNTIF('Film&amp;Firm-B'!$A:$A, $C319), Z$1, "")</f>
        <v/>
      </c>
      <c r="AA319" s="132" t="str">
        <f>IF(COUNTIF(SHRM!$A:$A, $C319), AA$1, "")</f>
        <v/>
      </c>
      <c r="AB319" s="132" t="str">
        <f>IF(COUNTIF('SCM-A'!$A:$A, $C319), AB$1, "")</f>
        <v/>
      </c>
      <c r="AC319" s="132" t="str">
        <f>IF(COUNTIF('SCM-B'!$A:$A, $C319), AC$1, "")</f>
        <v/>
      </c>
      <c r="AD319" s="132" t="str">
        <f>IF(COUNTIF(AIS!$A:$A, $C319), AD$1, "")</f>
        <v/>
      </c>
      <c r="AE319" s="132" t="str">
        <f>IF(COUNTIF(EB!$A:$A, $C319), AE$1, "")</f>
        <v/>
      </c>
      <c r="AF319" s="132" t="str">
        <f>IF(COUNTIF('AIAM-A'!$A:$A, $C319), AF$1, "")</f>
        <v/>
      </c>
      <c r="AG319" s="132" t="str">
        <f>IF(COUNTIF('AIAM-B'!$A:$A, $C319), AG$1, "")</f>
        <v/>
      </c>
      <c r="AH319" s="132" t="str">
        <f>IF(COUNTIF('SA-A'!$A:$A, $C319), AH$1, "")</f>
        <v>SPORTS ANALYTICS (A)</v>
      </c>
      <c r="AI319" s="132" t="str">
        <f>IF(COUNTIF('SA-B'!$A:$A, $C319), AI$1, "")</f>
        <v/>
      </c>
      <c r="AJ319" s="132" t="str">
        <f>IF(COUNTIF(CSM!$A:$A, $C319), AJ$1, "")</f>
        <v/>
      </c>
      <c r="AK319" s="132" t="str">
        <f>IF(COUNTIF(EM!$A:$A, $C319), AK$1, "")</f>
        <v/>
      </c>
      <c r="AL319" s="132" t="str">
        <f>IF(COUNTIF(I4TS!$A:$A, $C319), AL$1, "")</f>
        <v/>
      </c>
    </row>
    <row r="320" spans="1:38" ht="13">
      <c r="A320" s="131">
        <v>319</v>
      </c>
      <c r="B320" s="131" t="s">
        <v>1063</v>
      </c>
      <c r="C320" s="131" t="s">
        <v>1238</v>
      </c>
      <c r="D320" s="106" t="s">
        <v>1239</v>
      </c>
      <c r="E320" s="136" t="s">
        <v>1240</v>
      </c>
      <c r="F320" s="131">
        <f t="shared" ca="1" si="1"/>
        <v>5</v>
      </c>
      <c r="G320" s="106" t="str">
        <f ca="1">IFERROR(__xludf.DUMMYFUNCTION("INDEX(FILTER($P320:$AL320, $P320:$AL320 &lt;&gt; """"), 1)"),"Behavioural Economics and Decision-Making (B)")</f>
        <v>Behavioural Economics and Decision-Making (B)</v>
      </c>
      <c r="H320" s="106" t="str">
        <f ca="1">IFERROR(__xludf.DUMMYFUNCTION("INDEX(FILTER($P320:$AL320, $P320:$AL320 &lt;&gt; """"), 2)"),"SPORTS ANALYTICS (B)")</f>
        <v>SPORTS ANALYTICS (B)</v>
      </c>
      <c r="I320" s="106" t="str">
        <f ca="1">IFERROR(__xludf.DUMMYFUNCTION("INDEX(FILTER($P320:$AL320, $P320:$AL320 &lt;&gt; """"), 3)"),"Entrepreneurial Marketing")</f>
        <v>Entrepreneurial Marketing</v>
      </c>
      <c r="J320" s="106" t="str">
        <f ca="1">IFERROR(__xludf.DUMMYFUNCTION("IFERROR(INDEX(FILTER($P320:$AL320, $P320:$AL320 &lt;&gt; """"), 4),)"),"")</f>
        <v/>
      </c>
      <c r="K320" s="106" t="str">
        <f ca="1">IFERROR(__xludf.DUMMYFUNCTION("IFERROR(INDEX(FILTER($P320:$AL320, $P320:$AL320 &lt;&gt; """"), 5),)"),"")</f>
        <v/>
      </c>
      <c r="L320" s="107"/>
      <c r="M320" s="107"/>
      <c r="N320" s="107"/>
      <c r="O320" s="107"/>
      <c r="P320" s="132" t="str">
        <f>IF(COUNTIF('Fintech-A'!$A:$A, $C320), P$1, "")</f>
        <v/>
      </c>
      <c r="Q320" s="132" t="str">
        <f>IF(COUNTIF('Fintech-B'!$A:$A, $C320), Q$1, "")</f>
        <v/>
      </c>
      <c r="R320" s="132" t="str">
        <f>IF(COUNTIF('BEDM-A'!$A:$A, $C320), R$1, "")</f>
        <v/>
      </c>
      <c r="S320" s="132" t="str">
        <f>IF(COUNTIF('BEDM-B'!$A:$A, $C320), S$1, "")</f>
        <v>Behavioural Economics and Decision-Making (B)</v>
      </c>
      <c r="T320" s="132" t="str">
        <f>IF(COUNTIF('Art-A'!$A:$A, $C320), T$1, "")</f>
        <v/>
      </c>
      <c r="U320" s="132" t="str">
        <f>IF(COUNTIF('Art-B'!$A:$A, $C320), U$1, "")</f>
        <v/>
      </c>
      <c r="V320" s="132" t="str">
        <f>IF(COUNTIF('WH-A'!$A:$A, $C320), V$1, "")</f>
        <v/>
      </c>
      <c r="W320" s="132" t="str">
        <f>IF(COUNTIF('WH-B'!$A:$A, $C320), W$1, "")</f>
        <v/>
      </c>
      <c r="X320" s="132" t="str">
        <f>IF(COUNTIF(LETV!$A:$A, $C320), X$1, "")</f>
        <v/>
      </c>
      <c r="Y320" s="132" t="str">
        <f>IF(COUNTIF('Film&amp;Firm-A'!$A:$A, $C320), Y$1, "")</f>
        <v/>
      </c>
      <c r="Z320" s="132" t="str">
        <f>IF(COUNTIF('Film&amp;Firm-B'!$A:$A, $C320), Z$1, "")</f>
        <v/>
      </c>
      <c r="AA320" s="132" t="str">
        <f>IF(COUNTIF(SHRM!$A:$A, $C320), AA$1, "")</f>
        <v/>
      </c>
      <c r="AB320" s="132" t="str">
        <f>IF(COUNTIF('SCM-A'!$A:$A, $C320), AB$1, "")</f>
        <v/>
      </c>
      <c r="AC320" s="132" t="str">
        <f>IF(COUNTIF('SCM-B'!$A:$A, $C320), AC$1, "")</f>
        <v/>
      </c>
      <c r="AD320" s="132" t="str">
        <f>IF(COUNTIF(AIS!$A:$A, $C320), AD$1, "")</f>
        <v/>
      </c>
      <c r="AE320" s="132" t="str">
        <f>IF(COUNTIF(EB!$A:$A, $C320), AE$1, "")</f>
        <v/>
      </c>
      <c r="AF320" s="132" t="str">
        <f>IF(COUNTIF('AIAM-A'!$A:$A, $C320), AF$1, "")</f>
        <v/>
      </c>
      <c r="AG320" s="132" t="str">
        <f>IF(COUNTIF('AIAM-B'!$A:$A, $C320), AG$1, "")</f>
        <v/>
      </c>
      <c r="AH320" s="132" t="str">
        <f>IF(COUNTIF('SA-A'!$A:$A, $C320), AH$1, "")</f>
        <v/>
      </c>
      <c r="AI320" s="132" t="str">
        <f>IF(COUNTIF('SA-B'!$A:$A, $C320), AI$1, "")</f>
        <v>SPORTS ANALYTICS (B)</v>
      </c>
      <c r="AJ320" s="132" t="str">
        <f>IF(COUNTIF(CSM!$A:$A, $C320), AJ$1, "")</f>
        <v/>
      </c>
      <c r="AK320" s="132" t="str">
        <f>IF(COUNTIF(EM!$A:$A, $C320), AK$1, "")</f>
        <v>Entrepreneurial Marketing</v>
      </c>
      <c r="AL320" s="132" t="str">
        <f>IF(COUNTIF(I4TS!$A:$A, $C320), AL$1, "")</f>
        <v/>
      </c>
    </row>
    <row r="321" spans="1:38" ht="13">
      <c r="A321" s="131">
        <v>320</v>
      </c>
      <c r="B321" s="131" t="s">
        <v>1063</v>
      </c>
      <c r="C321" s="131" t="s">
        <v>1241</v>
      </c>
      <c r="D321" s="106" t="s">
        <v>1242</v>
      </c>
      <c r="E321" s="106" t="s">
        <v>1243</v>
      </c>
      <c r="F321" s="131">
        <f t="shared" ca="1" si="1"/>
        <v>5</v>
      </c>
      <c r="G321" s="106" t="str">
        <f ca="1">IFERROR(__xludf.DUMMYFUNCTION("INDEX(FILTER($P321:$AL321, $P321:$AL321 &lt;&gt; """"), 1)"),"The Art, Craft, and Science of Management: Learning through Classics and Best Collections (B)")</f>
        <v>The Art, Craft, and Science of Management: Learning through Classics and Best Collections (B)</v>
      </c>
      <c r="H321" s="106" t="str">
        <f ca="1">IFERROR(__xludf.DUMMYFUNCTION("INDEX(FILTER($P321:$AL321, $P321:$AL321 &lt;&gt; """"), 2)"),"Leadership Excellence Through Values : Wisdom from the Mahabharata")</f>
        <v>Leadership Excellence Through Values : Wisdom from the Mahabharata</v>
      </c>
      <c r="I321" s="106" t="str">
        <f ca="1">IFERROR(__xludf.DUMMYFUNCTION("INDEX(FILTER($P321:$AL321, $P321:$AL321 &lt;&gt; """"), 3)"),"Film &amp; the Firm: Visual Culture in Business Contexts (B)")</f>
        <v>Film &amp; the Firm: Visual Culture in Business Contexts (B)</v>
      </c>
      <c r="J321" s="106" t="str">
        <f ca="1">IFERROR(__xludf.DUMMYFUNCTION("IFERROR(INDEX(FILTER($P321:$AL321, $P321:$AL321 &lt;&gt; """"), 4),)"),"")</f>
        <v/>
      </c>
      <c r="K321" s="106" t="str">
        <f ca="1">IFERROR(__xludf.DUMMYFUNCTION("IFERROR(INDEX(FILTER($P321:$AL321, $P321:$AL321 &lt;&gt; """"), 5),)"),"")</f>
        <v/>
      </c>
      <c r="L321" s="107"/>
      <c r="M321" s="107"/>
      <c r="N321" s="107"/>
      <c r="O321" s="107"/>
      <c r="P321" s="132" t="str">
        <f>IF(COUNTIF('Fintech-A'!$A:$A, $C321), P$1, "")</f>
        <v/>
      </c>
      <c r="Q321" s="132" t="str">
        <f>IF(COUNTIF('Fintech-B'!$A:$A, $C321), Q$1, "")</f>
        <v/>
      </c>
      <c r="R321" s="132" t="str">
        <f>IF(COUNTIF('BEDM-A'!$A:$A, $C321), R$1, "")</f>
        <v/>
      </c>
      <c r="S321" s="132" t="str">
        <f>IF(COUNTIF('BEDM-B'!$A:$A, $C321), S$1, "")</f>
        <v/>
      </c>
      <c r="T321" s="132" t="str">
        <f>IF(COUNTIF('Art-A'!$A:$A, $C321), T$1, "")</f>
        <v/>
      </c>
      <c r="U321" s="132" t="str">
        <f>IF(COUNTIF('Art-B'!$A:$A, $C321), U$1, "")</f>
        <v>The Art, Craft, and Science of Management: Learning through Classics and Best Collections (B)</v>
      </c>
      <c r="V321" s="132" t="str">
        <f>IF(COUNTIF('WH-A'!$A:$A, $C321), V$1, "")</f>
        <v/>
      </c>
      <c r="W321" s="132" t="str">
        <f>IF(COUNTIF('WH-B'!$A:$A, $C321), W$1, "")</f>
        <v/>
      </c>
      <c r="X321" s="132" t="str">
        <f>IF(COUNTIF(LETV!$A:$A, $C321), X$1, "")</f>
        <v>Leadership Excellence Through Values : Wisdom from the Mahabharata</v>
      </c>
      <c r="Y321" s="132" t="str">
        <f>IF(COUNTIF('Film&amp;Firm-A'!$A:$A, $C321), Y$1, "")</f>
        <v/>
      </c>
      <c r="Z321" s="132" t="str">
        <f>IF(COUNTIF('Film&amp;Firm-B'!$A:$A, $C321), Z$1, "")</f>
        <v>Film &amp; the Firm: Visual Culture in Business Contexts (B)</v>
      </c>
      <c r="AA321" s="132" t="str">
        <f>IF(COUNTIF(SHRM!$A:$A, $C321), AA$1, "")</f>
        <v/>
      </c>
      <c r="AB321" s="132" t="str">
        <f>IF(COUNTIF('SCM-A'!$A:$A, $C321), AB$1, "")</f>
        <v/>
      </c>
      <c r="AC321" s="132" t="str">
        <f>IF(COUNTIF('SCM-B'!$A:$A, $C321), AC$1, "")</f>
        <v/>
      </c>
      <c r="AD321" s="132" t="str">
        <f>IF(COUNTIF(AIS!$A:$A, $C321), AD$1, "")</f>
        <v/>
      </c>
      <c r="AE321" s="132" t="str">
        <f>IF(COUNTIF(EB!$A:$A, $C321), AE$1, "")</f>
        <v/>
      </c>
      <c r="AF321" s="132" t="str">
        <f>IF(COUNTIF('AIAM-A'!$A:$A, $C321), AF$1, "")</f>
        <v/>
      </c>
      <c r="AG321" s="132" t="str">
        <f>IF(COUNTIF('AIAM-B'!$A:$A, $C321), AG$1, "")</f>
        <v/>
      </c>
      <c r="AH321" s="132" t="str">
        <f>IF(COUNTIF('SA-A'!$A:$A, $C321), AH$1, "")</f>
        <v/>
      </c>
      <c r="AI321" s="132" t="str">
        <f>IF(COUNTIF('SA-B'!$A:$A, $C321), AI$1, "")</f>
        <v/>
      </c>
      <c r="AJ321" s="132" t="str">
        <f>IF(COUNTIF(CSM!$A:$A, $C321), AJ$1, "")</f>
        <v/>
      </c>
      <c r="AK321" s="132" t="str">
        <f>IF(COUNTIF(EM!$A:$A, $C321), AK$1, "")</f>
        <v/>
      </c>
      <c r="AL321" s="132" t="str">
        <f>IF(COUNTIF(I4TS!$A:$A, $C321), AL$1, "")</f>
        <v/>
      </c>
    </row>
    <row r="322" spans="1:38" ht="13">
      <c r="A322" s="131">
        <v>321</v>
      </c>
      <c r="B322" s="131" t="s">
        <v>1063</v>
      </c>
      <c r="C322" s="131" t="s">
        <v>222</v>
      </c>
      <c r="D322" s="106" t="s">
        <v>1244</v>
      </c>
      <c r="E322" s="106" t="s">
        <v>1245</v>
      </c>
      <c r="F322" s="131">
        <f t="shared" ca="1" si="1"/>
        <v>5</v>
      </c>
      <c r="G322" s="106" t="str">
        <f ca="1">IFERROR(__xludf.DUMMYFUNCTION("INDEX(FILTER($P322:$AL322, $P322:$AL322 &lt;&gt; """"), 1)"),"Behavioural Economics and Decision-Making (B)")</f>
        <v>Behavioural Economics and Decision-Making (B)</v>
      </c>
      <c r="H322" s="106" t="str">
        <f ca="1">IFERROR(__xludf.DUMMYFUNCTION("INDEX(FILTER($P322:$AL322, $P322:$AL322 &lt;&gt; """"), 2)"),"AI Applications in Marketing (A)")</f>
        <v>AI Applications in Marketing (A)</v>
      </c>
      <c r="I322" s="106" t="str">
        <f ca="1">IFERROR(__xludf.DUMMYFUNCTION("INDEX(FILTER($P322:$AL322, $P322:$AL322 &lt;&gt; """"), 3)"),"Customer Success Management")</f>
        <v>Customer Success Management</v>
      </c>
      <c r="J322" s="106" t="str">
        <f ca="1">IFERROR(__xludf.DUMMYFUNCTION("IFERROR(INDEX(FILTER($P322:$AL322, $P322:$AL322 &lt;&gt; """"), 4),)"),"")</f>
        <v/>
      </c>
      <c r="K322" s="106" t="str">
        <f ca="1">IFERROR(__xludf.DUMMYFUNCTION("IFERROR(INDEX(FILTER($P322:$AL322, $P322:$AL322 &lt;&gt; """"), 5),)"),"")</f>
        <v/>
      </c>
      <c r="L322" s="107"/>
      <c r="M322" s="107"/>
      <c r="N322" s="107"/>
      <c r="O322" s="107"/>
      <c r="P322" s="132" t="str">
        <f>IF(COUNTIF('Fintech-A'!$A:$A, $C322), P$1, "")</f>
        <v/>
      </c>
      <c r="Q322" s="132" t="str">
        <f>IF(COUNTIF('Fintech-B'!$A:$A, $C322), Q$1, "")</f>
        <v/>
      </c>
      <c r="R322" s="132" t="str">
        <f>IF(COUNTIF('BEDM-A'!$A:$A, $C322), R$1, "")</f>
        <v/>
      </c>
      <c r="S322" s="132" t="str">
        <f>IF(COUNTIF('BEDM-B'!$A:$A, $C322), S$1, "")</f>
        <v>Behavioural Economics and Decision-Making (B)</v>
      </c>
      <c r="T322" s="132" t="str">
        <f>IF(COUNTIF('Art-A'!$A:$A, $C322), T$1, "")</f>
        <v/>
      </c>
      <c r="U322" s="132" t="str">
        <f>IF(COUNTIF('Art-B'!$A:$A, $C322), U$1, "")</f>
        <v/>
      </c>
      <c r="V322" s="132" t="str">
        <f>IF(COUNTIF('WH-A'!$A:$A, $C322), V$1, "")</f>
        <v/>
      </c>
      <c r="W322" s="132" t="str">
        <f>IF(COUNTIF('WH-B'!$A:$A, $C322), W$1, "")</f>
        <v/>
      </c>
      <c r="X322" s="132" t="str">
        <f>IF(COUNTIF(LETV!$A:$A, $C322), X$1, "")</f>
        <v/>
      </c>
      <c r="Y322" s="132" t="str">
        <f>IF(COUNTIF('Film&amp;Firm-A'!$A:$A, $C322), Y$1, "")</f>
        <v/>
      </c>
      <c r="Z322" s="132" t="str">
        <f>IF(COUNTIF('Film&amp;Firm-B'!$A:$A, $C322), Z$1, "")</f>
        <v/>
      </c>
      <c r="AA322" s="132" t="str">
        <f>IF(COUNTIF(SHRM!$A:$A, $C322), AA$1, "")</f>
        <v/>
      </c>
      <c r="AB322" s="132" t="str">
        <f>IF(COUNTIF('SCM-A'!$A:$A, $C322), AB$1, "")</f>
        <v/>
      </c>
      <c r="AC322" s="132" t="str">
        <f>IF(COUNTIF('SCM-B'!$A:$A, $C322), AC$1, "")</f>
        <v/>
      </c>
      <c r="AD322" s="132" t="str">
        <f>IF(COUNTIF(AIS!$A:$A, $C322), AD$1, "")</f>
        <v/>
      </c>
      <c r="AE322" s="132" t="str">
        <f>IF(COUNTIF(EB!$A:$A, $C322), AE$1, "")</f>
        <v/>
      </c>
      <c r="AF322" s="132" t="str">
        <f>IF(COUNTIF('AIAM-A'!$A:$A, $C322), AF$1, "")</f>
        <v>AI Applications in Marketing (A)</v>
      </c>
      <c r="AG322" s="132" t="str">
        <f>IF(COUNTIF('AIAM-B'!$A:$A, $C322), AG$1, "")</f>
        <v/>
      </c>
      <c r="AH322" s="132" t="str">
        <f>IF(COUNTIF('SA-A'!$A:$A, $C322), AH$1, "")</f>
        <v/>
      </c>
      <c r="AI322" s="132" t="str">
        <f>IF(COUNTIF('SA-B'!$A:$A, $C322), AI$1, "")</f>
        <v/>
      </c>
      <c r="AJ322" s="132" t="str">
        <f>IF(COUNTIF(CSM!$A:$A, $C322), AJ$1, "")</f>
        <v>Customer Success Management</v>
      </c>
      <c r="AK322" s="132" t="str">
        <f>IF(COUNTIF(EM!$A:$A, $C322), AK$1, "")</f>
        <v/>
      </c>
      <c r="AL322" s="132" t="str">
        <f>IF(COUNTIF(I4TS!$A:$A, $C322), AL$1, "")</f>
        <v/>
      </c>
    </row>
    <row r="323" spans="1:38" ht="13">
      <c r="A323" s="131">
        <v>322</v>
      </c>
      <c r="B323" s="131" t="s">
        <v>1063</v>
      </c>
      <c r="C323" s="131" t="s">
        <v>1246</v>
      </c>
      <c r="D323" s="106" t="s">
        <v>1247</v>
      </c>
      <c r="E323" s="106" t="s">
        <v>1248</v>
      </c>
      <c r="F323" s="131">
        <f t="shared" ca="1" si="1"/>
        <v>5</v>
      </c>
      <c r="G323" s="106" t="str">
        <f ca="1">IFERROR(__xludf.DUMMYFUNCTION("INDEX(FILTER($P323:$AL323, $P323:$AL323 &lt;&gt; """"), 1)"),"Film &amp; the Firm: Visual Culture in Business Contexts (B)")</f>
        <v>Film &amp; the Firm: Visual Culture in Business Contexts (B)</v>
      </c>
      <c r="H323" s="106" t="str">
        <f ca="1">IFERROR(__xludf.DUMMYFUNCTION("INDEX(FILTER($P323:$AL323, $P323:$AL323 &lt;&gt; """"), 2)"),"Employer Branding")</f>
        <v>Employer Branding</v>
      </c>
      <c r="I323" s="106" t="str">
        <f ca="1">IFERROR(__xludf.DUMMYFUNCTION("INDEX(FILTER($P323:$AL323, $P323:$AL323 &lt;&gt; """"), 3)"),"Customer Success Management")</f>
        <v>Customer Success Management</v>
      </c>
      <c r="J323" s="106" t="str">
        <f ca="1">IFERROR(__xludf.DUMMYFUNCTION("IFERROR(INDEX(FILTER($P323:$AL323, $P323:$AL323 &lt;&gt; """"), 4),)"),"")</f>
        <v/>
      </c>
      <c r="K323" s="106" t="str">
        <f ca="1">IFERROR(__xludf.DUMMYFUNCTION("IFERROR(INDEX(FILTER($P323:$AL323, $P323:$AL323 &lt;&gt; """"), 5),)"),"")</f>
        <v/>
      </c>
      <c r="L323" s="107"/>
      <c r="M323" s="107"/>
      <c r="N323" s="107"/>
      <c r="O323" s="107"/>
      <c r="P323" s="132" t="str">
        <f>IF(COUNTIF('Fintech-A'!$A:$A, $C323), P$1, "")</f>
        <v/>
      </c>
      <c r="Q323" s="132" t="str">
        <f>IF(COUNTIF('Fintech-B'!$A:$A, $C323), Q$1, "")</f>
        <v/>
      </c>
      <c r="R323" s="132" t="str">
        <f>IF(COUNTIF('BEDM-A'!$A:$A, $C323), R$1, "")</f>
        <v/>
      </c>
      <c r="S323" s="132" t="str">
        <f>IF(COUNTIF('BEDM-B'!$A:$A, $C323), S$1, "")</f>
        <v/>
      </c>
      <c r="T323" s="132" t="str">
        <f>IF(COUNTIF('Art-A'!$A:$A, $C323), T$1, "")</f>
        <v/>
      </c>
      <c r="U323" s="132" t="str">
        <f>IF(COUNTIF('Art-B'!$A:$A, $C323), U$1, "")</f>
        <v/>
      </c>
      <c r="V323" s="132" t="str">
        <f>IF(COUNTIF('WH-A'!$A:$A, $C323), V$1, "")</f>
        <v/>
      </c>
      <c r="W323" s="132" t="str">
        <f>IF(COUNTIF('WH-B'!$A:$A, $C323), W$1, "")</f>
        <v/>
      </c>
      <c r="X323" s="132" t="str">
        <f>IF(COUNTIF(LETV!$A:$A, $C323), X$1, "")</f>
        <v/>
      </c>
      <c r="Y323" s="132" t="str">
        <f>IF(COUNTIF('Film&amp;Firm-A'!$A:$A, $C323), Y$1, "")</f>
        <v/>
      </c>
      <c r="Z323" s="132" t="str">
        <f>IF(COUNTIF('Film&amp;Firm-B'!$A:$A, $C323), Z$1, "")</f>
        <v>Film &amp; the Firm: Visual Culture in Business Contexts (B)</v>
      </c>
      <c r="AA323" s="132" t="str">
        <f>IF(COUNTIF(SHRM!$A:$A, $C323), AA$1, "")</f>
        <v/>
      </c>
      <c r="AB323" s="132" t="str">
        <f>IF(COUNTIF('SCM-A'!$A:$A, $C323), AB$1, "")</f>
        <v/>
      </c>
      <c r="AC323" s="132" t="str">
        <f>IF(COUNTIF('SCM-B'!$A:$A, $C323), AC$1, "")</f>
        <v/>
      </c>
      <c r="AD323" s="132" t="str">
        <f>IF(COUNTIF(AIS!$A:$A, $C323), AD$1, "")</f>
        <v/>
      </c>
      <c r="AE323" s="132" t="str">
        <f>IF(COUNTIF(EB!$A:$A, $C323), AE$1, "")</f>
        <v>Employer Branding</v>
      </c>
      <c r="AF323" s="132" t="str">
        <f>IF(COUNTIF('AIAM-A'!$A:$A, $C323), AF$1, "")</f>
        <v/>
      </c>
      <c r="AG323" s="132" t="str">
        <f>IF(COUNTIF('AIAM-B'!$A:$A, $C323), AG$1, "")</f>
        <v/>
      </c>
      <c r="AH323" s="132" t="str">
        <f>IF(COUNTIF('SA-A'!$A:$A, $C323), AH$1, "")</f>
        <v/>
      </c>
      <c r="AI323" s="132" t="str">
        <f>IF(COUNTIF('SA-B'!$A:$A, $C323), AI$1, "")</f>
        <v/>
      </c>
      <c r="AJ323" s="132" t="str">
        <f>IF(COUNTIF(CSM!$A:$A, $C323), AJ$1, "")</f>
        <v>Customer Success Management</v>
      </c>
      <c r="AK323" s="132" t="str">
        <f>IF(COUNTIF(EM!$A:$A, $C323), AK$1, "")</f>
        <v/>
      </c>
      <c r="AL323" s="132" t="str">
        <f>IF(COUNTIF(I4TS!$A:$A, $C323), AL$1, "")</f>
        <v/>
      </c>
    </row>
    <row r="324" spans="1:38" ht="13">
      <c r="A324" s="131">
        <v>323</v>
      </c>
      <c r="B324" s="131" t="s">
        <v>1063</v>
      </c>
      <c r="C324" s="131" t="s">
        <v>1249</v>
      </c>
      <c r="D324" s="106" t="s">
        <v>1250</v>
      </c>
      <c r="E324" s="106" t="s">
        <v>1251</v>
      </c>
      <c r="F324" s="131">
        <f t="shared" ca="1" si="1"/>
        <v>5</v>
      </c>
      <c r="G324" s="106" t="str">
        <f ca="1">IFERROR(__xludf.DUMMYFUNCTION("INDEX(FILTER($P324:$AL324, $P324:$AL324 &lt;&gt; """"), 1)"),"Fintech (Digital Transformation in Finance) (B)")</f>
        <v>Fintech (Digital Transformation in Finance) (B)</v>
      </c>
      <c r="H324" s="106" t="str">
        <f ca="1">IFERROR(__xludf.DUMMYFUNCTION("INDEX(FILTER($P324:$AL324, $P324:$AL324 &lt;&gt; """"), 2)"),"AI AND  STRATEGY")</f>
        <v>AI AND  STRATEGY</v>
      </c>
      <c r="I324" s="106" t="str">
        <f ca="1">IFERROR(__xludf.DUMMYFUNCTION("INDEX(FILTER($P324:$AL324, $P324:$AL324 &lt;&gt; """"), 3)"),"AI Applications in Marketing (A)")</f>
        <v>AI Applications in Marketing (A)</v>
      </c>
      <c r="J324" s="106" t="str">
        <f ca="1">IFERROR(__xludf.DUMMYFUNCTION("IFERROR(INDEX(FILTER($P324:$AL324, $P324:$AL324 &lt;&gt; """"), 4),)"),"")</f>
        <v/>
      </c>
      <c r="K324" s="106" t="str">
        <f ca="1">IFERROR(__xludf.DUMMYFUNCTION("IFERROR(INDEX(FILTER($P324:$AL324, $P324:$AL324 &lt;&gt; """"), 5),)"),"")</f>
        <v/>
      </c>
      <c r="L324" s="107"/>
      <c r="M324" s="107"/>
      <c r="N324" s="107"/>
      <c r="O324" s="107"/>
      <c r="P324" s="132" t="str">
        <f>IF(COUNTIF('Fintech-A'!$A:$A, $C324), P$1, "")</f>
        <v/>
      </c>
      <c r="Q324" s="132" t="str">
        <f>IF(COUNTIF('Fintech-B'!$A:$A, $C324), Q$1, "")</f>
        <v>Fintech (Digital Transformation in Finance) (B)</v>
      </c>
      <c r="R324" s="132" t="str">
        <f>IF(COUNTIF('BEDM-A'!$A:$A, $C324), R$1, "")</f>
        <v/>
      </c>
      <c r="S324" s="132" t="str">
        <f>IF(COUNTIF('BEDM-B'!$A:$A, $C324), S$1, "")</f>
        <v/>
      </c>
      <c r="T324" s="132" t="str">
        <f>IF(COUNTIF('Art-A'!$A:$A, $C324), T$1, "")</f>
        <v/>
      </c>
      <c r="U324" s="132" t="str">
        <f>IF(COUNTIF('Art-B'!$A:$A, $C324), U$1, "")</f>
        <v/>
      </c>
      <c r="V324" s="132" t="str">
        <f>IF(COUNTIF('WH-A'!$A:$A, $C324), V$1, "")</f>
        <v/>
      </c>
      <c r="W324" s="132" t="str">
        <f>IF(COUNTIF('WH-B'!$A:$A, $C324), W$1, "")</f>
        <v/>
      </c>
      <c r="X324" s="132" t="str">
        <f>IF(COUNTIF(LETV!$A:$A, $C324), X$1, "")</f>
        <v/>
      </c>
      <c r="Y324" s="132" t="str">
        <f>IF(COUNTIF('Film&amp;Firm-A'!$A:$A, $C324), Y$1, "")</f>
        <v/>
      </c>
      <c r="Z324" s="132" t="str">
        <f>IF(COUNTIF('Film&amp;Firm-B'!$A:$A, $C324), Z$1, "")</f>
        <v/>
      </c>
      <c r="AA324" s="132" t="str">
        <f>IF(COUNTIF(SHRM!$A:$A, $C324), AA$1, "")</f>
        <v/>
      </c>
      <c r="AB324" s="132" t="str">
        <f>IF(COUNTIF('SCM-A'!$A:$A, $C324), AB$1, "")</f>
        <v/>
      </c>
      <c r="AC324" s="132" t="str">
        <f>IF(COUNTIF('SCM-B'!$A:$A, $C324), AC$1, "")</f>
        <v/>
      </c>
      <c r="AD324" s="132" t="str">
        <f>IF(COUNTIF(AIS!$A:$A, $C324), AD$1, "")</f>
        <v>AI AND  STRATEGY</v>
      </c>
      <c r="AE324" s="132" t="str">
        <f>IF(COUNTIF(EB!$A:$A, $C324), AE$1, "")</f>
        <v/>
      </c>
      <c r="AF324" s="132" t="str">
        <f>IF(COUNTIF('AIAM-A'!$A:$A, $C324), AF$1, "")</f>
        <v>AI Applications in Marketing (A)</v>
      </c>
      <c r="AG324" s="132" t="str">
        <f>IF(COUNTIF('AIAM-B'!$A:$A, $C324), AG$1, "")</f>
        <v/>
      </c>
      <c r="AH324" s="132" t="str">
        <f>IF(COUNTIF('SA-A'!$A:$A, $C324), AH$1, "")</f>
        <v/>
      </c>
      <c r="AI324" s="132" t="str">
        <f>IF(COUNTIF('SA-B'!$A:$A, $C324), AI$1, "")</f>
        <v/>
      </c>
      <c r="AJ324" s="132" t="str">
        <f>IF(COUNTIF(CSM!$A:$A, $C324), AJ$1, "")</f>
        <v/>
      </c>
      <c r="AK324" s="132" t="str">
        <f>IF(COUNTIF(EM!$A:$A, $C324), AK$1, "")</f>
        <v/>
      </c>
      <c r="AL324" s="132" t="str">
        <f>IF(COUNTIF(I4TS!$A:$A, $C324), AL$1, "")</f>
        <v/>
      </c>
    </row>
    <row r="325" spans="1:38" ht="13">
      <c r="A325" s="131">
        <v>324</v>
      </c>
      <c r="B325" s="131" t="s">
        <v>1063</v>
      </c>
      <c r="C325" s="131" t="s">
        <v>1252</v>
      </c>
      <c r="D325" s="106" t="s">
        <v>1253</v>
      </c>
      <c r="E325" s="106" t="s">
        <v>1254</v>
      </c>
      <c r="F325" s="131">
        <f t="shared" ca="1" si="1"/>
        <v>5</v>
      </c>
      <c r="G325" s="106" t="str">
        <f ca="1">IFERROR(__xludf.DUMMYFUNCTION("INDEX(FILTER($P325:$AL325, $P325:$AL325 &lt;&gt; """"), 1)"),"Leadership Excellence Through Values : Wisdom from the Mahabharata")</f>
        <v>Leadership Excellence Through Values : Wisdom from the Mahabharata</v>
      </c>
      <c r="H325" s="106" t="str">
        <f ca="1">IFERROR(__xludf.DUMMYFUNCTION("INDEX(FILTER($P325:$AL325, $P325:$AL325 &lt;&gt; """"), 2)"),"AI Applications in Marketing (B)")</f>
        <v>AI Applications in Marketing (B)</v>
      </c>
      <c r="I325" s="106" t="str">
        <f ca="1">IFERROR(__xludf.DUMMYFUNCTION("INDEX(FILTER($P325:$AL325, $P325:$AL325 &lt;&gt; """"), 3)"),"Industry 4.0 in Transport Sector")</f>
        <v>Industry 4.0 in Transport Sector</v>
      </c>
      <c r="J325" s="106" t="str">
        <f ca="1">IFERROR(__xludf.DUMMYFUNCTION("IFERROR(INDEX(FILTER($P325:$AL325, $P325:$AL325 &lt;&gt; """"), 4),)"),"")</f>
        <v/>
      </c>
      <c r="K325" s="106" t="str">
        <f ca="1">IFERROR(__xludf.DUMMYFUNCTION("IFERROR(INDEX(FILTER($P325:$AL325, $P325:$AL325 &lt;&gt; """"), 5),)"),"")</f>
        <v/>
      </c>
      <c r="L325" s="107"/>
      <c r="M325" s="107"/>
      <c r="N325" s="107"/>
      <c r="O325" s="107"/>
      <c r="P325" s="132" t="str">
        <f>IF(COUNTIF('Fintech-A'!$A:$A, $C325), P$1, "")</f>
        <v/>
      </c>
      <c r="Q325" s="132" t="str">
        <f>IF(COUNTIF('Fintech-B'!$A:$A, $C325), Q$1, "")</f>
        <v/>
      </c>
      <c r="R325" s="132" t="str">
        <f>IF(COUNTIF('BEDM-A'!$A:$A, $C325), R$1, "")</f>
        <v/>
      </c>
      <c r="S325" s="132" t="str">
        <f>IF(COUNTIF('BEDM-B'!$A:$A, $C325), S$1, "")</f>
        <v/>
      </c>
      <c r="T325" s="132" t="str">
        <f>IF(COUNTIF('Art-A'!$A:$A, $C325), T$1, "")</f>
        <v/>
      </c>
      <c r="U325" s="132" t="str">
        <f>IF(COUNTIF('Art-B'!$A:$A, $C325), U$1, "")</f>
        <v/>
      </c>
      <c r="V325" s="132" t="str">
        <f>IF(COUNTIF('WH-A'!$A:$A, $C325), V$1, "")</f>
        <v/>
      </c>
      <c r="W325" s="132" t="str">
        <f>IF(COUNTIF('WH-B'!$A:$A, $C325), W$1, "")</f>
        <v/>
      </c>
      <c r="X325" s="132" t="str">
        <f>IF(COUNTIF(LETV!$A:$A, $C325), X$1, "")</f>
        <v>Leadership Excellence Through Values : Wisdom from the Mahabharata</v>
      </c>
      <c r="Y325" s="132" t="str">
        <f>IF(COUNTIF('Film&amp;Firm-A'!$A:$A, $C325), Y$1, "")</f>
        <v/>
      </c>
      <c r="Z325" s="132" t="str">
        <f>IF(COUNTIF('Film&amp;Firm-B'!$A:$A, $C325), Z$1, "")</f>
        <v/>
      </c>
      <c r="AA325" s="132" t="str">
        <f>IF(COUNTIF(SHRM!$A:$A, $C325), AA$1, "")</f>
        <v/>
      </c>
      <c r="AB325" s="132" t="str">
        <f>IF(COUNTIF('SCM-A'!$A:$A, $C325), AB$1, "")</f>
        <v/>
      </c>
      <c r="AC325" s="132" t="str">
        <f>IF(COUNTIF('SCM-B'!$A:$A, $C325), AC$1, "")</f>
        <v/>
      </c>
      <c r="AD325" s="132" t="str">
        <f>IF(COUNTIF(AIS!$A:$A, $C325), AD$1, "")</f>
        <v/>
      </c>
      <c r="AE325" s="132" t="str">
        <f>IF(COUNTIF(EB!$A:$A, $C325), AE$1, "")</f>
        <v/>
      </c>
      <c r="AF325" s="132" t="str">
        <f>IF(COUNTIF('AIAM-A'!$A:$A, $C325), AF$1, "")</f>
        <v/>
      </c>
      <c r="AG325" s="132" t="str">
        <f>IF(COUNTIF('AIAM-B'!$A:$A, $C325), AG$1, "")</f>
        <v>AI Applications in Marketing (B)</v>
      </c>
      <c r="AH325" s="132" t="str">
        <f>IF(COUNTIF('SA-A'!$A:$A, $C325), AH$1, "")</f>
        <v/>
      </c>
      <c r="AI325" s="132" t="str">
        <f>IF(COUNTIF('SA-B'!$A:$A, $C325), AI$1, "")</f>
        <v/>
      </c>
      <c r="AJ325" s="132" t="str">
        <f>IF(COUNTIF(CSM!$A:$A, $C325), AJ$1, "")</f>
        <v/>
      </c>
      <c r="AK325" s="132" t="str">
        <f>IF(COUNTIF(EM!$A:$A, $C325), AK$1, "")</f>
        <v/>
      </c>
      <c r="AL325" s="132" t="str">
        <f>IF(COUNTIF(I4TS!$A:$A, $C325), AL$1, "")</f>
        <v>Industry 4.0 in Transport Sector</v>
      </c>
    </row>
    <row r="326" spans="1:38" ht="13">
      <c r="A326" s="131">
        <v>325</v>
      </c>
      <c r="B326" s="131" t="s">
        <v>1063</v>
      </c>
      <c r="C326" s="131" t="s">
        <v>218</v>
      </c>
      <c r="D326" s="106" t="s">
        <v>1255</v>
      </c>
      <c r="E326" s="106" t="s">
        <v>1256</v>
      </c>
      <c r="F326" s="131">
        <f t="shared" ca="1" si="1"/>
        <v>5</v>
      </c>
      <c r="G326" s="106" t="str">
        <f ca="1">IFERROR(__xludf.DUMMYFUNCTION("INDEX(FILTER($P326:$AL326, $P326:$AL326 &lt;&gt; """"), 1)"),"Fintech (Digital Transformation in Finance) (B)")</f>
        <v>Fintech (Digital Transformation in Finance) (B)</v>
      </c>
      <c r="H326" s="106" t="str">
        <f ca="1">IFERROR(__xludf.DUMMYFUNCTION("INDEX(FILTER($P326:$AL326, $P326:$AL326 &lt;&gt; """"), 2)"),"Behavioural Economics and Decision-Making (A)")</f>
        <v>Behavioural Economics and Decision-Making (A)</v>
      </c>
      <c r="I326" s="106" t="str">
        <f ca="1">IFERROR(__xludf.DUMMYFUNCTION("INDEX(FILTER($P326:$AL326, $P326:$AL326 &lt;&gt; """"), 3)"),"Workplace Happiness: Science &amp; Practice (B)")</f>
        <v>Workplace Happiness: Science &amp; Practice (B)</v>
      </c>
      <c r="J326" s="106" t="str">
        <f ca="1">IFERROR(__xludf.DUMMYFUNCTION("IFERROR(INDEX(FILTER($P326:$AL326, $P326:$AL326 &lt;&gt; """"), 4),)"),"AI Applications in Marketing (A)")</f>
        <v>AI Applications in Marketing (A)</v>
      </c>
      <c r="K326" s="106" t="str">
        <f ca="1">IFERROR(__xludf.DUMMYFUNCTION("IFERROR(INDEX(FILTER($P326:$AL326, $P326:$AL326 &lt;&gt; """"), 5),)"),"Entrepreneurial Marketing")</f>
        <v>Entrepreneurial Marketing</v>
      </c>
      <c r="L326" s="107"/>
      <c r="M326" s="107"/>
      <c r="N326" s="107"/>
      <c r="O326" s="107"/>
      <c r="P326" s="132" t="str">
        <f>IF(COUNTIF('Fintech-A'!$A:$A, $C326), P$1, "")</f>
        <v/>
      </c>
      <c r="Q326" s="132" t="str">
        <f>IF(COUNTIF('Fintech-B'!$A:$A, $C326), Q$1, "")</f>
        <v>Fintech (Digital Transformation in Finance) (B)</v>
      </c>
      <c r="R326" s="132" t="str">
        <f>IF(COUNTIF('BEDM-A'!$A:$A, $C326), R$1, "")</f>
        <v>Behavioural Economics and Decision-Making (A)</v>
      </c>
      <c r="S326" s="132" t="str">
        <f>IF(COUNTIF('BEDM-B'!$A:$A, $C326), S$1, "")</f>
        <v/>
      </c>
      <c r="T326" s="132" t="str">
        <f>IF(COUNTIF('Art-A'!$A:$A, $C326), T$1, "")</f>
        <v/>
      </c>
      <c r="U326" s="132" t="str">
        <f>IF(COUNTIF('Art-B'!$A:$A, $C326), U$1, "")</f>
        <v/>
      </c>
      <c r="V326" s="132" t="str">
        <f>IF(COUNTIF('WH-A'!$A:$A, $C326), V$1, "")</f>
        <v/>
      </c>
      <c r="W326" s="132" t="str">
        <f>IF(COUNTIF('WH-B'!$A:$A, $C326), W$1, "")</f>
        <v>Workplace Happiness: Science &amp; Practice (B)</v>
      </c>
      <c r="X326" s="132" t="str">
        <f>IF(COUNTIF(LETV!$A:$A, $C326), X$1, "")</f>
        <v/>
      </c>
      <c r="Y326" s="132" t="str">
        <f>IF(COUNTIF('Film&amp;Firm-A'!$A:$A, $C326), Y$1, "")</f>
        <v/>
      </c>
      <c r="Z326" s="132" t="str">
        <f>IF(COUNTIF('Film&amp;Firm-B'!$A:$A, $C326), Z$1, "")</f>
        <v/>
      </c>
      <c r="AA326" s="132" t="str">
        <f>IF(COUNTIF(SHRM!$A:$A, $C326), AA$1, "")</f>
        <v/>
      </c>
      <c r="AB326" s="132" t="str">
        <f>IF(COUNTIF('SCM-A'!$A:$A, $C326), AB$1, "")</f>
        <v/>
      </c>
      <c r="AC326" s="132" t="str">
        <f>IF(COUNTIF('SCM-B'!$A:$A, $C326), AC$1, "")</f>
        <v/>
      </c>
      <c r="AD326" s="132" t="str">
        <f>IF(COUNTIF(AIS!$A:$A, $C326), AD$1, "")</f>
        <v/>
      </c>
      <c r="AE326" s="132" t="str">
        <f>IF(COUNTIF(EB!$A:$A, $C326), AE$1, "")</f>
        <v/>
      </c>
      <c r="AF326" s="132" t="str">
        <f>IF(COUNTIF('AIAM-A'!$A:$A, $C326), AF$1, "")</f>
        <v>AI Applications in Marketing (A)</v>
      </c>
      <c r="AG326" s="132" t="str">
        <f>IF(COUNTIF('AIAM-B'!$A:$A, $C326), AG$1, "")</f>
        <v/>
      </c>
      <c r="AH326" s="132" t="str">
        <f>IF(COUNTIF('SA-A'!$A:$A, $C326), AH$1, "")</f>
        <v/>
      </c>
      <c r="AI326" s="132" t="str">
        <f>IF(COUNTIF('SA-B'!$A:$A, $C326), AI$1, "")</f>
        <v/>
      </c>
      <c r="AJ326" s="132" t="str">
        <f>IF(COUNTIF(CSM!$A:$A, $C326), AJ$1, "")</f>
        <v/>
      </c>
      <c r="AK326" s="132" t="str">
        <f>IF(COUNTIF(EM!$A:$A, $C326), AK$1, "")</f>
        <v>Entrepreneurial Marketing</v>
      </c>
      <c r="AL326" s="132" t="str">
        <f>IF(COUNTIF(I4TS!$A:$A, $C326), AL$1, "")</f>
        <v/>
      </c>
    </row>
    <row r="327" spans="1:38" ht="14">
      <c r="A327" s="131">
        <v>326</v>
      </c>
      <c r="B327" s="131" t="s">
        <v>1257</v>
      </c>
      <c r="C327" s="134" t="s">
        <v>1258</v>
      </c>
      <c r="D327" s="139" t="s">
        <v>1259</v>
      </c>
      <c r="E327" s="140" t="s">
        <v>1260</v>
      </c>
      <c r="F327" s="131">
        <f t="shared" ca="1" si="1"/>
        <v>5</v>
      </c>
      <c r="G327" s="106" t="str">
        <f ca="1">IFERROR(__xludf.DUMMYFUNCTION("INDEX(FILTER($P327:$AL327, $P327:$AL327 &lt;&gt; """"), 1)"),"Fintech (Digital Transformation in Finance) (A)")</f>
        <v>Fintech (Digital Transformation in Finance) (A)</v>
      </c>
      <c r="H327" s="106" t="str">
        <f ca="1">IFERROR(__xludf.DUMMYFUNCTION("INDEX(FILTER($P327:$AL327, $P327:$AL327 &lt;&gt; """"), 2)"),"The Art, Craft, and Science of Management: Learning through Classics and Best Collections (A)")</f>
        <v>The Art, Craft, and Science of Management: Learning through Classics and Best Collections (A)</v>
      </c>
      <c r="I327" s="106" t="str">
        <f ca="1">IFERROR(__xludf.DUMMYFUNCTION("INDEX(FILTER($P327:$AL327, $P327:$AL327 &lt;&gt; """"), 3)"),"Strategic Career Management (B)")</f>
        <v>Strategic Career Management (B)</v>
      </c>
      <c r="J327" s="106" t="str">
        <f ca="1">IFERROR(__xludf.DUMMYFUNCTION("IFERROR(INDEX(FILTER($P327:$AL327, $P327:$AL327 &lt;&gt; """"), 4),)"),"AI Applications in Marketing (B)")</f>
        <v>AI Applications in Marketing (B)</v>
      </c>
      <c r="K327" s="106" t="str">
        <f ca="1">IFERROR(__xludf.DUMMYFUNCTION("IFERROR(INDEX(FILTER($P327:$AL327, $P327:$AL327 &lt;&gt; """"), 5),)"),"SPORTS ANALYTICS (B)")</f>
        <v>SPORTS ANALYTICS (B)</v>
      </c>
      <c r="L327" s="107"/>
      <c r="M327" s="107"/>
      <c r="N327" s="107"/>
      <c r="O327" s="107"/>
      <c r="P327" s="132" t="str">
        <f>IF(COUNTIF('Fintech-A'!$A:$A, $C327), P$1, "")</f>
        <v>Fintech (Digital Transformation in Finance) (A)</v>
      </c>
      <c r="Q327" s="132" t="str">
        <f>IF(COUNTIF('Fintech-B'!$A:$A, $C327), Q$1, "")</f>
        <v/>
      </c>
      <c r="R327" s="132" t="str">
        <f>IF(COUNTIF('BEDM-A'!$A:$A, $C327), R$1, "")</f>
        <v/>
      </c>
      <c r="S327" s="132" t="str">
        <f>IF(COUNTIF('BEDM-B'!$A:$A, $C327), S$1, "")</f>
        <v/>
      </c>
      <c r="T327" s="132" t="str">
        <f>IF(COUNTIF('Art-A'!$A:$A, $C327), T$1, "")</f>
        <v>The Art, Craft, and Science of Management: Learning through Classics and Best Collections (A)</v>
      </c>
      <c r="U327" s="132" t="str">
        <f>IF(COUNTIF('Art-B'!$A:$A, $C327), U$1, "")</f>
        <v/>
      </c>
      <c r="V327" s="132" t="str">
        <f>IF(COUNTIF('WH-A'!$A:$A, $C327), V$1, "")</f>
        <v/>
      </c>
      <c r="W327" s="132" t="str">
        <f>IF(COUNTIF('WH-B'!$A:$A, $C327), W$1, "")</f>
        <v/>
      </c>
      <c r="X327" s="132" t="str">
        <f>IF(COUNTIF(LETV!$A:$A, $C327), X$1, "")</f>
        <v/>
      </c>
      <c r="Y327" s="132" t="str">
        <f>IF(COUNTIF('Film&amp;Firm-A'!$A:$A, $C327), Y$1, "")</f>
        <v/>
      </c>
      <c r="Z327" s="132" t="str">
        <f>IF(COUNTIF('Film&amp;Firm-B'!$A:$A, $C327), Z$1, "")</f>
        <v/>
      </c>
      <c r="AA327" s="132" t="str">
        <f>IF(COUNTIF(SHRM!$A:$A, $C327), AA$1, "")</f>
        <v/>
      </c>
      <c r="AB327" s="132" t="str">
        <f>IF(COUNTIF('SCM-A'!$A:$A, $C327), AB$1, "")</f>
        <v/>
      </c>
      <c r="AC327" s="132" t="str">
        <f>IF(COUNTIF('SCM-B'!$A:$A, $C327), AC$1, "")</f>
        <v>Strategic Career Management (B)</v>
      </c>
      <c r="AD327" s="132" t="str">
        <f>IF(COUNTIF(AIS!$A:$A, $C327), AD$1, "")</f>
        <v/>
      </c>
      <c r="AE327" s="132" t="str">
        <f>IF(COUNTIF(EB!$A:$A, $C327), AE$1, "")</f>
        <v/>
      </c>
      <c r="AF327" s="132" t="str">
        <f>IF(COUNTIF('AIAM-A'!$A:$A, $C327), AF$1, "")</f>
        <v/>
      </c>
      <c r="AG327" s="132" t="str">
        <f>IF(COUNTIF('AIAM-B'!$A:$A, $C327), AG$1, "")</f>
        <v>AI Applications in Marketing (B)</v>
      </c>
      <c r="AH327" s="132" t="str">
        <f>IF(COUNTIF('SA-A'!$A:$A, $C327), AH$1, "")</f>
        <v/>
      </c>
      <c r="AI327" s="132" t="str">
        <f>IF(COUNTIF('SA-B'!$A:$A, $C327), AI$1, "")</f>
        <v>SPORTS ANALYTICS (B)</v>
      </c>
      <c r="AJ327" s="132" t="str">
        <f>IF(COUNTIF(CSM!$A:$A, $C327), AJ$1, "")</f>
        <v/>
      </c>
      <c r="AK327" s="132" t="str">
        <f>IF(COUNTIF(EM!$A:$A, $C327), AK$1, "")</f>
        <v/>
      </c>
      <c r="AL327" s="132" t="str">
        <f>IF(COUNTIF(I4TS!$A:$A, $C327), AL$1, "")</f>
        <v/>
      </c>
    </row>
    <row r="328" spans="1:38" ht="14">
      <c r="A328" s="131">
        <v>327</v>
      </c>
      <c r="B328" s="131" t="s">
        <v>1257</v>
      </c>
      <c r="C328" s="134" t="s">
        <v>1261</v>
      </c>
      <c r="D328" s="139" t="s">
        <v>1262</v>
      </c>
      <c r="E328" s="140" t="s">
        <v>1263</v>
      </c>
      <c r="F328" s="131">
        <f t="shared" ca="1" si="1"/>
        <v>5</v>
      </c>
      <c r="G328" s="106" t="str">
        <f ca="1">IFERROR(__xludf.DUMMYFUNCTION("INDEX(FILTER($P328:$AL328, $P328:$AL328 &lt;&gt; """"), 1)"),"Fintech (Digital Transformation in Finance) (B)")</f>
        <v>Fintech (Digital Transformation in Finance) (B)</v>
      </c>
      <c r="H328" s="106" t="str">
        <f ca="1">IFERROR(__xludf.DUMMYFUNCTION("INDEX(FILTER($P328:$AL328, $P328:$AL328 &lt;&gt; """"), 2)"),"Film &amp; the Firm: Visual Culture in Business Contexts (B)")</f>
        <v>Film &amp; the Firm: Visual Culture in Business Contexts (B)</v>
      </c>
      <c r="I328" s="106" t="str">
        <f ca="1">IFERROR(__xludf.DUMMYFUNCTION("INDEX(FILTER($P328:$AL328, $P328:$AL328 &lt;&gt; """"), 3)"),"SPORTS ANALYTICS (B)")</f>
        <v>SPORTS ANALYTICS (B)</v>
      </c>
      <c r="J328" s="106" t="str">
        <f ca="1">IFERROR(__xludf.DUMMYFUNCTION("IFERROR(INDEX(FILTER($P328:$AL328, $P328:$AL328 &lt;&gt; """"), 4),)"),"")</f>
        <v/>
      </c>
      <c r="K328" s="106" t="str">
        <f ca="1">IFERROR(__xludf.DUMMYFUNCTION("IFERROR(INDEX(FILTER($P328:$AL328, $P328:$AL328 &lt;&gt; """"), 5),)"),"")</f>
        <v/>
      </c>
      <c r="L328" s="107"/>
      <c r="M328" s="107"/>
      <c r="N328" s="107"/>
      <c r="O328" s="107"/>
      <c r="P328" s="132" t="str">
        <f>IF(COUNTIF('Fintech-A'!$A:$A, $C328), P$1, "")</f>
        <v/>
      </c>
      <c r="Q328" s="132" t="str">
        <f>IF(COUNTIF('Fintech-B'!$A:$A, $C328), Q$1, "")</f>
        <v>Fintech (Digital Transformation in Finance) (B)</v>
      </c>
      <c r="R328" s="132" t="str">
        <f>IF(COUNTIF('BEDM-A'!$A:$A, $C328), R$1, "")</f>
        <v/>
      </c>
      <c r="S328" s="132" t="str">
        <f>IF(COUNTIF('BEDM-B'!$A:$A, $C328), S$1, "")</f>
        <v/>
      </c>
      <c r="T328" s="132" t="str">
        <f>IF(COUNTIF('Art-A'!$A:$A, $C328), T$1, "")</f>
        <v/>
      </c>
      <c r="U328" s="132" t="str">
        <f>IF(COUNTIF('Art-B'!$A:$A, $C328), U$1, "")</f>
        <v/>
      </c>
      <c r="V328" s="132" t="str">
        <f>IF(COUNTIF('WH-A'!$A:$A, $C328), V$1, "")</f>
        <v/>
      </c>
      <c r="W328" s="132" t="str">
        <f>IF(COUNTIF('WH-B'!$A:$A, $C328), W$1, "")</f>
        <v/>
      </c>
      <c r="X328" s="132" t="str">
        <f>IF(COUNTIF(LETV!$A:$A, $C328), X$1, "")</f>
        <v/>
      </c>
      <c r="Y328" s="132" t="str">
        <f>IF(COUNTIF('Film&amp;Firm-A'!$A:$A, $C328), Y$1, "")</f>
        <v/>
      </c>
      <c r="Z328" s="132" t="str">
        <f>IF(COUNTIF('Film&amp;Firm-B'!$A:$A, $C328), Z$1, "")</f>
        <v>Film &amp; the Firm: Visual Culture in Business Contexts (B)</v>
      </c>
      <c r="AA328" s="132" t="str">
        <f>IF(COUNTIF(SHRM!$A:$A, $C328), AA$1, "")</f>
        <v/>
      </c>
      <c r="AB328" s="132" t="str">
        <f>IF(COUNTIF('SCM-A'!$A:$A, $C328), AB$1, "")</f>
        <v/>
      </c>
      <c r="AC328" s="132" t="str">
        <f>IF(COUNTIF('SCM-B'!$A:$A, $C328), AC$1, "")</f>
        <v/>
      </c>
      <c r="AD328" s="132" t="str">
        <f>IF(COUNTIF(AIS!$A:$A, $C328), AD$1, "")</f>
        <v/>
      </c>
      <c r="AE328" s="132" t="str">
        <f>IF(COUNTIF(EB!$A:$A, $C328), AE$1, "")</f>
        <v/>
      </c>
      <c r="AF328" s="132" t="str">
        <f>IF(COUNTIF('AIAM-A'!$A:$A, $C328), AF$1, "")</f>
        <v/>
      </c>
      <c r="AG328" s="132" t="str">
        <f>IF(COUNTIF('AIAM-B'!$A:$A, $C328), AG$1, "")</f>
        <v/>
      </c>
      <c r="AH328" s="132" t="str">
        <f>IF(COUNTIF('SA-A'!$A:$A, $C328), AH$1, "")</f>
        <v/>
      </c>
      <c r="AI328" s="132" t="str">
        <f>IF(COUNTIF('SA-B'!$A:$A, $C328), AI$1, "")</f>
        <v>SPORTS ANALYTICS (B)</v>
      </c>
      <c r="AJ328" s="132" t="str">
        <f>IF(COUNTIF(CSM!$A:$A, $C328), AJ$1, "")</f>
        <v/>
      </c>
      <c r="AK328" s="132" t="str">
        <f>IF(COUNTIF(EM!$A:$A, $C328), AK$1, "")</f>
        <v/>
      </c>
      <c r="AL328" s="132" t="str">
        <f>IF(COUNTIF(I4TS!$A:$A, $C328), AL$1, "")</f>
        <v/>
      </c>
    </row>
    <row r="329" spans="1:38" ht="14">
      <c r="A329" s="131">
        <v>328</v>
      </c>
      <c r="B329" s="131" t="s">
        <v>1257</v>
      </c>
      <c r="C329" s="134" t="s">
        <v>1264</v>
      </c>
      <c r="D329" s="139" t="s">
        <v>1265</v>
      </c>
      <c r="E329" s="140" t="s">
        <v>1266</v>
      </c>
      <c r="F329" s="131">
        <f t="shared" ca="1" si="1"/>
        <v>5</v>
      </c>
      <c r="G329" s="106" t="str">
        <f ca="1">IFERROR(__xludf.DUMMYFUNCTION("INDEX(FILTER($P329:$AL329, $P329:$AL329 &lt;&gt; """"), 1)"),"Film &amp; the Firm: Visual Culture in Business Contexts (A)")</f>
        <v>Film &amp; the Firm: Visual Culture in Business Contexts (A)</v>
      </c>
      <c r="H329" s="106" t="str">
        <f ca="1">IFERROR(__xludf.DUMMYFUNCTION("INDEX(FILTER($P329:$AL329, $P329:$AL329 &lt;&gt; """"), 2)"),"AI Applications in Marketing (B)")</f>
        <v>AI Applications in Marketing (B)</v>
      </c>
      <c r="I329" s="106" t="str">
        <f ca="1">IFERROR(__xludf.DUMMYFUNCTION("INDEX(FILTER($P329:$AL329, $P329:$AL329 &lt;&gt; """"), 3)"),"SPORTS ANALYTICS (B)")</f>
        <v>SPORTS ANALYTICS (B)</v>
      </c>
      <c r="J329" s="106" t="str">
        <f ca="1">IFERROR(__xludf.DUMMYFUNCTION("IFERROR(INDEX(FILTER($P329:$AL329, $P329:$AL329 &lt;&gt; """"), 4),)"),"")</f>
        <v/>
      </c>
      <c r="K329" s="106" t="str">
        <f ca="1">IFERROR(__xludf.DUMMYFUNCTION("IFERROR(INDEX(FILTER($P329:$AL329, $P329:$AL329 &lt;&gt; """"), 5),)"),"")</f>
        <v/>
      </c>
      <c r="L329" s="107"/>
      <c r="M329" s="107"/>
      <c r="N329" s="107"/>
      <c r="O329" s="107"/>
      <c r="P329" s="132" t="str">
        <f>IF(COUNTIF('Fintech-A'!$A:$A, $C329), P$1, "")</f>
        <v/>
      </c>
      <c r="Q329" s="132" t="str">
        <f>IF(COUNTIF('Fintech-B'!$A:$A, $C329), Q$1, "")</f>
        <v/>
      </c>
      <c r="R329" s="132" t="str">
        <f>IF(COUNTIF('BEDM-A'!$A:$A, $C329), R$1, "")</f>
        <v/>
      </c>
      <c r="S329" s="132" t="str">
        <f>IF(COUNTIF('BEDM-B'!$A:$A, $C329), S$1, "")</f>
        <v/>
      </c>
      <c r="T329" s="132" t="str">
        <f>IF(COUNTIF('Art-A'!$A:$A, $C329), T$1, "")</f>
        <v/>
      </c>
      <c r="U329" s="132" t="str">
        <f>IF(COUNTIF('Art-B'!$A:$A, $C329), U$1, "")</f>
        <v/>
      </c>
      <c r="V329" s="132" t="str">
        <f>IF(COUNTIF('WH-A'!$A:$A, $C329), V$1, "")</f>
        <v/>
      </c>
      <c r="W329" s="132" t="str">
        <f>IF(COUNTIF('WH-B'!$A:$A, $C329), W$1, "")</f>
        <v/>
      </c>
      <c r="X329" s="132" t="str">
        <f>IF(COUNTIF(LETV!$A:$A, $C329), X$1, "")</f>
        <v/>
      </c>
      <c r="Y329" s="132" t="str">
        <f>IF(COUNTIF('Film&amp;Firm-A'!$A:$A, $C329), Y$1, "")</f>
        <v>Film &amp; the Firm: Visual Culture in Business Contexts (A)</v>
      </c>
      <c r="Z329" s="132" t="str">
        <f>IF(COUNTIF('Film&amp;Firm-B'!$A:$A, $C329), Z$1, "")</f>
        <v/>
      </c>
      <c r="AA329" s="132" t="str">
        <f>IF(COUNTIF(SHRM!$A:$A, $C329), AA$1, "")</f>
        <v/>
      </c>
      <c r="AB329" s="132" t="str">
        <f>IF(COUNTIF('SCM-A'!$A:$A, $C329), AB$1, "")</f>
        <v/>
      </c>
      <c r="AC329" s="132" t="str">
        <f>IF(COUNTIF('SCM-B'!$A:$A, $C329), AC$1, "")</f>
        <v/>
      </c>
      <c r="AD329" s="132" t="str">
        <f>IF(COUNTIF(AIS!$A:$A, $C329), AD$1, "")</f>
        <v/>
      </c>
      <c r="AE329" s="132" t="str">
        <f>IF(COUNTIF(EB!$A:$A, $C329), AE$1, "")</f>
        <v/>
      </c>
      <c r="AF329" s="132" t="str">
        <f>IF(COUNTIF('AIAM-A'!$A:$A, $C329), AF$1, "")</f>
        <v/>
      </c>
      <c r="AG329" s="132" t="str">
        <f>IF(COUNTIF('AIAM-B'!$A:$A, $C329), AG$1, "")</f>
        <v>AI Applications in Marketing (B)</v>
      </c>
      <c r="AH329" s="132" t="str">
        <f>IF(COUNTIF('SA-A'!$A:$A, $C329), AH$1, "")</f>
        <v/>
      </c>
      <c r="AI329" s="132" t="str">
        <f>IF(COUNTIF('SA-B'!$A:$A, $C329), AI$1, "")</f>
        <v>SPORTS ANALYTICS (B)</v>
      </c>
      <c r="AJ329" s="132" t="str">
        <f>IF(COUNTIF(CSM!$A:$A, $C329), AJ$1, "")</f>
        <v/>
      </c>
      <c r="AK329" s="132" t="str">
        <f>IF(COUNTIF(EM!$A:$A, $C329), AK$1, "")</f>
        <v/>
      </c>
      <c r="AL329" s="132" t="str">
        <f>IF(COUNTIF(I4TS!$A:$A, $C329), AL$1, "")</f>
        <v/>
      </c>
    </row>
    <row r="330" spans="1:38" ht="14">
      <c r="A330" s="131">
        <v>329</v>
      </c>
      <c r="B330" s="131" t="s">
        <v>1257</v>
      </c>
      <c r="C330" s="134" t="s">
        <v>1267</v>
      </c>
      <c r="D330" s="139" t="s">
        <v>1268</v>
      </c>
      <c r="E330" s="140" t="s">
        <v>1269</v>
      </c>
      <c r="F330" s="131">
        <f t="shared" ca="1" si="1"/>
        <v>5</v>
      </c>
      <c r="G330" s="106" t="str">
        <f ca="1">IFERROR(__xludf.DUMMYFUNCTION("INDEX(FILTER($P330:$AL330, $P330:$AL330 &lt;&gt; """"), 1)"),"The Art, Craft, and Science of Management: Learning through Classics and Best Collections (B)")</f>
        <v>The Art, Craft, and Science of Management: Learning through Classics and Best Collections (B)</v>
      </c>
      <c r="H330" s="106" t="str">
        <f ca="1">IFERROR(__xludf.DUMMYFUNCTION("INDEX(FILTER($P330:$AL330, $P330:$AL330 &lt;&gt; """"), 2)"),"Film &amp; the Firm: Visual Culture in Business Contexts (B)")</f>
        <v>Film &amp; the Firm: Visual Culture in Business Contexts (B)</v>
      </c>
      <c r="I330" s="106" t="str">
        <f ca="1">IFERROR(__xludf.DUMMYFUNCTION("INDEX(FILTER($P330:$AL330, $P330:$AL330 &lt;&gt; """"), 3)"),"Strategic Career Management (A)")</f>
        <v>Strategic Career Management (A)</v>
      </c>
      <c r="J330" s="106" t="str">
        <f ca="1">IFERROR(__xludf.DUMMYFUNCTION("IFERROR(INDEX(FILTER($P330:$AL330, $P330:$AL330 &lt;&gt; """"), 4),)"),"AI AND  STRATEGY")</f>
        <v>AI AND  STRATEGY</v>
      </c>
      <c r="K330" s="106" t="str">
        <f ca="1">IFERROR(__xludf.DUMMYFUNCTION("IFERROR(INDEX(FILTER($P330:$AL330, $P330:$AL330 &lt;&gt; """"), 5),)"),"Industry 4.0 in Transport Sector")</f>
        <v>Industry 4.0 in Transport Sector</v>
      </c>
      <c r="L330" s="107"/>
      <c r="M330" s="107"/>
      <c r="N330" s="107"/>
      <c r="O330" s="107"/>
      <c r="P330" s="132" t="str">
        <f>IF(COUNTIF('Fintech-A'!$A:$A, $C330), P$1, "")</f>
        <v/>
      </c>
      <c r="Q330" s="132" t="str">
        <f>IF(COUNTIF('Fintech-B'!$A:$A, $C330), Q$1, "")</f>
        <v/>
      </c>
      <c r="R330" s="132" t="str">
        <f>IF(COUNTIF('BEDM-A'!$A:$A, $C330), R$1, "")</f>
        <v/>
      </c>
      <c r="S330" s="132" t="str">
        <f>IF(COUNTIF('BEDM-B'!$A:$A, $C330), S$1, "")</f>
        <v/>
      </c>
      <c r="T330" s="132" t="str">
        <f>IF(COUNTIF('Art-A'!$A:$A, $C330), T$1, "")</f>
        <v/>
      </c>
      <c r="U330" s="132" t="str">
        <f>IF(COUNTIF('Art-B'!$A:$A, $C330), U$1, "")</f>
        <v>The Art, Craft, and Science of Management: Learning through Classics and Best Collections (B)</v>
      </c>
      <c r="V330" s="132" t="str">
        <f>IF(COUNTIF('WH-A'!$A:$A, $C330), V$1, "")</f>
        <v/>
      </c>
      <c r="W330" s="132" t="str">
        <f>IF(COUNTIF('WH-B'!$A:$A, $C330), W$1, "")</f>
        <v/>
      </c>
      <c r="X330" s="132" t="str">
        <f>IF(COUNTIF(LETV!$A:$A, $C330), X$1, "")</f>
        <v/>
      </c>
      <c r="Y330" s="132" t="str">
        <f>IF(COUNTIF('Film&amp;Firm-A'!$A:$A, $C330), Y$1, "")</f>
        <v/>
      </c>
      <c r="Z330" s="132" t="str">
        <f>IF(COUNTIF('Film&amp;Firm-B'!$A:$A, $C330), Z$1, "")</f>
        <v>Film &amp; the Firm: Visual Culture in Business Contexts (B)</v>
      </c>
      <c r="AA330" s="132" t="str">
        <f>IF(COUNTIF(SHRM!$A:$A, $C330), AA$1, "")</f>
        <v/>
      </c>
      <c r="AB330" s="132" t="str">
        <f>IF(COUNTIF('SCM-A'!$A:$A, $C330), AB$1, "")</f>
        <v>Strategic Career Management (A)</v>
      </c>
      <c r="AC330" s="132" t="str">
        <f>IF(COUNTIF('SCM-B'!$A:$A, $C330), AC$1, "")</f>
        <v/>
      </c>
      <c r="AD330" s="132" t="str">
        <f>IF(COUNTIF(AIS!$A:$A, $C330), AD$1, "")</f>
        <v>AI AND  STRATEGY</v>
      </c>
      <c r="AE330" s="132" t="str">
        <f>IF(COUNTIF(EB!$A:$A, $C330), AE$1, "")</f>
        <v/>
      </c>
      <c r="AF330" s="132" t="str">
        <f>IF(COUNTIF('AIAM-A'!$A:$A, $C330), AF$1, "")</f>
        <v/>
      </c>
      <c r="AG330" s="132" t="str">
        <f>IF(COUNTIF('AIAM-B'!$A:$A, $C330), AG$1, "")</f>
        <v/>
      </c>
      <c r="AH330" s="132" t="str">
        <f>IF(COUNTIF('SA-A'!$A:$A, $C330), AH$1, "")</f>
        <v/>
      </c>
      <c r="AI330" s="132" t="str">
        <f>IF(COUNTIF('SA-B'!$A:$A, $C330), AI$1, "")</f>
        <v/>
      </c>
      <c r="AJ330" s="132" t="str">
        <f>IF(COUNTIF(CSM!$A:$A, $C330), AJ$1, "")</f>
        <v/>
      </c>
      <c r="AK330" s="132" t="str">
        <f>IF(COUNTIF(EM!$A:$A, $C330), AK$1, "")</f>
        <v/>
      </c>
      <c r="AL330" s="132" t="str">
        <f>IF(COUNTIF(I4TS!$A:$A, $C330), AL$1, "")</f>
        <v>Industry 4.0 in Transport Sector</v>
      </c>
    </row>
    <row r="331" spans="1:38" ht="14">
      <c r="A331" s="131">
        <v>330</v>
      </c>
      <c r="B331" s="131" t="s">
        <v>1257</v>
      </c>
      <c r="C331" s="134" t="s">
        <v>178</v>
      </c>
      <c r="D331" s="139" t="s">
        <v>1270</v>
      </c>
      <c r="E331" s="140" t="s">
        <v>1271</v>
      </c>
      <c r="F331" s="131">
        <f t="shared" ca="1" si="1"/>
        <v>5</v>
      </c>
      <c r="G331" s="106" t="str">
        <f ca="1">IFERROR(__xludf.DUMMYFUNCTION("INDEX(FILTER($P331:$AL331, $P331:$AL331 &lt;&gt; """"), 1)"),"The Art, Craft, and Science of Management: Learning through Classics and Best Collections (B)")</f>
        <v>The Art, Craft, and Science of Management: Learning through Classics and Best Collections (B)</v>
      </c>
      <c r="H331" s="106" t="str">
        <f ca="1">IFERROR(__xludf.DUMMYFUNCTION("INDEX(FILTER($P331:$AL331, $P331:$AL331 &lt;&gt; """"), 2)"),"Strategic Career Management (B)")</f>
        <v>Strategic Career Management (B)</v>
      </c>
      <c r="I331" s="106" t="str">
        <f ca="1">IFERROR(__xludf.DUMMYFUNCTION("INDEX(FILTER($P331:$AL331, $P331:$AL331 &lt;&gt; """"), 3)"),"SPORTS ANALYTICS (A)")</f>
        <v>SPORTS ANALYTICS (A)</v>
      </c>
      <c r="J331" s="106" t="str">
        <f ca="1">IFERROR(__xludf.DUMMYFUNCTION("IFERROR(INDEX(FILTER($P331:$AL331, $P331:$AL331 &lt;&gt; """"), 4),)"),"")</f>
        <v/>
      </c>
      <c r="K331" s="106" t="str">
        <f ca="1">IFERROR(__xludf.DUMMYFUNCTION("IFERROR(INDEX(FILTER($P331:$AL331, $P331:$AL331 &lt;&gt; """"), 5),)"),"")</f>
        <v/>
      </c>
      <c r="L331" s="107"/>
      <c r="M331" s="107"/>
      <c r="N331" s="107"/>
      <c r="O331" s="107"/>
      <c r="P331" s="132" t="str">
        <f>IF(COUNTIF('Fintech-A'!$A:$A, $C331), P$1, "")</f>
        <v/>
      </c>
      <c r="Q331" s="132" t="str">
        <f>IF(COUNTIF('Fintech-B'!$A:$A, $C331), Q$1, "")</f>
        <v/>
      </c>
      <c r="R331" s="132" t="str">
        <f>IF(COUNTIF('BEDM-A'!$A:$A, $C331), R$1, "")</f>
        <v/>
      </c>
      <c r="S331" s="132" t="str">
        <f>IF(COUNTIF('BEDM-B'!$A:$A, $C331), S$1, "")</f>
        <v/>
      </c>
      <c r="T331" s="132" t="str">
        <f>IF(COUNTIF('Art-A'!$A:$A, $C331), T$1, "")</f>
        <v/>
      </c>
      <c r="U331" s="132" t="str">
        <f>IF(COUNTIF('Art-B'!$A:$A, $C331), U$1, "")</f>
        <v>The Art, Craft, and Science of Management: Learning through Classics and Best Collections (B)</v>
      </c>
      <c r="V331" s="132" t="str">
        <f>IF(COUNTIF('WH-A'!$A:$A, $C331), V$1, "")</f>
        <v/>
      </c>
      <c r="W331" s="132" t="str">
        <f>IF(COUNTIF('WH-B'!$A:$A, $C331), W$1, "")</f>
        <v/>
      </c>
      <c r="X331" s="132" t="str">
        <f>IF(COUNTIF(LETV!$A:$A, $C331), X$1, "")</f>
        <v/>
      </c>
      <c r="Y331" s="132" t="str">
        <f>IF(COUNTIF('Film&amp;Firm-A'!$A:$A, $C331), Y$1, "")</f>
        <v/>
      </c>
      <c r="Z331" s="132" t="str">
        <f>IF(COUNTIF('Film&amp;Firm-B'!$A:$A, $C331), Z$1, "")</f>
        <v/>
      </c>
      <c r="AA331" s="132" t="str">
        <f>IF(COUNTIF(SHRM!$A:$A, $C331), AA$1, "")</f>
        <v/>
      </c>
      <c r="AB331" s="132" t="str">
        <f>IF(COUNTIF('SCM-A'!$A:$A, $C331), AB$1, "")</f>
        <v/>
      </c>
      <c r="AC331" s="132" t="str">
        <f>IF(COUNTIF('SCM-B'!$A:$A, $C331), AC$1, "")</f>
        <v>Strategic Career Management (B)</v>
      </c>
      <c r="AD331" s="132" t="str">
        <f>IF(COUNTIF(AIS!$A:$A, $C331), AD$1, "")</f>
        <v/>
      </c>
      <c r="AE331" s="132" t="str">
        <f>IF(COUNTIF(EB!$A:$A, $C331), AE$1, "")</f>
        <v/>
      </c>
      <c r="AF331" s="132" t="str">
        <f>IF(COUNTIF('AIAM-A'!$A:$A, $C331), AF$1, "")</f>
        <v/>
      </c>
      <c r="AG331" s="132" t="str">
        <f>IF(COUNTIF('AIAM-B'!$A:$A, $C331), AG$1, "")</f>
        <v/>
      </c>
      <c r="AH331" s="132" t="str">
        <f>IF(COUNTIF('SA-A'!$A:$A, $C331), AH$1, "")</f>
        <v>SPORTS ANALYTICS (A)</v>
      </c>
      <c r="AI331" s="132" t="str">
        <f>IF(COUNTIF('SA-B'!$A:$A, $C331), AI$1, "")</f>
        <v/>
      </c>
      <c r="AJ331" s="132" t="str">
        <f>IF(COUNTIF(CSM!$A:$A, $C331), AJ$1, "")</f>
        <v/>
      </c>
      <c r="AK331" s="132" t="str">
        <f>IF(COUNTIF(EM!$A:$A, $C331), AK$1, "")</f>
        <v/>
      </c>
      <c r="AL331" s="132" t="str">
        <f>IF(COUNTIF(I4TS!$A:$A, $C331), AL$1, "")</f>
        <v/>
      </c>
    </row>
    <row r="332" spans="1:38" ht="14">
      <c r="A332" s="131">
        <v>331</v>
      </c>
      <c r="B332" s="131" t="s">
        <v>1257</v>
      </c>
      <c r="C332" s="134" t="s">
        <v>179</v>
      </c>
      <c r="D332" s="139" t="s">
        <v>1272</v>
      </c>
      <c r="E332" s="140" t="s">
        <v>1273</v>
      </c>
      <c r="F332" s="131">
        <f t="shared" ca="1" si="1"/>
        <v>5</v>
      </c>
      <c r="G332" s="106" t="str">
        <f ca="1">IFERROR(__xludf.DUMMYFUNCTION("INDEX(FILTER($P332:$AL332, $P332:$AL332 &lt;&gt; """"), 1)"),"Fintech (Digital Transformation in Finance) (B)")</f>
        <v>Fintech (Digital Transformation in Finance) (B)</v>
      </c>
      <c r="H332" s="106" t="str">
        <f ca="1">IFERROR(__xludf.DUMMYFUNCTION("INDEX(FILTER($P332:$AL332, $P332:$AL332 &lt;&gt; """"), 2)"),"Film &amp; the Firm: Visual Culture in Business Contexts (A)")</f>
        <v>Film &amp; the Firm: Visual Culture in Business Contexts (A)</v>
      </c>
      <c r="I332" s="106" t="str">
        <f ca="1">IFERROR(__xludf.DUMMYFUNCTION("INDEX(FILTER($P332:$AL332, $P332:$AL332 &lt;&gt; """"), 3)"),"SPORTS ANALYTICS (B)")</f>
        <v>SPORTS ANALYTICS (B)</v>
      </c>
      <c r="J332" s="106" t="str">
        <f ca="1">IFERROR(__xludf.DUMMYFUNCTION("IFERROR(INDEX(FILTER($P332:$AL332, $P332:$AL332 &lt;&gt; """"), 4),)"),"")</f>
        <v/>
      </c>
      <c r="K332" s="106" t="str">
        <f ca="1">IFERROR(__xludf.DUMMYFUNCTION("IFERROR(INDEX(FILTER($P332:$AL332, $P332:$AL332 &lt;&gt; """"), 5),)"),"")</f>
        <v/>
      </c>
      <c r="L332" s="107"/>
      <c r="M332" s="107"/>
      <c r="N332" s="107"/>
      <c r="O332" s="107"/>
      <c r="P332" s="132" t="str">
        <f>IF(COUNTIF('Fintech-A'!$A:$A, $C332), P$1, "")</f>
        <v/>
      </c>
      <c r="Q332" s="132" t="str">
        <f>IF(COUNTIF('Fintech-B'!$A:$A, $C332), Q$1, "")</f>
        <v>Fintech (Digital Transformation in Finance) (B)</v>
      </c>
      <c r="R332" s="132" t="str">
        <f>IF(COUNTIF('BEDM-A'!$A:$A, $C332), R$1, "")</f>
        <v/>
      </c>
      <c r="S332" s="132" t="str">
        <f>IF(COUNTIF('BEDM-B'!$A:$A, $C332), S$1, "")</f>
        <v/>
      </c>
      <c r="T332" s="132" t="str">
        <f>IF(COUNTIF('Art-A'!$A:$A, $C332), T$1, "")</f>
        <v/>
      </c>
      <c r="U332" s="132" t="str">
        <f>IF(COUNTIF('Art-B'!$A:$A, $C332), U$1, "")</f>
        <v/>
      </c>
      <c r="V332" s="132" t="str">
        <f>IF(COUNTIF('WH-A'!$A:$A, $C332), V$1, "")</f>
        <v/>
      </c>
      <c r="W332" s="132" t="str">
        <f>IF(COUNTIF('WH-B'!$A:$A, $C332), W$1, "")</f>
        <v/>
      </c>
      <c r="X332" s="132" t="str">
        <f>IF(COUNTIF(LETV!$A:$A, $C332), X$1, "")</f>
        <v/>
      </c>
      <c r="Y332" s="132" t="str">
        <f>IF(COUNTIF('Film&amp;Firm-A'!$A:$A, $C332), Y$1, "")</f>
        <v>Film &amp; the Firm: Visual Culture in Business Contexts (A)</v>
      </c>
      <c r="Z332" s="132" t="str">
        <f>IF(COUNTIF('Film&amp;Firm-B'!$A:$A, $C332), Z$1, "")</f>
        <v/>
      </c>
      <c r="AA332" s="132" t="str">
        <f>IF(COUNTIF(SHRM!$A:$A, $C332), AA$1, "")</f>
        <v/>
      </c>
      <c r="AB332" s="132" t="str">
        <f>IF(COUNTIF('SCM-A'!$A:$A, $C332), AB$1, "")</f>
        <v/>
      </c>
      <c r="AC332" s="132" t="str">
        <f>IF(COUNTIF('SCM-B'!$A:$A, $C332), AC$1, "")</f>
        <v/>
      </c>
      <c r="AD332" s="132" t="str">
        <f>IF(COUNTIF(AIS!$A:$A, $C332), AD$1, "")</f>
        <v/>
      </c>
      <c r="AE332" s="132" t="str">
        <f>IF(COUNTIF(EB!$A:$A, $C332), AE$1, "")</f>
        <v/>
      </c>
      <c r="AF332" s="132" t="str">
        <f>IF(COUNTIF('AIAM-A'!$A:$A, $C332), AF$1, "")</f>
        <v/>
      </c>
      <c r="AG332" s="132" t="str">
        <f>IF(COUNTIF('AIAM-B'!$A:$A, $C332), AG$1, "")</f>
        <v/>
      </c>
      <c r="AH332" s="132" t="str">
        <f>IF(COUNTIF('SA-A'!$A:$A, $C332), AH$1, "")</f>
        <v/>
      </c>
      <c r="AI332" s="132" t="str">
        <f>IF(COUNTIF('SA-B'!$A:$A, $C332), AI$1, "")</f>
        <v>SPORTS ANALYTICS (B)</v>
      </c>
      <c r="AJ332" s="132" t="str">
        <f>IF(COUNTIF(CSM!$A:$A, $C332), AJ$1, "")</f>
        <v/>
      </c>
      <c r="AK332" s="132" t="str">
        <f>IF(COUNTIF(EM!$A:$A, $C332), AK$1, "")</f>
        <v/>
      </c>
      <c r="AL332" s="132" t="str">
        <f>IF(COUNTIF(I4TS!$A:$A, $C332), AL$1, "")</f>
        <v/>
      </c>
    </row>
    <row r="333" spans="1:38" ht="14">
      <c r="A333" s="131">
        <v>332</v>
      </c>
      <c r="B333" s="131" t="s">
        <v>1257</v>
      </c>
      <c r="C333" s="134" t="s">
        <v>1274</v>
      </c>
      <c r="D333" s="139" t="s">
        <v>1275</v>
      </c>
      <c r="E333" s="140" t="s">
        <v>1276</v>
      </c>
      <c r="F333" s="131">
        <f t="shared" ca="1" si="1"/>
        <v>5</v>
      </c>
      <c r="G333" s="106" t="str">
        <f ca="1">IFERROR(__xludf.DUMMYFUNCTION("INDEX(FILTER($P333:$AL333, $P333:$AL333 &lt;&gt; """"), 1)"),"Fintech (Digital Transformation in Finance) (A)")</f>
        <v>Fintech (Digital Transformation in Finance) (A)</v>
      </c>
      <c r="H333" s="106" t="str">
        <f ca="1">IFERROR(__xludf.DUMMYFUNCTION("INDEX(FILTER($P333:$AL333, $P333:$AL333 &lt;&gt; """"), 2)"),"Strategic Career Management (B)")</f>
        <v>Strategic Career Management (B)</v>
      </c>
      <c r="I333" s="106" t="str">
        <f ca="1">IFERROR(__xludf.DUMMYFUNCTION("INDEX(FILTER($P333:$AL333, $P333:$AL333 &lt;&gt; """"), 3)"),"SPORTS ANALYTICS (A)")</f>
        <v>SPORTS ANALYTICS (A)</v>
      </c>
      <c r="J333" s="106" t="str">
        <f ca="1">IFERROR(__xludf.DUMMYFUNCTION("IFERROR(INDEX(FILTER($P333:$AL333, $P333:$AL333 &lt;&gt; """"), 4),)"),"")</f>
        <v/>
      </c>
      <c r="K333" s="106" t="str">
        <f ca="1">IFERROR(__xludf.DUMMYFUNCTION("IFERROR(INDEX(FILTER($P333:$AL333, $P333:$AL333 &lt;&gt; """"), 5),)"),"")</f>
        <v/>
      </c>
      <c r="L333" s="107"/>
      <c r="M333" s="107"/>
      <c r="N333" s="107"/>
      <c r="O333" s="107"/>
      <c r="P333" s="132" t="str">
        <f>IF(COUNTIF('Fintech-A'!$A:$A, $C333), P$1, "")</f>
        <v>Fintech (Digital Transformation in Finance) (A)</v>
      </c>
      <c r="Q333" s="132" t="str">
        <f>IF(COUNTIF('Fintech-B'!$A:$A, $C333), Q$1, "")</f>
        <v/>
      </c>
      <c r="R333" s="132" t="str">
        <f>IF(COUNTIF('BEDM-A'!$A:$A, $C333), R$1, "")</f>
        <v/>
      </c>
      <c r="S333" s="132" t="str">
        <f>IF(COUNTIF('BEDM-B'!$A:$A, $C333), S$1, "")</f>
        <v/>
      </c>
      <c r="T333" s="132" t="str">
        <f>IF(COUNTIF('Art-A'!$A:$A, $C333), T$1, "")</f>
        <v/>
      </c>
      <c r="U333" s="132" t="str">
        <f>IF(COUNTIF('Art-B'!$A:$A, $C333), U$1, "")</f>
        <v/>
      </c>
      <c r="V333" s="132" t="str">
        <f>IF(COUNTIF('WH-A'!$A:$A, $C333), V$1, "")</f>
        <v/>
      </c>
      <c r="W333" s="132" t="str">
        <f>IF(COUNTIF('WH-B'!$A:$A, $C333), W$1, "")</f>
        <v/>
      </c>
      <c r="X333" s="132" t="str">
        <f>IF(COUNTIF(LETV!$A:$A, $C333), X$1, "")</f>
        <v/>
      </c>
      <c r="Y333" s="132" t="str">
        <f>IF(COUNTIF('Film&amp;Firm-A'!$A:$A, $C333), Y$1, "")</f>
        <v/>
      </c>
      <c r="Z333" s="132" t="str">
        <f>IF(COUNTIF('Film&amp;Firm-B'!$A:$A, $C333), Z$1, "")</f>
        <v/>
      </c>
      <c r="AA333" s="132" t="str">
        <f>IF(COUNTIF(SHRM!$A:$A, $C333), AA$1, "")</f>
        <v/>
      </c>
      <c r="AB333" s="132" t="str">
        <f>IF(COUNTIF('SCM-A'!$A:$A, $C333), AB$1, "")</f>
        <v/>
      </c>
      <c r="AC333" s="132" t="str">
        <f>IF(COUNTIF('SCM-B'!$A:$A, $C333), AC$1, "")</f>
        <v>Strategic Career Management (B)</v>
      </c>
      <c r="AD333" s="132" t="str">
        <f>IF(COUNTIF(AIS!$A:$A, $C333), AD$1, "")</f>
        <v/>
      </c>
      <c r="AE333" s="132" t="str">
        <f>IF(COUNTIF(EB!$A:$A, $C333), AE$1, "")</f>
        <v/>
      </c>
      <c r="AF333" s="132" t="str">
        <f>IF(COUNTIF('AIAM-A'!$A:$A, $C333), AF$1, "")</f>
        <v/>
      </c>
      <c r="AG333" s="132" t="str">
        <f>IF(COUNTIF('AIAM-B'!$A:$A, $C333), AG$1, "")</f>
        <v/>
      </c>
      <c r="AH333" s="132" t="str">
        <f>IF(COUNTIF('SA-A'!$A:$A, $C333), AH$1, "")</f>
        <v>SPORTS ANALYTICS (A)</v>
      </c>
      <c r="AI333" s="132" t="str">
        <f>IF(COUNTIF('SA-B'!$A:$A, $C333), AI$1, "")</f>
        <v/>
      </c>
      <c r="AJ333" s="132" t="str">
        <f>IF(COUNTIF(CSM!$A:$A, $C333), AJ$1, "")</f>
        <v/>
      </c>
      <c r="AK333" s="132" t="str">
        <f>IF(COUNTIF(EM!$A:$A, $C333), AK$1, "")</f>
        <v/>
      </c>
      <c r="AL333" s="132" t="str">
        <f>IF(COUNTIF(I4TS!$A:$A, $C333), AL$1, "")</f>
        <v/>
      </c>
    </row>
    <row r="334" spans="1:38" ht="14">
      <c r="A334" s="131">
        <v>333</v>
      </c>
      <c r="B334" s="131" t="s">
        <v>1257</v>
      </c>
      <c r="C334" s="134" t="s">
        <v>1277</v>
      </c>
      <c r="D334" s="139" t="s">
        <v>1278</v>
      </c>
      <c r="E334" s="140" t="s">
        <v>1279</v>
      </c>
      <c r="F334" s="131">
        <f t="shared" ca="1" si="1"/>
        <v>5</v>
      </c>
      <c r="G334" s="106" t="str">
        <f ca="1">IFERROR(__xludf.DUMMYFUNCTION("INDEX(FILTER($P334:$AL334, $P334:$AL334 &lt;&gt; """"), 1)"),"The Art, Craft, and Science of Management: Learning through Classics and Best Collections (B)")</f>
        <v>The Art, Craft, and Science of Management: Learning through Classics and Best Collections (B)</v>
      </c>
      <c r="H334" s="106" t="str">
        <f ca="1">IFERROR(__xludf.DUMMYFUNCTION("INDEX(FILTER($P334:$AL334, $P334:$AL334 &lt;&gt; """"), 2)"),"AI Applications in Marketing (B)")</f>
        <v>AI Applications in Marketing (B)</v>
      </c>
      <c r="I334" s="106" t="str">
        <f ca="1">IFERROR(__xludf.DUMMYFUNCTION("INDEX(FILTER($P334:$AL334, $P334:$AL334 &lt;&gt; """"), 3)"),"Industry 4.0 in Transport Sector")</f>
        <v>Industry 4.0 in Transport Sector</v>
      </c>
      <c r="J334" s="106" t="str">
        <f ca="1">IFERROR(__xludf.DUMMYFUNCTION("IFERROR(INDEX(FILTER($P334:$AL334, $P334:$AL334 &lt;&gt; """"), 4),)"),"")</f>
        <v/>
      </c>
      <c r="K334" s="106" t="str">
        <f ca="1">IFERROR(__xludf.DUMMYFUNCTION("IFERROR(INDEX(FILTER($P334:$AL334, $P334:$AL334 &lt;&gt; """"), 5),)"),"")</f>
        <v/>
      </c>
      <c r="L334" s="107"/>
      <c r="M334" s="107"/>
      <c r="N334" s="107"/>
      <c r="O334" s="107"/>
      <c r="P334" s="132" t="str">
        <f>IF(COUNTIF('Fintech-A'!$A:$A, $C334), P$1, "")</f>
        <v/>
      </c>
      <c r="Q334" s="132" t="str">
        <f>IF(COUNTIF('Fintech-B'!$A:$A, $C334), Q$1, "")</f>
        <v/>
      </c>
      <c r="R334" s="132" t="str">
        <f>IF(COUNTIF('BEDM-A'!$A:$A, $C334), R$1, "")</f>
        <v/>
      </c>
      <c r="S334" s="132" t="str">
        <f>IF(COUNTIF('BEDM-B'!$A:$A, $C334), S$1, "")</f>
        <v/>
      </c>
      <c r="T334" s="132" t="str">
        <f>IF(COUNTIF('Art-A'!$A:$A, $C334), T$1, "")</f>
        <v/>
      </c>
      <c r="U334" s="132" t="str">
        <f>IF(COUNTIF('Art-B'!$A:$A, $C334), U$1, "")</f>
        <v>The Art, Craft, and Science of Management: Learning through Classics and Best Collections (B)</v>
      </c>
      <c r="V334" s="132" t="str">
        <f>IF(COUNTIF('WH-A'!$A:$A, $C334), V$1, "")</f>
        <v/>
      </c>
      <c r="W334" s="132" t="str">
        <f>IF(COUNTIF('WH-B'!$A:$A, $C334), W$1, "")</f>
        <v/>
      </c>
      <c r="X334" s="132" t="str">
        <f>IF(COUNTIF(LETV!$A:$A, $C334), X$1, "")</f>
        <v/>
      </c>
      <c r="Y334" s="132" t="str">
        <f>IF(COUNTIF('Film&amp;Firm-A'!$A:$A, $C334), Y$1, "")</f>
        <v/>
      </c>
      <c r="Z334" s="132" t="str">
        <f>IF(COUNTIF('Film&amp;Firm-B'!$A:$A, $C334), Z$1, "")</f>
        <v/>
      </c>
      <c r="AA334" s="132" t="str">
        <f>IF(COUNTIF(SHRM!$A:$A, $C334), AA$1, "")</f>
        <v/>
      </c>
      <c r="AB334" s="132" t="str">
        <f>IF(COUNTIF('SCM-A'!$A:$A, $C334), AB$1, "")</f>
        <v/>
      </c>
      <c r="AC334" s="132" t="str">
        <f>IF(COUNTIF('SCM-B'!$A:$A, $C334), AC$1, "")</f>
        <v/>
      </c>
      <c r="AD334" s="132" t="str">
        <f>IF(COUNTIF(AIS!$A:$A, $C334), AD$1, "")</f>
        <v/>
      </c>
      <c r="AE334" s="132" t="str">
        <f>IF(COUNTIF(EB!$A:$A, $C334), AE$1, "")</f>
        <v/>
      </c>
      <c r="AF334" s="132" t="str">
        <f>IF(COUNTIF('AIAM-A'!$A:$A, $C334), AF$1, "")</f>
        <v/>
      </c>
      <c r="AG334" s="132" t="str">
        <f>IF(COUNTIF('AIAM-B'!$A:$A, $C334), AG$1, "")</f>
        <v>AI Applications in Marketing (B)</v>
      </c>
      <c r="AH334" s="132" t="str">
        <f>IF(COUNTIF('SA-A'!$A:$A, $C334), AH$1, "")</f>
        <v/>
      </c>
      <c r="AI334" s="132" t="str">
        <f>IF(COUNTIF('SA-B'!$A:$A, $C334), AI$1, "")</f>
        <v/>
      </c>
      <c r="AJ334" s="132" t="str">
        <f>IF(COUNTIF(CSM!$A:$A, $C334), AJ$1, "")</f>
        <v/>
      </c>
      <c r="AK334" s="132" t="str">
        <f>IF(COUNTIF(EM!$A:$A, $C334), AK$1, "")</f>
        <v/>
      </c>
      <c r="AL334" s="132" t="str">
        <f>IF(COUNTIF(I4TS!$A:$A, $C334), AL$1, "")</f>
        <v>Industry 4.0 in Transport Sector</v>
      </c>
    </row>
    <row r="335" spans="1:38" ht="14">
      <c r="A335" s="131">
        <v>334</v>
      </c>
      <c r="B335" s="131" t="s">
        <v>1257</v>
      </c>
      <c r="C335" s="134" t="s">
        <v>1280</v>
      </c>
      <c r="D335" s="139" t="s">
        <v>1281</v>
      </c>
      <c r="E335" s="140" t="s">
        <v>1282</v>
      </c>
      <c r="F335" s="131">
        <f t="shared" ca="1" si="1"/>
        <v>5</v>
      </c>
      <c r="G335" s="106" t="str">
        <f ca="1">IFERROR(__xludf.DUMMYFUNCTION("INDEX(FILTER($P335:$AL335, $P335:$AL335 &lt;&gt; """"), 1)"),"Fintech (Digital Transformation in Finance) (A)")</f>
        <v>Fintech (Digital Transformation in Finance) (A)</v>
      </c>
      <c r="H335" s="106" t="str">
        <f ca="1">IFERROR(__xludf.DUMMYFUNCTION("INDEX(FILTER($P335:$AL335, $P335:$AL335 &lt;&gt; """"), 2)"),"The Art, Craft, and Science of Management: Learning through Classics and Best Collections (A)")</f>
        <v>The Art, Craft, and Science of Management: Learning through Classics and Best Collections (A)</v>
      </c>
      <c r="I335" s="106" t="str">
        <f ca="1">IFERROR(__xludf.DUMMYFUNCTION("INDEX(FILTER($P335:$AL335, $P335:$AL335 &lt;&gt; """"), 3)"),"SPORTS ANALYTICS (A)")</f>
        <v>SPORTS ANALYTICS (A)</v>
      </c>
      <c r="J335" s="106" t="str">
        <f ca="1">IFERROR(__xludf.DUMMYFUNCTION("IFERROR(INDEX(FILTER($P335:$AL335, $P335:$AL335 &lt;&gt; """"), 4),)"),"")</f>
        <v/>
      </c>
      <c r="K335" s="106" t="str">
        <f ca="1">IFERROR(__xludf.DUMMYFUNCTION("IFERROR(INDEX(FILTER($P335:$AL335, $P335:$AL335 &lt;&gt; """"), 5),)"),"")</f>
        <v/>
      </c>
      <c r="L335" s="107"/>
      <c r="M335" s="107"/>
      <c r="N335" s="107"/>
      <c r="O335" s="107"/>
      <c r="P335" s="132" t="str">
        <f>IF(COUNTIF('Fintech-A'!$A:$A, $C335), P$1, "")</f>
        <v>Fintech (Digital Transformation in Finance) (A)</v>
      </c>
      <c r="Q335" s="132" t="str">
        <f>IF(COUNTIF('Fintech-B'!$A:$A, $C335), Q$1, "")</f>
        <v/>
      </c>
      <c r="R335" s="132" t="str">
        <f>IF(COUNTIF('BEDM-A'!$A:$A, $C335), R$1, "")</f>
        <v/>
      </c>
      <c r="S335" s="132" t="str">
        <f>IF(COUNTIF('BEDM-B'!$A:$A, $C335), S$1, "")</f>
        <v/>
      </c>
      <c r="T335" s="132" t="str">
        <f>IF(COUNTIF('Art-A'!$A:$A, $C335), T$1, "")</f>
        <v>The Art, Craft, and Science of Management: Learning through Classics and Best Collections (A)</v>
      </c>
      <c r="U335" s="132" t="str">
        <f>IF(COUNTIF('Art-B'!$A:$A, $C335), U$1, "")</f>
        <v/>
      </c>
      <c r="V335" s="132" t="str">
        <f>IF(COUNTIF('WH-A'!$A:$A, $C335), V$1, "")</f>
        <v/>
      </c>
      <c r="W335" s="132" t="str">
        <f>IF(COUNTIF('WH-B'!$A:$A, $C335), W$1, "")</f>
        <v/>
      </c>
      <c r="X335" s="132" t="str">
        <f>IF(COUNTIF(LETV!$A:$A, $C335), X$1, "")</f>
        <v/>
      </c>
      <c r="Y335" s="132" t="str">
        <f>IF(COUNTIF('Film&amp;Firm-A'!$A:$A, $C335), Y$1, "")</f>
        <v/>
      </c>
      <c r="Z335" s="132" t="str">
        <f>IF(COUNTIF('Film&amp;Firm-B'!$A:$A, $C335), Z$1, "")</f>
        <v/>
      </c>
      <c r="AA335" s="132" t="str">
        <f>IF(COUNTIF(SHRM!$A:$A, $C335), AA$1, "")</f>
        <v/>
      </c>
      <c r="AB335" s="132" t="str">
        <f>IF(COUNTIF('SCM-A'!$A:$A, $C335), AB$1, "")</f>
        <v/>
      </c>
      <c r="AC335" s="132" t="str">
        <f>IF(COUNTIF('SCM-B'!$A:$A, $C335), AC$1, "")</f>
        <v/>
      </c>
      <c r="AD335" s="132" t="str">
        <f>IF(COUNTIF(AIS!$A:$A, $C335), AD$1, "")</f>
        <v/>
      </c>
      <c r="AE335" s="132" t="str">
        <f>IF(COUNTIF(EB!$A:$A, $C335), AE$1, "")</f>
        <v/>
      </c>
      <c r="AF335" s="132" t="str">
        <f>IF(COUNTIF('AIAM-A'!$A:$A, $C335), AF$1, "")</f>
        <v/>
      </c>
      <c r="AG335" s="132" t="str">
        <f>IF(COUNTIF('AIAM-B'!$A:$A, $C335), AG$1, "")</f>
        <v/>
      </c>
      <c r="AH335" s="132" t="str">
        <f>IF(COUNTIF('SA-A'!$A:$A, $C335), AH$1, "")</f>
        <v>SPORTS ANALYTICS (A)</v>
      </c>
      <c r="AI335" s="132" t="str">
        <f>IF(COUNTIF('SA-B'!$A:$A, $C335), AI$1, "")</f>
        <v/>
      </c>
      <c r="AJ335" s="132" t="str">
        <f>IF(COUNTIF(CSM!$A:$A, $C335), AJ$1, "")</f>
        <v/>
      </c>
      <c r="AK335" s="132" t="str">
        <f>IF(COUNTIF(EM!$A:$A, $C335), AK$1, "")</f>
        <v/>
      </c>
      <c r="AL335" s="132" t="str">
        <f>IF(COUNTIF(I4TS!$A:$A, $C335), AL$1, "")</f>
        <v/>
      </c>
    </row>
    <row r="336" spans="1:38" ht="14">
      <c r="A336" s="131">
        <v>335</v>
      </c>
      <c r="B336" s="131" t="s">
        <v>1257</v>
      </c>
      <c r="C336" s="134" t="s">
        <v>1283</v>
      </c>
      <c r="D336" s="139" t="s">
        <v>1284</v>
      </c>
      <c r="E336" s="140" t="s">
        <v>1285</v>
      </c>
      <c r="F336" s="131">
        <f t="shared" ca="1" si="1"/>
        <v>5</v>
      </c>
      <c r="G336" s="106" t="str">
        <f ca="1">IFERROR(__xludf.DUMMYFUNCTION("INDEX(FILTER($P336:$AL336, $P336:$AL336 &lt;&gt; """"), 1)"),"Fintech (Digital Transformation in Finance) (A)")</f>
        <v>Fintech (Digital Transformation in Finance) (A)</v>
      </c>
      <c r="H336" s="106" t="str">
        <f ca="1">IFERROR(__xludf.DUMMYFUNCTION("INDEX(FILTER($P336:$AL336, $P336:$AL336 &lt;&gt; """"), 2)"),"SPORTS ANALYTICS (A)")</f>
        <v>SPORTS ANALYTICS (A)</v>
      </c>
      <c r="I336" s="106" t="str">
        <f ca="1">IFERROR(__xludf.DUMMYFUNCTION("INDEX(FILTER($P336:$AL336, $P336:$AL336 &lt;&gt; """"), 3)"),"Industry 4.0 in Transport Sector")</f>
        <v>Industry 4.0 in Transport Sector</v>
      </c>
      <c r="J336" s="106" t="str">
        <f ca="1">IFERROR(__xludf.DUMMYFUNCTION("IFERROR(INDEX(FILTER($P336:$AL336, $P336:$AL336 &lt;&gt; """"), 4),)"),"")</f>
        <v/>
      </c>
      <c r="K336" s="106" t="str">
        <f ca="1">IFERROR(__xludf.DUMMYFUNCTION("IFERROR(INDEX(FILTER($P336:$AL336, $P336:$AL336 &lt;&gt; """"), 5),)"),"")</f>
        <v/>
      </c>
      <c r="L336" s="107"/>
      <c r="M336" s="107"/>
      <c r="N336" s="107"/>
      <c r="O336" s="107"/>
      <c r="P336" s="132" t="str">
        <f>IF(COUNTIF('Fintech-A'!$A:$A, $C336), P$1, "")</f>
        <v>Fintech (Digital Transformation in Finance) (A)</v>
      </c>
      <c r="Q336" s="132" t="str">
        <f>IF(COUNTIF('Fintech-B'!$A:$A, $C336), Q$1, "")</f>
        <v/>
      </c>
      <c r="R336" s="132" t="str">
        <f>IF(COUNTIF('BEDM-A'!$A:$A, $C336), R$1, "")</f>
        <v/>
      </c>
      <c r="S336" s="132" t="str">
        <f>IF(COUNTIF('BEDM-B'!$A:$A, $C336), S$1, "")</f>
        <v/>
      </c>
      <c r="T336" s="132" t="str">
        <f>IF(COUNTIF('Art-A'!$A:$A, $C336), T$1, "")</f>
        <v/>
      </c>
      <c r="U336" s="132" t="str">
        <f>IF(COUNTIF('Art-B'!$A:$A, $C336), U$1, "")</f>
        <v/>
      </c>
      <c r="V336" s="132" t="str">
        <f>IF(COUNTIF('WH-A'!$A:$A, $C336), V$1, "")</f>
        <v/>
      </c>
      <c r="W336" s="132" t="str">
        <f>IF(COUNTIF('WH-B'!$A:$A, $C336), W$1, "")</f>
        <v/>
      </c>
      <c r="X336" s="132" t="str">
        <f>IF(COUNTIF(LETV!$A:$A, $C336), X$1, "")</f>
        <v/>
      </c>
      <c r="Y336" s="132" t="str">
        <f>IF(COUNTIF('Film&amp;Firm-A'!$A:$A, $C336), Y$1, "")</f>
        <v/>
      </c>
      <c r="Z336" s="132" t="str">
        <f>IF(COUNTIF('Film&amp;Firm-B'!$A:$A, $C336), Z$1, "")</f>
        <v/>
      </c>
      <c r="AA336" s="132" t="str">
        <f>IF(COUNTIF(SHRM!$A:$A, $C336), AA$1, "")</f>
        <v/>
      </c>
      <c r="AB336" s="132" t="str">
        <f>IF(COUNTIF('SCM-A'!$A:$A, $C336), AB$1, "")</f>
        <v/>
      </c>
      <c r="AC336" s="132" t="str">
        <f>IF(COUNTIF('SCM-B'!$A:$A, $C336), AC$1, "")</f>
        <v/>
      </c>
      <c r="AD336" s="132" t="str">
        <f>IF(COUNTIF(AIS!$A:$A, $C336), AD$1, "")</f>
        <v/>
      </c>
      <c r="AE336" s="132" t="str">
        <f>IF(COUNTIF(EB!$A:$A, $C336), AE$1, "")</f>
        <v/>
      </c>
      <c r="AF336" s="132" t="str">
        <f>IF(COUNTIF('AIAM-A'!$A:$A, $C336), AF$1, "")</f>
        <v/>
      </c>
      <c r="AG336" s="132" t="str">
        <f>IF(COUNTIF('AIAM-B'!$A:$A, $C336), AG$1, "")</f>
        <v/>
      </c>
      <c r="AH336" s="132" t="str">
        <f>IF(COUNTIF('SA-A'!$A:$A, $C336), AH$1, "")</f>
        <v>SPORTS ANALYTICS (A)</v>
      </c>
      <c r="AI336" s="132" t="str">
        <f>IF(COUNTIF('SA-B'!$A:$A, $C336), AI$1, "")</f>
        <v/>
      </c>
      <c r="AJ336" s="132" t="str">
        <f>IF(COUNTIF(CSM!$A:$A, $C336), AJ$1, "")</f>
        <v/>
      </c>
      <c r="AK336" s="132" t="str">
        <f>IF(COUNTIF(EM!$A:$A, $C336), AK$1, "")</f>
        <v/>
      </c>
      <c r="AL336" s="132" t="str">
        <f>IF(COUNTIF(I4TS!$A:$A, $C336), AL$1, "")</f>
        <v>Industry 4.0 in Transport Sector</v>
      </c>
    </row>
    <row r="337" spans="1:38" ht="14">
      <c r="A337" s="131">
        <v>336</v>
      </c>
      <c r="B337" s="131" t="s">
        <v>1257</v>
      </c>
      <c r="C337" s="134" t="s">
        <v>1286</v>
      </c>
      <c r="D337" s="139" t="s">
        <v>1287</v>
      </c>
      <c r="E337" s="140" t="s">
        <v>1288</v>
      </c>
      <c r="F337" s="131">
        <f t="shared" ca="1" si="1"/>
        <v>5</v>
      </c>
      <c r="G337" s="106" t="str">
        <f ca="1">IFERROR(__xludf.DUMMYFUNCTION("INDEX(FILTER($P337:$AL337, $P337:$AL337 &lt;&gt; """"), 1)"),"The Art, Craft, and Science of Management: Learning through Classics and Best Collections (B)")</f>
        <v>The Art, Craft, and Science of Management: Learning through Classics and Best Collections (B)</v>
      </c>
      <c r="H337" s="106" t="str">
        <f ca="1">IFERROR(__xludf.DUMMYFUNCTION("INDEX(FILTER($P337:$AL337, $P337:$AL337 &lt;&gt; """"), 2)"),"Film &amp; the Firm: Visual Culture in Business Contexts (B)")</f>
        <v>Film &amp; the Firm: Visual Culture in Business Contexts (B)</v>
      </c>
      <c r="I337" s="106" t="str">
        <f ca="1">IFERROR(__xludf.DUMMYFUNCTION("INDEX(FILTER($P337:$AL337, $P337:$AL337 &lt;&gt; """"), 3)"),"AI AND  STRATEGY")</f>
        <v>AI AND  STRATEGY</v>
      </c>
      <c r="J337" s="106" t="str">
        <f ca="1">IFERROR(__xludf.DUMMYFUNCTION("IFERROR(INDEX(FILTER($P337:$AL337, $P337:$AL337 &lt;&gt; """"), 4),)"),"")</f>
        <v/>
      </c>
      <c r="K337" s="106" t="str">
        <f ca="1">IFERROR(__xludf.DUMMYFUNCTION("IFERROR(INDEX(FILTER($P337:$AL337, $P337:$AL337 &lt;&gt; """"), 5),)"),"")</f>
        <v/>
      </c>
      <c r="L337" s="107"/>
      <c r="M337" s="107"/>
      <c r="N337" s="107"/>
      <c r="O337" s="107"/>
      <c r="P337" s="132" t="str">
        <f>IF(COUNTIF('Fintech-A'!$A:$A, $C337), P$1, "")</f>
        <v/>
      </c>
      <c r="Q337" s="132" t="str">
        <f>IF(COUNTIF('Fintech-B'!$A:$A, $C337), Q$1, "")</f>
        <v/>
      </c>
      <c r="R337" s="132" t="str">
        <f>IF(COUNTIF('BEDM-A'!$A:$A, $C337), R$1, "")</f>
        <v/>
      </c>
      <c r="S337" s="132" t="str">
        <f>IF(COUNTIF('BEDM-B'!$A:$A, $C337), S$1, "")</f>
        <v/>
      </c>
      <c r="T337" s="132" t="str">
        <f>IF(COUNTIF('Art-A'!$A:$A, $C337), T$1, "")</f>
        <v/>
      </c>
      <c r="U337" s="132" t="str">
        <f>IF(COUNTIF('Art-B'!$A:$A, $C337), U$1, "")</f>
        <v>The Art, Craft, and Science of Management: Learning through Classics and Best Collections (B)</v>
      </c>
      <c r="V337" s="132" t="str">
        <f>IF(COUNTIF('WH-A'!$A:$A, $C337), V$1, "")</f>
        <v/>
      </c>
      <c r="W337" s="132" t="str">
        <f>IF(COUNTIF('WH-B'!$A:$A, $C337), W$1, "")</f>
        <v/>
      </c>
      <c r="X337" s="132" t="str">
        <f>IF(COUNTIF(LETV!$A:$A, $C337), X$1, "")</f>
        <v/>
      </c>
      <c r="Y337" s="132" t="str">
        <f>IF(COUNTIF('Film&amp;Firm-A'!$A:$A, $C337), Y$1, "")</f>
        <v/>
      </c>
      <c r="Z337" s="132" t="str">
        <f>IF(COUNTIF('Film&amp;Firm-B'!$A:$A, $C337), Z$1, "")</f>
        <v>Film &amp; the Firm: Visual Culture in Business Contexts (B)</v>
      </c>
      <c r="AA337" s="132" t="str">
        <f>IF(COUNTIF(SHRM!$A:$A, $C337), AA$1, "")</f>
        <v/>
      </c>
      <c r="AB337" s="132" t="str">
        <f>IF(COUNTIF('SCM-A'!$A:$A, $C337), AB$1, "")</f>
        <v/>
      </c>
      <c r="AC337" s="132" t="str">
        <f>IF(COUNTIF('SCM-B'!$A:$A, $C337), AC$1, "")</f>
        <v/>
      </c>
      <c r="AD337" s="132" t="str">
        <f>IF(COUNTIF(AIS!$A:$A, $C337), AD$1, "")</f>
        <v>AI AND  STRATEGY</v>
      </c>
      <c r="AE337" s="132" t="str">
        <f>IF(COUNTIF(EB!$A:$A, $C337), AE$1, "")</f>
        <v/>
      </c>
      <c r="AF337" s="132" t="str">
        <f>IF(COUNTIF('AIAM-A'!$A:$A, $C337), AF$1, "")</f>
        <v/>
      </c>
      <c r="AG337" s="132" t="str">
        <f>IF(COUNTIF('AIAM-B'!$A:$A, $C337), AG$1, "")</f>
        <v/>
      </c>
      <c r="AH337" s="132" t="str">
        <f>IF(COUNTIF('SA-A'!$A:$A, $C337), AH$1, "")</f>
        <v/>
      </c>
      <c r="AI337" s="132" t="str">
        <f>IF(COUNTIF('SA-B'!$A:$A, $C337), AI$1, "")</f>
        <v/>
      </c>
      <c r="AJ337" s="132" t="str">
        <f>IF(COUNTIF(CSM!$A:$A, $C337), AJ$1, "")</f>
        <v/>
      </c>
      <c r="AK337" s="132" t="str">
        <f>IF(COUNTIF(EM!$A:$A, $C337), AK$1, "")</f>
        <v/>
      </c>
      <c r="AL337" s="132" t="str">
        <f>IF(COUNTIF(I4TS!$A:$A, $C337), AL$1, "")</f>
        <v/>
      </c>
    </row>
    <row r="338" spans="1:38" ht="14">
      <c r="A338" s="131">
        <v>337</v>
      </c>
      <c r="B338" s="131" t="s">
        <v>1257</v>
      </c>
      <c r="C338" s="134" t="s">
        <v>1289</v>
      </c>
      <c r="D338" s="139" t="s">
        <v>1290</v>
      </c>
      <c r="E338" s="140" t="s">
        <v>1291</v>
      </c>
      <c r="F338" s="131">
        <f t="shared" ca="1" si="1"/>
        <v>5</v>
      </c>
      <c r="G338" s="106" t="str">
        <f ca="1">IFERROR(__xludf.DUMMYFUNCTION("INDEX(FILTER($P338:$AL338, $P338:$AL338 &lt;&gt; """"), 1)"),"Fintech (Digital Transformation in Finance) (B)")</f>
        <v>Fintech (Digital Transformation in Finance) (B)</v>
      </c>
      <c r="H338" s="106" t="str">
        <f ca="1">IFERROR(__xludf.DUMMYFUNCTION("INDEX(FILTER($P338:$AL338, $P338:$AL338 &lt;&gt; """"), 2)"),"Film &amp; the Firm: Visual Culture in Business Contexts (B)")</f>
        <v>Film &amp; the Firm: Visual Culture in Business Contexts (B)</v>
      </c>
      <c r="I338" s="106" t="str">
        <f ca="1">IFERROR(__xludf.DUMMYFUNCTION("INDEX(FILTER($P338:$AL338, $P338:$AL338 &lt;&gt; """"), 3)"),"SPORTS ANALYTICS (B)")</f>
        <v>SPORTS ANALYTICS (B)</v>
      </c>
      <c r="J338" s="106" t="str">
        <f ca="1">IFERROR(__xludf.DUMMYFUNCTION("IFERROR(INDEX(FILTER($P338:$AL338, $P338:$AL338 &lt;&gt; """"), 4),)"),"")</f>
        <v/>
      </c>
      <c r="K338" s="106" t="str">
        <f ca="1">IFERROR(__xludf.DUMMYFUNCTION("IFERROR(INDEX(FILTER($P338:$AL338, $P338:$AL338 &lt;&gt; """"), 5),)"),"")</f>
        <v/>
      </c>
      <c r="L338" s="107"/>
      <c r="M338" s="107"/>
      <c r="N338" s="107"/>
      <c r="O338" s="107"/>
      <c r="P338" s="132" t="str">
        <f>IF(COUNTIF('Fintech-A'!$A:$A, $C338), P$1, "")</f>
        <v/>
      </c>
      <c r="Q338" s="132" t="str">
        <f>IF(COUNTIF('Fintech-B'!$A:$A, $C338), Q$1, "")</f>
        <v>Fintech (Digital Transformation in Finance) (B)</v>
      </c>
      <c r="R338" s="132" t="str">
        <f>IF(COUNTIF('BEDM-A'!$A:$A, $C338), R$1, "")</f>
        <v/>
      </c>
      <c r="S338" s="132" t="str">
        <f>IF(COUNTIF('BEDM-B'!$A:$A, $C338), S$1, "")</f>
        <v/>
      </c>
      <c r="T338" s="132" t="str">
        <f>IF(COUNTIF('Art-A'!$A:$A, $C338), T$1, "")</f>
        <v/>
      </c>
      <c r="U338" s="132" t="str">
        <f>IF(COUNTIF('Art-B'!$A:$A, $C338), U$1, "")</f>
        <v/>
      </c>
      <c r="V338" s="132" t="str">
        <f>IF(COUNTIF('WH-A'!$A:$A, $C338), V$1, "")</f>
        <v/>
      </c>
      <c r="W338" s="132" t="str">
        <f>IF(COUNTIF('WH-B'!$A:$A, $C338), W$1, "")</f>
        <v/>
      </c>
      <c r="X338" s="132" t="str">
        <f>IF(COUNTIF(LETV!$A:$A, $C338), X$1, "")</f>
        <v/>
      </c>
      <c r="Y338" s="132" t="str">
        <f>IF(COUNTIF('Film&amp;Firm-A'!$A:$A, $C338), Y$1, "")</f>
        <v/>
      </c>
      <c r="Z338" s="132" t="str">
        <f>IF(COUNTIF('Film&amp;Firm-B'!$A:$A, $C338), Z$1, "")</f>
        <v>Film &amp; the Firm: Visual Culture in Business Contexts (B)</v>
      </c>
      <c r="AA338" s="132" t="str">
        <f>IF(COUNTIF(SHRM!$A:$A, $C338), AA$1, "")</f>
        <v/>
      </c>
      <c r="AB338" s="132" t="str">
        <f>IF(COUNTIF('SCM-A'!$A:$A, $C338), AB$1, "")</f>
        <v/>
      </c>
      <c r="AC338" s="132" t="str">
        <f>IF(COUNTIF('SCM-B'!$A:$A, $C338), AC$1, "")</f>
        <v/>
      </c>
      <c r="AD338" s="132" t="str">
        <f>IF(COUNTIF(AIS!$A:$A, $C338), AD$1, "")</f>
        <v/>
      </c>
      <c r="AE338" s="132" t="str">
        <f>IF(COUNTIF(EB!$A:$A, $C338), AE$1, "")</f>
        <v/>
      </c>
      <c r="AF338" s="132" t="str">
        <f>IF(COUNTIF('AIAM-A'!$A:$A, $C338), AF$1, "")</f>
        <v/>
      </c>
      <c r="AG338" s="132" t="str">
        <f>IF(COUNTIF('AIAM-B'!$A:$A, $C338), AG$1, "")</f>
        <v/>
      </c>
      <c r="AH338" s="132" t="str">
        <f>IF(COUNTIF('SA-A'!$A:$A, $C338), AH$1, "")</f>
        <v/>
      </c>
      <c r="AI338" s="132" t="str">
        <f>IF(COUNTIF('SA-B'!$A:$A, $C338), AI$1, "")</f>
        <v>SPORTS ANALYTICS (B)</v>
      </c>
      <c r="AJ338" s="132" t="str">
        <f>IF(COUNTIF(CSM!$A:$A, $C338), AJ$1, "")</f>
        <v/>
      </c>
      <c r="AK338" s="132" t="str">
        <f>IF(COUNTIF(EM!$A:$A, $C338), AK$1, "")</f>
        <v/>
      </c>
      <c r="AL338" s="132" t="str">
        <f>IF(COUNTIF(I4TS!$A:$A, $C338), AL$1, "")</f>
        <v/>
      </c>
    </row>
    <row r="339" spans="1:38" ht="14">
      <c r="A339" s="131">
        <v>338</v>
      </c>
      <c r="B339" s="131" t="s">
        <v>1257</v>
      </c>
      <c r="C339" s="134" t="s">
        <v>1292</v>
      </c>
      <c r="D339" s="139" t="s">
        <v>1293</v>
      </c>
      <c r="E339" s="140" t="s">
        <v>1294</v>
      </c>
      <c r="F339" s="131">
        <f t="shared" ca="1" si="1"/>
        <v>5</v>
      </c>
      <c r="G339" s="106" t="str">
        <f ca="1">IFERROR(__xludf.DUMMYFUNCTION("INDEX(FILTER($P339:$AL339, $P339:$AL339 &lt;&gt; """"), 1)"),"Film &amp; the Firm: Visual Culture in Business Contexts (A)")</f>
        <v>Film &amp; the Firm: Visual Culture in Business Contexts (A)</v>
      </c>
      <c r="H339" s="106" t="str">
        <f ca="1">IFERROR(__xludf.DUMMYFUNCTION("INDEX(FILTER($P339:$AL339, $P339:$AL339 &lt;&gt; """"), 2)"),"AI Applications in Marketing (B)")</f>
        <v>AI Applications in Marketing (B)</v>
      </c>
      <c r="I339" s="106" t="str">
        <f ca="1">IFERROR(__xludf.DUMMYFUNCTION("INDEX(FILTER($P339:$AL339, $P339:$AL339 &lt;&gt; """"), 3)"),"SPORTS ANALYTICS (B)")</f>
        <v>SPORTS ANALYTICS (B)</v>
      </c>
      <c r="J339" s="106" t="str">
        <f ca="1">IFERROR(__xludf.DUMMYFUNCTION("IFERROR(INDEX(FILTER($P339:$AL339, $P339:$AL339 &lt;&gt; """"), 4),)"),"")</f>
        <v/>
      </c>
      <c r="K339" s="106" t="str">
        <f ca="1">IFERROR(__xludf.DUMMYFUNCTION("IFERROR(INDEX(FILTER($P339:$AL339, $P339:$AL339 &lt;&gt; """"), 5),)"),"")</f>
        <v/>
      </c>
      <c r="L339" s="107"/>
      <c r="M339" s="107"/>
      <c r="N339" s="107"/>
      <c r="O339" s="107"/>
      <c r="P339" s="132" t="str">
        <f>IF(COUNTIF('Fintech-A'!$A:$A, $C339), P$1, "")</f>
        <v/>
      </c>
      <c r="Q339" s="132" t="str">
        <f>IF(COUNTIF('Fintech-B'!$A:$A, $C339), Q$1, "")</f>
        <v/>
      </c>
      <c r="R339" s="132" t="str">
        <f>IF(COUNTIF('BEDM-A'!$A:$A, $C339), R$1, "")</f>
        <v/>
      </c>
      <c r="S339" s="132" t="str">
        <f>IF(COUNTIF('BEDM-B'!$A:$A, $C339), S$1, "")</f>
        <v/>
      </c>
      <c r="T339" s="132" t="str">
        <f>IF(COUNTIF('Art-A'!$A:$A, $C339), T$1, "")</f>
        <v/>
      </c>
      <c r="U339" s="132" t="str">
        <f>IF(COUNTIF('Art-B'!$A:$A, $C339), U$1, "")</f>
        <v/>
      </c>
      <c r="V339" s="132" t="str">
        <f>IF(COUNTIF('WH-A'!$A:$A, $C339), V$1, "")</f>
        <v/>
      </c>
      <c r="W339" s="132" t="str">
        <f>IF(COUNTIF('WH-B'!$A:$A, $C339), W$1, "")</f>
        <v/>
      </c>
      <c r="X339" s="132" t="str">
        <f>IF(COUNTIF(LETV!$A:$A, $C339), X$1, "")</f>
        <v/>
      </c>
      <c r="Y339" s="132" t="str">
        <f>IF(COUNTIF('Film&amp;Firm-A'!$A:$A, $C339), Y$1, "")</f>
        <v>Film &amp; the Firm: Visual Culture in Business Contexts (A)</v>
      </c>
      <c r="Z339" s="132" t="str">
        <f>IF(COUNTIF('Film&amp;Firm-B'!$A:$A, $C339), Z$1, "")</f>
        <v/>
      </c>
      <c r="AA339" s="132" t="str">
        <f>IF(COUNTIF(SHRM!$A:$A, $C339), AA$1, "")</f>
        <v/>
      </c>
      <c r="AB339" s="132" t="str">
        <f>IF(COUNTIF('SCM-A'!$A:$A, $C339), AB$1, "")</f>
        <v/>
      </c>
      <c r="AC339" s="132" t="str">
        <f>IF(COUNTIF('SCM-B'!$A:$A, $C339), AC$1, "")</f>
        <v/>
      </c>
      <c r="AD339" s="132" t="str">
        <f>IF(COUNTIF(AIS!$A:$A, $C339), AD$1, "")</f>
        <v/>
      </c>
      <c r="AE339" s="132" t="str">
        <f>IF(COUNTIF(EB!$A:$A, $C339), AE$1, "")</f>
        <v/>
      </c>
      <c r="AF339" s="132" t="str">
        <f>IF(COUNTIF('AIAM-A'!$A:$A, $C339), AF$1, "")</f>
        <v/>
      </c>
      <c r="AG339" s="132" t="str">
        <f>IF(COUNTIF('AIAM-B'!$A:$A, $C339), AG$1, "")</f>
        <v>AI Applications in Marketing (B)</v>
      </c>
      <c r="AH339" s="132" t="str">
        <f>IF(COUNTIF('SA-A'!$A:$A, $C339), AH$1, "")</f>
        <v/>
      </c>
      <c r="AI339" s="132" t="str">
        <f>IF(COUNTIF('SA-B'!$A:$A, $C339), AI$1, "")</f>
        <v>SPORTS ANALYTICS (B)</v>
      </c>
      <c r="AJ339" s="132" t="str">
        <f>IF(COUNTIF(CSM!$A:$A, $C339), AJ$1, "")</f>
        <v/>
      </c>
      <c r="AK339" s="132" t="str">
        <f>IF(COUNTIF(EM!$A:$A, $C339), AK$1, "")</f>
        <v/>
      </c>
      <c r="AL339" s="132" t="str">
        <f>IF(COUNTIF(I4TS!$A:$A, $C339), AL$1, "")</f>
        <v/>
      </c>
    </row>
    <row r="340" spans="1:38" ht="14">
      <c r="A340" s="131">
        <v>339</v>
      </c>
      <c r="B340" s="131" t="s">
        <v>1257</v>
      </c>
      <c r="C340" s="134" t="s">
        <v>1295</v>
      </c>
      <c r="D340" s="139" t="s">
        <v>1296</v>
      </c>
      <c r="E340" s="140" t="s">
        <v>1297</v>
      </c>
      <c r="F340" s="131">
        <f t="shared" ca="1" si="1"/>
        <v>5</v>
      </c>
      <c r="G340" s="106" t="str">
        <f ca="1">IFERROR(__xludf.DUMMYFUNCTION("INDEX(FILTER($P340:$AL340, $P340:$AL340 &lt;&gt; """"), 1)"),"Fintech (Digital Transformation in Finance) (A)")</f>
        <v>Fintech (Digital Transformation in Finance) (A)</v>
      </c>
      <c r="H340" s="106" t="str">
        <f ca="1">IFERROR(__xludf.DUMMYFUNCTION("INDEX(FILTER($P340:$AL340, $P340:$AL340 &lt;&gt; """"), 2)"),"AI Applications in Marketing (B)")</f>
        <v>AI Applications in Marketing (B)</v>
      </c>
      <c r="I340" s="106" t="str">
        <f ca="1">IFERROR(__xludf.DUMMYFUNCTION("INDEX(FILTER($P340:$AL340, $P340:$AL340 &lt;&gt; """"), 3)"),"Customer Success Management")</f>
        <v>Customer Success Management</v>
      </c>
      <c r="J340" s="106" t="str">
        <f ca="1">IFERROR(__xludf.DUMMYFUNCTION("IFERROR(INDEX(FILTER($P340:$AL340, $P340:$AL340 &lt;&gt; """"), 4),)"),"")</f>
        <v/>
      </c>
      <c r="K340" s="106" t="str">
        <f ca="1">IFERROR(__xludf.DUMMYFUNCTION("IFERROR(INDEX(FILTER($P340:$AL340, $P340:$AL340 &lt;&gt; """"), 5),)"),"")</f>
        <v/>
      </c>
      <c r="L340" s="107"/>
      <c r="M340" s="107"/>
      <c r="N340" s="107"/>
      <c r="O340" s="107"/>
      <c r="P340" s="132" t="str">
        <f>IF(COUNTIF('Fintech-A'!$A:$A, $C340), P$1, "")</f>
        <v>Fintech (Digital Transformation in Finance) (A)</v>
      </c>
      <c r="Q340" s="132" t="str">
        <f>IF(COUNTIF('Fintech-B'!$A:$A, $C340), Q$1, "")</f>
        <v/>
      </c>
      <c r="R340" s="132" t="str">
        <f>IF(COUNTIF('BEDM-A'!$A:$A, $C340), R$1, "")</f>
        <v/>
      </c>
      <c r="S340" s="132" t="str">
        <f>IF(COUNTIF('BEDM-B'!$A:$A, $C340), S$1, "")</f>
        <v/>
      </c>
      <c r="T340" s="132" t="str">
        <f>IF(COUNTIF('Art-A'!$A:$A, $C340), T$1, "")</f>
        <v/>
      </c>
      <c r="U340" s="132" t="str">
        <f>IF(COUNTIF('Art-B'!$A:$A, $C340), U$1, "")</f>
        <v/>
      </c>
      <c r="V340" s="132" t="str">
        <f>IF(COUNTIF('WH-A'!$A:$A, $C340), V$1, "")</f>
        <v/>
      </c>
      <c r="W340" s="132" t="str">
        <f>IF(COUNTIF('WH-B'!$A:$A, $C340), W$1, "")</f>
        <v/>
      </c>
      <c r="X340" s="132" t="str">
        <f>IF(COUNTIF(LETV!$A:$A, $C340), X$1, "")</f>
        <v/>
      </c>
      <c r="Y340" s="132" t="str">
        <f>IF(COUNTIF('Film&amp;Firm-A'!$A:$A, $C340), Y$1, "")</f>
        <v/>
      </c>
      <c r="Z340" s="132" t="str">
        <f>IF(COUNTIF('Film&amp;Firm-B'!$A:$A, $C340), Z$1, "")</f>
        <v/>
      </c>
      <c r="AA340" s="132" t="str">
        <f>IF(COUNTIF(SHRM!$A:$A, $C340), AA$1, "")</f>
        <v/>
      </c>
      <c r="AB340" s="132" t="str">
        <f>IF(COUNTIF('SCM-A'!$A:$A, $C340), AB$1, "")</f>
        <v/>
      </c>
      <c r="AC340" s="132" t="str">
        <f>IF(COUNTIF('SCM-B'!$A:$A, $C340), AC$1, "")</f>
        <v/>
      </c>
      <c r="AD340" s="132" t="str">
        <f>IF(COUNTIF(AIS!$A:$A, $C340), AD$1, "")</f>
        <v/>
      </c>
      <c r="AE340" s="132" t="str">
        <f>IF(COUNTIF(EB!$A:$A, $C340), AE$1, "")</f>
        <v/>
      </c>
      <c r="AF340" s="132" t="str">
        <f>IF(COUNTIF('AIAM-A'!$A:$A, $C340), AF$1, "")</f>
        <v/>
      </c>
      <c r="AG340" s="132" t="str">
        <f>IF(COUNTIF('AIAM-B'!$A:$A, $C340), AG$1, "")</f>
        <v>AI Applications in Marketing (B)</v>
      </c>
      <c r="AH340" s="132" t="str">
        <f>IF(COUNTIF('SA-A'!$A:$A, $C340), AH$1, "")</f>
        <v/>
      </c>
      <c r="AI340" s="132" t="str">
        <f>IF(COUNTIF('SA-B'!$A:$A, $C340), AI$1, "")</f>
        <v/>
      </c>
      <c r="AJ340" s="132" t="str">
        <f>IF(COUNTIF(CSM!$A:$A, $C340), AJ$1, "")</f>
        <v>Customer Success Management</v>
      </c>
      <c r="AK340" s="132" t="str">
        <f>IF(COUNTIF(EM!$A:$A, $C340), AK$1, "")</f>
        <v/>
      </c>
      <c r="AL340" s="132" t="str">
        <f>IF(COUNTIF(I4TS!$A:$A, $C340), AL$1, "")</f>
        <v/>
      </c>
    </row>
    <row r="341" spans="1:38" ht="14">
      <c r="A341" s="131">
        <v>340</v>
      </c>
      <c r="B341" s="131" t="s">
        <v>1257</v>
      </c>
      <c r="C341" s="134" t="s">
        <v>1298</v>
      </c>
      <c r="D341" s="139" t="s">
        <v>1299</v>
      </c>
      <c r="E341" s="140" t="s">
        <v>1300</v>
      </c>
      <c r="F341" s="131">
        <f t="shared" ca="1" si="1"/>
        <v>5</v>
      </c>
      <c r="G341" s="106" t="str">
        <f ca="1">IFERROR(__xludf.DUMMYFUNCTION("INDEX(FILTER($P341:$AL341, $P341:$AL341 &lt;&gt; """"), 1)"),"Fintech (Digital Transformation in Finance) (A)")</f>
        <v>Fintech (Digital Transformation in Finance) (A)</v>
      </c>
      <c r="H341" s="106" t="str">
        <f ca="1">IFERROR(__xludf.DUMMYFUNCTION("INDEX(FILTER($P341:$AL341, $P341:$AL341 &lt;&gt; """"), 2)"),"AI Applications in Marketing (B)")</f>
        <v>AI Applications in Marketing (B)</v>
      </c>
      <c r="I341" s="106" t="str">
        <f ca="1">IFERROR(__xludf.DUMMYFUNCTION("INDEX(FILTER($P341:$AL341, $P341:$AL341 &lt;&gt; """"), 3)"),"SPORTS ANALYTICS (B)")</f>
        <v>SPORTS ANALYTICS (B)</v>
      </c>
      <c r="J341" s="106" t="str">
        <f ca="1">IFERROR(__xludf.DUMMYFUNCTION("IFERROR(INDEX(FILTER($P341:$AL341, $P341:$AL341 &lt;&gt; """"), 4),)"),"")</f>
        <v/>
      </c>
      <c r="K341" s="106" t="str">
        <f ca="1">IFERROR(__xludf.DUMMYFUNCTION("IFERROR(INDEX(FILTER($P341:$AL341, $P341:$AL341 &lt;&gt; """"), 5),)"),"")</f>
        <v/>
      </c>
      <c r="L341" s="107"/>
      <c r="M341" s="107"/>
      <c r="N341" s="107"/>
      <c r="O341" s="107"/>
      <c r="P341" s="132" t="str">
        <f>IF(COUNTIF('Fintech-A'!$A:$A, $C341), P$1, "")</f>
        <v>Fintech (Digital Transformation in Finance) (A)</v>
      </c>
      <c r="Q341" s="132" t="str">
        <f>IF(COUNTIF('Fintech-B'!$A:$A, $C341), Q$1, "")</f>
        <v/>
      </c>
      <c r="R341" s="132" t="str">
        <f>IF(COUNTIF('BEDM-A'!$A:$A, $C341), R$1, "")</f>
        <v/>
      </c>
      <c r="S341" s="132" t="str">
        <f>IF(COUNTIF('BEDM-B'!$A:$A, $C341), S$1, "")</f>
        <v/>
      </c>
      <c r="T341" s="132" t="str">
        <f>IF(COUNTIF('Art-A'!$A:$A, $C341), T$1, "")</f>
        <v/>
      </c>
      <c r="U341" s="132" t="str">
        <f>IF(COUNTIF('Art-B'!$A:$A, $C341), U$1, "")</f>
        <v/>
      </c>
      <c r="V341" s="132" t="str">
        <f>IF(COUNTIF('WH-A'!$A:$A, $C341), V$1, "")</f>
        <v/>
      </c>
      <c r="W341" s="132" t="str">
        <f>IF(COUNTIF('WH-B'!$A:$A, $C341), W$1, "")</f>
        <v/>
      </c>
      <c r="X341" s="132" t="str">
        <f>IF(COUNTIF(LETV!$A:$A, $C341), X$1, "")</f>
        <v/>
      </c>
      <c r="Y341" s="132" t="str">
        <f>IF(COUNTIF('Film&amp;Firm-A'!$A:$A, $C341), Y$1, "")</f>
        <v/>
      </c>
      <c r="Z341" s="132" t="str">
        <f>IF(COUNTIF('Film&amp;Firm-B'!$A:$A, $C341), Z$1, "")</f>
        <v/>
      </c>
      <c r="AA341" s="132" t="str">
        <f>IF(COUNTIF(SHRM!$A:$A, $C341), AA$1, "")</f>
        <v/>
      </c>
      <c r="AB341" s="132" t="str">
        <f>IF(COUNTIF('SCM-A'!$A:$A, $C341), AB$1, "")</f>
        <v/>
      </c>
      <c r="AC341" s="132" t="str">
        <f>IF(COUNTIF('SCM-B'!$A:$A, $C341), AC$1, "")</f>
        <v/>
      </c>
      <c r="AD341" s="132" t="str">
        <f>IF(COUNTIF(AIS!$A:$A, $C341), AD$1, "")</f>
        <v/>
      </c>
      <c r="AE341" s="132" t="str">
        <f>IF(COUNTIF(EB!$A:$A, $C341), AE$1, "")</f>
        <v/>
      </c>
      <c r="AF341" s="132" t="str">
        <f>IF(COUNTIF('AIAM-A'!$A:$A, $C341), AF$1, "")</f>
        <v/>
      </c>
      <c r="AG341" s="132" t="str">
        <f>IF(COUNTIF('AIAM-B'!$A:$A, $C341), AG$1, "")</f>
        <v>AI Applications in Marketing (B)</v>
      </c>
      <c r="AH341" s="132" t="str">
        <f>IF(COUNTIF('SA-A'!$A:$A, $C341), AH$1, "")</f>
        <v/>
      </c>
      <c r="AI341" s="132" t="str">
        <f>IF(COUNTIF('SA-B'!$A:$A, $C341), AI$1, "")</f>
        <v>SPORTS ANALYTICS (B)</v>
      </c>
      <c r="AJ341" s="132" t="str">
        <f>IF(COUNTIF(CSM!$A:$A, $C341), AJ$1, "")</f>
        <v/>
      </c>
      <c r="AK341" s="132" t="str">
        <f>IF(COUNTIF(EM!$A:$A, $C341), AK$1, "")</f>
        <v/>
      </c>
      <c r="AL341" s="132" t="str">
        <f>IF(COUNTIF(I4TS!$A:$A, $C341), AL$1, "")</f>
        <v/>
      </c>
    </row>
    <row r="342" spans="1:38" ht="14">
      <c r="A342" s="131">
        <v>341</v>
      </c>
      <c r="B342" s="131" t="s">
        <v>1257</v>
      </c>
      <c r="C342" s="134" t="s">
        <v>1301</v>
      </c>
      <c r="D342" s="139" t="s">
        <v>1302</v>
      </c>
      <c r="E342" s="140" t="s">
        <v>1303</v>
      </c>
      <c r="F342" s="131">
        <f t="shared" ca="1" si="1"/>
        <v>5</v>
      </c>
      <c r="G342" s="106" t="str">
        <f ca="1">IFERROR(__xludf.DUMMYFUNCTION("INDEX(FILTER($P342:$AL342, $P342:$AL342 &lt;&gt; """"), 1)"),"Fintech (Digital Transformation in Finance) (A)")</f>
        <v>Fintech (Digital Transformation in Finance) (A)</v>
      </c>
      <c r="H342" s="106" t="str">
        <f ca="1">IFERROR(__xludf.DUMMYFUNCTION("INDEX(FILTER($P342:$AL342, $P342:$AL342 &lt;&gt; """"), 2)"),"Film &amp; the Firm: Visual Culture in Business Contexts (B)")</f>
        <v>Film &amp; the Firm: Visual Culture in Business Contexts (B)</v>
      </c>
      <c r="I342" s="106" t="str">
        <f ca="1">IFERROR(__xludf.DUMMYFUNCTION("INDEX(FILTER($P342:$AL342, $P342:$AL342 &lt;&gt; """"), 3)"),"AI Applications in Marketing (A)")</f>
        <v>AI Applications in Marketing (A)</v>
      </c>
      <c r="J342" s="106" t="str">
        <f ca="1">IFERROR(__xludf.DUMMYFUNCTION("IFERROR(INDEX(FILTER($P342:$AL342, $P342:$AL342 &lt;&gt; """"), 4),)"),"")</f>
        <v/>
      </c>
      <c r="K342" s="106" t="str">
        <f ca="1">IFERROR(__xludf.DUMMYFUNCTION("IFERROR(INDEX(FILTER($P342:$AL342, $P342:$AL342 &lt;&gt; """"), 5),)"),"")</f>
        <v/>
      </c>
      <c r="L342" s="107"/>
      <c r="M342" s="107"/>
      <c r="N342" s="107"/>
      <c r="O342" s="107"/>
      <c r="P342" s="132" t="str">
        <f>IF(COUNTIF('Fintech-A'!$A:$A, $C342), P$1, "")</f>
        <v>Fintech (Digital Transformation in Finance) (A)</v>
      </c>
      <c r="Q342" s="132" t="str">
        <f>IF(COUNTIF('Fintech-B'!$A:$A, $C342), Q$1, "")</f>
        <v/>
      </c>
      <c r="R342" s="132" t="str">
        <f>IF(COUNTIF('BEDM-A'!$A:$A, $C342), R$1, "")</f>
        <v/>
      </c>
      <c r="S342" s="132" t="str">
        <f>IF(COUNTIF('BEDM-B'!$A:$A, $C342), S$1, "")</f>
        <v/>
      </c>
      <c r="T342" s="132" t="str">
        <f>IF(COUNTIF('Art-A'!$A:$A, $C342), T$1, "")</f>
        <v/>
      </c>
      <c r="U342" s="132" t="str">
        <f>IF(COUNTIF('Art-B'!$A:$A, $C342), U$1, "")</f>
        <v/>
      </c>
      <c r="V342" s="132" t="str">
        <f>IF(COUNTIF('WH-A'!$A:$A, $C342), V$1, "")</f>
        <v/>
      </c>
      <c r="W342" s="132" t="str">
        <f>IF(COUNTIF('WH-B'!$A:$A, $C342), W$1, "")</f>
        <v/>
      </c>
      <c r="X342" s="132" t="str">
        <f>IF(COUNTIF(LETV!$A:$A, $C342), X$1, "")</f>
        <v/>
      </c>
      <c r="Y342" s="132" t="str">
        <f>IF(COUNTIF('Film&amp;Firm-A'!$A:$A, $C342), Y$1, "")</f>
        <v/>
      </c>
      <c r="Z342" s="132" t="str">
        <f>IF(COUNTIF('Film&amp;Firm-B'!$A:$A, $C342), Z$1, "")</f>
        <v>Film &amp; the Firm: Visual Culture in Business Contexts (B)</v>
      </c>
      <c r="AA342" s="132" t="str">
        <f>IF(COUNTIF(SHRM!$A:$A, $C342), AA$1, "")</f>
        <v/>
      </c>
      <c r="AB342" s="132" t="str">
        <f>IF(COUNTIF('SCM-A'!$A:$A, $C342), AB$1, "")</f>
        <v/>
      </c>
      <c r="AC342" s="132" t="str">
        <f>IF(COUNTIF('SCM-B'!$A:$A, $C342), AC$1, "")</f>
        <v/>
      </c>
      <c r="AD342" s="132" t="str">
        <f>IF(COUNTIF(AIS!$A:$A, $C342), AD$1, "")</f>
        <v/>
      </c>
      <c r="AE342" s="132" t="str">
        <f>IF(COUNTIF(EB!$A:$A, $C342), AE$1, "")</f>
        <v/>
      </c>
      <c r="AF342" s="132" t="str">
        <f>IF(COUNTIF('AIAM-A'!$A:$A, $C342), AF$1, "")</f>
        <v>AI Applications in Marketing (A)</v>
      </c>
      <c r="AG342" s="132" t="str">
        <f>IF(COUNTIF('AIAM-B'!$A:$A, $C342), AG$1, "")</f>
        <v/>
      </c>
      <c r="AH342" s="132" t="str">
        <f>IF(COUNTIF('SA-A'!$A:$A, $C342), AH$1, "")</f>
        <v/>
      </c>
      <c r="AI342" s="132" t="str">
        <f>IF(COUNTIF('SA-B'!$A:$A, $C342), AI$1, "")</f>
        <v/>
      </c>
      <c r="AJ342" s="132" t="str">
        <f>IF(COUNTIF(CSM!$A:$A, $C342), AJ$1, "")</f>
        <v/>
      </c>
      <c r="AK342" s="132" t="str">
        <f>IF(COUNTIF(EM!$A:$A, $C342), AK$1, "")</f>
        <v/>
      </c>
      <c r="AL342" s="132" t="str">
        <f>IF(COUNTIF(I4TS!$A:$A, $C342), AL$1, "")</f>
        <v/>
      </c>
    </row>
    <row r="343" spans="1:38" ht="14">
      <c r="A343" s="131">
        <v>342</v>
      </c>
      <c r="B343" s="131" t="s">
        <v>1257</v>
      </c>
      <c r="C343" s="134" t="s">
        <v>1304</v>
      </c>
      <c r="D343" s="139" t="s">
        <v>1305</v>
      </c>
      <c r="E343" s="140" t="s">
        <v>1306</v>
      </c>
      <c r="F343" s="131">
        <f t="shared" ca="1" si="1"/>
        <v>5</v>
      </c>
      <c r="G343" s="106" t="str">
        <f ca="1">IFERROR(__xludf.DUMMYFUNCTION("INDEX(FILTER($P343:$AL343, $P343:$AL343 &lt;&gt; """"), 1)"),"Film &amp; the Firm: Visual Culture in Business Contexts (B)")</f>
        <v>Film &amp; the Firm: Visual Culture in Business Contexts (B)</v>
      </c>
      <c r="H343" s="106" t="str">
        <f ca="1">IFERROR(__xludf.DUMMYFUNCTION("INDEX(FILTER($P343:$AL343, $P343:$AL343 &lt;&gt; """"), 2)"),"Strategic Career Management (A)")</f>
        <v>Strategic Career Management (A)</v>
      </c>
      <c r="I343" s="106" t="str">
        <f ca="1">IFERROR(__xludf.DUMMYFUNCTION("INDEX(FILTER($P343:$AL343, $P343:$AL343 &lt;&gt; """"), 3)"),"SPORTS ANALYTICS (A)")</f>
        <v>SPORTS ANALYTICS (A)</v>
      </c>
      <c r="J343" s="106" t="str">
        <f ca="1">IFERROR(__xludf.DUMMYFUNCTION("IFERROR(INDEX(FILTER($P343:$AL343, $P343:$AL343 &lt;&gt; """"), 4),)"),"")</f>
        <v/>
      </c>
      <c r="K343" s="106" t="str">
        <f ca="1">IFERROR(__xludf.DUMMYFUNCTION("IFERROR(INDEX(FILTER($P343:$AL343, $P343:$AL343 &lt;&gt; """"), 5),)"),"")</f>
        <v/>
      </c>
      <c r="L343" s="107"/>
      <c r="M343" s="107"/>
      <c r="N343" s="107"/>
      <c r="O343" s="107"/>
      <c r="P343" s="132" t="str">
        <f>IF(COUNTIF('Fintech-A'!$A:$A, $C343), P$1, "")</f>
        <v/>
      </c>
      <c r="Q343" s="132" t="str">
        <f>IF(COUNTIF('Fintech-B'!$A:$A, $C343), Q$1, "")</f>
        <v/>
      </c>
      <c r="R343" s="132" t="str">
        <f>IF(COUNTIF('BEDM-A'!$A:$A, $C343), R$1, "")</f>
        <v/>
      </c>
      <c r="S343" s="132" t="str">
        <f>IF(COUNTIF('BEDM-B'!$A:$A, $C343), S$1, "")</f>
        <v/>
      </c>
      <c r="T343" s="132" t="str">
        <f>IF(COUNTIF('Art-A'!$A:$A, $C343), T$1, "")</f>
        <v/>
      </c>
      <c r="U343" s="132" t="str">
        <f>IF(COUNTIF('Art-B'!$A:$A, $C343), U$1, "")</f>
        <v/>
      </c>
      <c r="V343" s="132" t="str">
        <f>IF(COUNTIF('WH-A'!$A:$A, $C343), V$1, "")</f>
        <v/>
      </c>
      <c r="W343" s="132" t="str">
        <f>IF(COUNTIF('WH-B'!$A:$A, $C343), W$1, "")</f>
        <v/>
      </c>
      <c r="X343" s="132" t="str">
        <f>IF(COUNTIF(LETV!$A:$A, $C343), X$1, "")</f>
        <v/>
      </c>
      <c r="Y343" s="132" t="str">
        <f>IF(COUNTIF('Film&amp;Firm-A'!$A:$A, $C343), Y$1, "")</f>
        <v/>
      </c>
      <c r="Z343" s="132" t="str">
        <f>IF(COUNTIF('Film&amp;Firm-B'!$A:$A, $C343), Z$1, "")</f>
        <v>Film &amp; the Firm: Visual Culture in Business Contexts (B)</v>
      </c>
      <c r="AA343" s="132" t="str">
        <f>IF(COUNTIF(SHRM!$A:$A, $C343), AA$1, "")</f>
        <v/>
      </c>
      <c r="AB343" s="132" t="str">
        <f>IF(COUNTIF('SCM-A'!$A:$A, $C343), AB$1, "")</f>
        <v>Strategic Career Management (A)</v>
      </c>
      <c r="AC343" s="132" t="str">
        <f>IF(COUNTIF('SCM-B'!$A:$A, $C343), AC$1, "")</f>
        <v/>
      </c>
      <c r="AD343" s="132" t="str">
        <f>IF(COUNTIF(AIS!$A:$A, $C343), AD$1, "")</f>
        <v/>
      </c>
      <c r="AE343" s="132" t="str">
        <f>IF(COUNTIF(EB!$A:$A, $C343), AE$1, "")</f>
        <v/>
      </c>
      <c r="AF343" s="132" t="str">
        <f>IF(COUNTIF('AIAM-A'!$A:$A, $C343), AF$1, "")</f>
        <v/>
      </c>
      <c r="AG343" s="132" t="str">
        <f>IF(COUNTIF('AIAM-B'!$A:$A, $C343), AG$1, "")</f>
        <v/>
      </c>
      <c r="AH343" s="132" t="str">
        <f>IF(COUNTIF('SA-A'!$A:$A, $C343), AH$1, "")</f>
        <v>SPORTS ANALYTICS (A)</v>
      </c>
      <c r="AI343" s="132" t="str">
        <f>IF(COUNTIF('SA-B'!$A:$A, $C343), AI$1, "")</f>
        <v/>
      </c>
      <c r="AJ343" s="132" t="str">
        <f>IF(COUNTIF(CSM!$A:$A, $C343), AJ$1, "")</f>
        <v/>
      </c>
      <c r="AK343" s="132" t="str">
        <f>IF(COUNTIF(EM!$A:$A, $C343), AK$1, "")</f>
        <v/>
      </c>
      <c r="AL343" s="132" t="str">
        <f>IF(COUNTIF(I4TS!$A:$A, $C343), AL$1, "")</f>
        <v/>
      </c>
    </row>
    <row r="344" spans="1:38" ht="14">
      <c r="A344" s="131">
        <v>343</v>
      </c>
      <c r="B344" s="131" t="s">
        <v>1257</v>
      </c>
      <c r="C344" s="134" t="s">
        <v>1307</v>
      </c>
      <c r="D344" s="139" t="s">
        <v>1308</v>
      </c>
      <c r="E344" s="140" t="s">
        <v>1309</v>
      </c>
      <c r="F344" s="131">
        <f t="shared" ca="1" si="1"/>
        <v>5</v>
      </c>
      <c r="G344" s="106" t="str">
        <f ca="1">IFERROR(__xludf.DUMMYFUNCTION("INDEX(FILTER($P344:$AL344, $P344:$AL344 &lt;&gt; """"), 1)"),"Fintech (Digital Transformation in Finance) (A)")</f>
        <v>Fintech (Digital Transformation in Finance) (A)</v>
      </c>
      <c r="H344" s="106" t="str">
        <f ca="1">IFERROR(__xludf.DUMMYFUNCTION("INDEX(FILTER($P344:$AL344, $P344:$AL344 &lt;&gt; """"), 2)"),"Film &amp; the Firm: Visual Culture in Business Contexts (A)")</f>
        <v>Film &amp; the Firm: Visual Culture in Business Contexts (A)</v>
      </c>
      <c r="I344" s="106" t="str">
        <f ca="1">IFERROR(__xludf.DUMMYFUNCTION("INDEX(FILTER($P344:$AL344, $P344:$AL344 &lt;&gt; """"), 3)"),"AI Applications in Marketing (A)")</f>
        <v>AI Applications in Marketing (A)</v>
      </c>
      <c r="J344" s="106" t="str">
        <f ca="1">IFERROR(__xludf.DUMMYFUNCTION("IFERROR(INDEX(FILTER($P344:$AL344, $P344:$AL344 &lt;&gt; """"), 4),)"),"")</f>
        <v/>
      </c>
      <c r="K344" s="106" t="str">
        <f ca="1">IFERROR(__xludf.DUMMYFUNCTION("IFERROR(INDEX(FILTER($P344:$AL344, $P344:$AL344 &lt;&gt; """"), 5),)"),"")</f>
        <v/>
      </c>
      <c r="L344" s="107"/>
      <c r="M344" s="107"/>
      <c r="N344" s="107"/>
      <c r="O344" s="107"/>
      <c r="P344" s="132" t="str">
        <f>IF(COUNTIF('Fintech-A'!$A:$A, $C344), P$1, "")</f>
        <v>Fintech (Digital Transformation in Finance) (A)</v>
      </c>
      <c r="Q344" s="132" t="str">
        <f>IF(COUNTIF('Fintech-B'!$A:$A, $C344), Q$1, "")</f>
        <v/>
      </c>
      <c r="R344" s="132" t="str">
        <f>IF(COUNTIF('BEDM-A'!$A:$A, $C344), R$1, "")</f>
        <v/>
      </c>
      <c r="S344" s="132" t="str">
        <f>IF(COUNTIF('BEDM-B'!$A:$A, $C344), S$1, "")</f>
        <v/>
      </c>
      <c r="T344" s="132" t="str">
        <f>IF(COUNTIF('Art-A'!$A:$A, $C344), T$1, "")</f>
        <v/>
      </c>
      <c r="U344" s="132" t="str">
        <f>IF(COUNTIF('Art-B'!$A:$A, $C344), U$1, "")</f>
        <v/>
      </c>
      <c r="V344" s="132" t="str">
        <f>IF(COUNTIF('WH-A'!$A:$A, $C344), V$1, "")</f>
        <v/>
      </c>
      <c r="W344" s="132" t="str">
        <f>IF(COUNTIF('WH-B'!$A:$A, $C344), W$1, "")</f>
        <v/>
      </c>
      <c r="X344" s="132" t="str">
        <f>IF(COUNTIF(LETV!$A:$A, $C344), X$1, "")</f>
        <v/>
      </c>
      <c r="Y344" s="132" t="str">
        <f>IF(COUNTIF('Film&amp;Firm-A'!$A:$A, $C344), Y$1, "")</f>
        <v>Film &amp; the Firm: Visual Culture in Business Contexts (A)</v>
      </c>
      <c r="Z344" s="132" t="str">
        <f>IF(COUNTIF('Film&amp;Firm-B'!$A:$A, $C344), Z$1, "")</f>
        <v/>
      </c>
      <c r="AA344" s="132" t="str">
        <f>IF(COUNTIF(SHRM!$A:$A, $C344), AA$1, "")</f>
        <v/>
      </c>
      <c r="AB344" s="132" t="str">
        <f>IF(COUNTIF('SCM-A'!$A:$A, $C344), AB$1, "")</f>
        <v/>
      </c>
      <c r="AC344" s="132" t="str">
        <f>IF(COUNTIF('SCM-B'!$A:$A, $C344), AC$1, "")</f>
        <v/>
      </c>
      <c r="AD344" s="132" t="str">
        <f>IF(COUNTIF(AIS!$A:$A, $C344), AD$1, "")</f>
        <v/>
      </c>
      <c r="AE344" s="132" t="str">
        <f>IF(COUNTIF(EB!$A:$A, $C344), AE$1, "")</f>
        <v/>
      </c>
      <c r="AF344" s="132" t="str">
        <f>IF(COUNTIF('AIAM-A'!$A:$A, $C344), AF$1, "")</f>
        <v>AI Applications in Marketing (A)</v>
      </c>
      <c r="AG344" s="132" t="str">
        <f>IF(COUNTIF('AIAM-B'!$A:$A, $C344), AG$1, "")</f>
        <v/>
      </c>
      <c r="AH344" s="132" t="str">
        <f>IF(COUNTIF('SA-A'!$A:$A, $C344), AH$1, "")</f>
        <v/>
      </c>
      <c r="AI344" s="132" t="str">
        <f>IF(COUNTIF('SA-B'!$A:$A, $C344), AI$1, "")</f>
        <v/>
      </c>
      <c r="AJ344" s="132" t="str">
        <f>IF(COUNTIF(CSM!$A:$A, $C344), AJ$1, "")</f>
        <v/>
      </c>
      <c r="AK344" s="132" t="str">
        <f>IF(COUNTIF(EM!$A:$A, $C344), AK$1, "")</f>
        <v/>
      </c>
      <c r="AL344" s="132" t="str">
        <f>IF(COUNTIF(I4TS!$A:$A, $C344), AL$1, "")</f>
        <v/>
      </c>
    </row>
    <row r="345" spans="1:38" ht="14">
      <c r="A345" s="131">
        <v>344</v>
      </c>
      <c r="B345" s="131" t="s">
        <v>1257</v>
      </c>
      <c r="C345" s="134" t="s">
        <v>180</v>
      </c>
      <c r="D345" s="139" t="s">
        <v>1310</v>
      </c>
      <c r="E345" s="140" t="s">
        <v>1311</v>
      </c>
      <c r="F345" s="131">
        <f t="shared" ca="1" si="1"/>
        <v>5</v>
      </c>
      <c r="G345" s="106" t="str">
        <f ca="1">IFERROR(__xludf.DUMMYFUNCTION("INDEX(FILTER($P345:$AL345, $P345:$AL345 &lt;&gt; """"), 1)"),"Film &amp; the Firm: Visual Culture in Business Contexts (B)")</f>
        <v>Film &amp; the Firm: Visual Culture in Business Contexts (B)</v>
      </c>
      <c r="H345" s="106" t="str">
        <f ca="1">IFERROR(__xludf.DUMMYFUNCTION("INDEX(FILTER($P345:$AL345, $P345:$AL345 &lt;&gt; """"), 2)"),"Strategic Career Management (A)")</f>
        <v>Strategic Career Management (A)</v>
      </c>
      <c r="I345" s="106" t="str">
        <f ca="1">IFERROR(__xludf.DUMMYFUNCTION("INDEX(FILTER($P345:$AL345, $P345:$AL345 &lt;&gt; """"), 3)"),"SPORTS ANALYTICS (B)")</f>
        <v>SPORTS ANALYTICS (B)</v>
      </c>
      <c r="J345" s="106" t="str">
        <f ca="1">IFERROR(__xludf.DUMMYFUNCTION("IFERROR(INDEX(FILTER($P345:$AL345, $P345:$AL345 &lt;&gt; """"), 4),)"),"")</f>
        <v/>
      </c>
      <c r="K345" s="106" t="str">
        <f ca="1">IFERROR(__xludf.DUMMYFUNCTION("IFERROR(INDEX(FILTER($P345:$AL345, $P345:$AL345 &lt;&gt; """"), 5),)"),"")</f>
        <v/>
      </c>
      <c r="L345" s="107"/>
      <c r="M345" s="107"/>
      <c r="N345" s="107"/>
      <c r="O345" s="107"/>
      <c r="P345" s="132" t="str">
        <f>IF(COUNTIF('Fintech-A'!$A:$A, $C345), P$1, "")</f>
        <v/>
      </c>
      <c r="Q345" s="132" t="str">
        <f>IF(COUNTIF('Fintech-B'!$A:$A, $C345), Q$1, "")</f>
        <v/>
      </c>
      <c r="R345" s="132" t="str">
        <f>IF(COUNTIF('BEDM-A'!$A:$A, $C345), R$1, "")</f>
        <v/>
      </c>
      <c r="S345" s="132" t="str">
        <f>IF(COUNTIF('BEDM-B'!$A:$A, $C345), S$1, "")</f>
        <v/>
      </c>
      <c r="T345" s="132" t="str">
        <f>IF(COUNTIF('Art-A'!$A:$A, $C345), T$1, "")</f>
        <v/>
      </c>
      <c r="U345" s="132" t="str">
        <f>IF(COUNTIF('Art-B'!$A:$A, $C345), U$1, "")</f>
        <v/>
      </c>
      <c r="V345" s="132" t="str">
        <f>IF(COUNTIF('WH-A'!$A:$A, $C345), V$1, "")</f>
        <v/>
      </c>
      <c r="W345" s="132" t="str">
        <f>IF(COUNTIF('WH-B'!$A:$A, $C345), W$1, "")</f>
        <v/>
      </c>
      <c r="X345" s="132" t="str">
        <f>IF(COUNTIF(LETV!$A:$A, $C345), X$1, "")</f>
        <v/>
      </c>
      <c r="Y345" s="132" t="str">
        <f>IF(COUNTIF('Film&amp;Firm-A'!$A:$A, $C345), Y$1, "")</f>
        <v/>
      </c>
      <c r="Z345" s="132" t="str">
        <f>IF(COUNTIF('Film&amp;Firm-B'!$A:$A, $C345), Z$1, "")</f>
        <v>Film &amp; the Firm: Visual Culture in Business Contexts (B)</v>
      </c>
      <c r="AA345" s="132" t="str">
        <f>IF(COUNTIF(SHRM!$A:$A, $C345), AA$1, "")</f>
        <v/>
      </c>
      <c r="AB345" s="132" t="str">
        <f>IF(COUNTIF('SCM-A'!$A:$A, $C345), AB$1, "")</f>
        <v>Strategic Career Management (A)</v>
      </c>
      <c r="AC345" s="132" t="str">
        <f>IF(COUNTIF('SCM-B'!$A:$A, $C345), AC$1, "")</f>
        <v/>
      </c>
      <c r="AD345" s="132" t="str">
        <f>IF(COUNTIF(AIS!$A:$A, $C345), AD$1, "")</f>
        <v/>
      </c>
      <c r="AE345" s="132" t="str">
        <f>IF(COUNTIF(EB!$A:$A, $C345), AE$1, "")</f>
        <v/>
      </c>
      <c r="AF345" s="132" t="str">
        <f>IF(COUNTIF('AIAM-A'!$A:$A, $C345), AF$1, "")</f>
        <v/>
      </c>
      <c r="AG345" s="132" t="str">
        <f>IF(COUNTIF('AIAM-B'!$A:$A, $C345), AG$1, "")</f>
        <v/>
      </c>
      <c r="AH345" s="132" t="str">
        <f>IF(COUNTIF('SA-A'!$A:$A, $C345), AH$1, "")</f>
        <v/>
      </c>
      <c r="AI345" s="132" t="str">
        <f>IF(COUNTIF('SA-B'!$A:$A, $C345), AI$1, "")</f>
        <v>SPORTS ANALYTICS (B)</v>
      </c>
      <c r="AJ345" s="132" t="str">
        <f>IF(COUNTIF(CSM!$A:$A, $C345), AJ$1, "")</f>
        <v/>
      </c>
      <c r="AK345" s="132" t="str">
        <f>IF(COUNTIF(EM!$A:$A, $C345), AK$1, "")</f>
        <v/>
      </c>
      <c r="AL345" s="132" t="str">
        <f>IF(COUNTIF(I4TS!$A:$A, $C345), AL$1, "")</f>
        <v/>
      </c>
    </row>
    <row r="346" spans="1:38" ht="14">
      <c r="A346" s="131">
        <v>345</v>
      </c>
      <c r="B346" s="131" t="s">
        <v>1257</v>
      </c>
      <c r="C346" s="134" t="s">
        <v>1312</v>
      </c>
      <c r="D346" s="139" t="s">
        <v>1313</v>
      </c>
      <c r="E346" s="140" t="s">
        <v>1314</v>
      </c>
      <c r="F346" s="131">
        <f t="shared" ca="1" si="1"/>
        <v>5</v>
      </c>
      <c r="G346" s="106" t="str">
        <f ca="1">IFERROR(__xludf.DUMMYFUNCTION("INDEX(FILTER($P346:$AL346, $P346:$AL346 &lt;&gt; """"), 1)"),"Fintech (Digital Transformation in Finance) (A)")</f>
        <v>Fintech (Digital Transformation in Finance) (A)</v>
      </c>
      <c r="H346" s="106" t="str">
        <f ca="1">IFERROR(__xludf.DUMMYFUNCTION("INDEX(FILTER($P346:$AL346, $P346:$AL346 &lt;&gt; """"), 2)"),"AI Applications in Marketing (B)")</f>
        <v>AI Applications in Marketing (B)</v>
      </c>
      <c r="I346" s="106" t="str">
        <f ca="1">IFERROR(__xludf.DUMMYFUNCTION("INDEX(FILTER($P346:$AL346, $P346:$AL346 &lt;&gt; """"), 3)"),"SPORTS ANALYTICS (B)")</f>
        <v>SPORTS ANALYTICS (B)</v>
      </c>
      <c r="J346" s="106" t="str">
        <f ca="1">IFERROR(__xludf.DUMMYFUNCTION("IFERROR(INDEX(FILTER($P346:$AL346, $P346:$AL346 &lt;&gt; """"), 4),)"),"Customer Success Management")</f>
        <v>Customer Success Management</v>
      </c>
      <c r="K346" s="106" t="str">
        <f ca="1">IFERROR(__xludf.DUMMYFUNCTION("IFERROR(INDEX(FILTER($P346:$AL346, $P346:$AL346 &lt;&gt; """"), 5),)"),"Industry 4.0 in Transport Sector")</f>
        <v>Industry 4.0 in Transport Sector</v>
      </c>
      <c r="L346" s="107"/>
      <c r="M346" s="107"/>
      <c r="N346" s="107"/>
      <c r="O346" s="107"/>
      <c r="P346" s="132" t="str">
        <f>IF(COUNTIF('Fintech-A'!$A:$A, $C346), P$1, "")</f>
        <v>Fintech (Digital Transformation in Finance) (A)</v>
      </c>
      <c r="Q346" s="132" t="str">
        <f>IF(COUNTIF('Fintech-B'!$A:$A, $C346), Q$1, "")</f>
        <v/>
      </c>
      <c r="R346" s="132" t="str">
        <f>IF(COUNTIF('BEDM-A'!$A:$A, $C346), R$1, "")</f>
        <v/>
      </c>
      <c r="S346" s="132" t="str">
        <f>IF(COUNTIF('BEDM-B'!$A:$A, $C346), S$1, "")</f>
        <v/>
      </c>
      <c r="T346" s="132" t="str">
        <f>IF(COUNTIF('Art-A'!$A:$A, $C346), T$1, "")</f>
        <v/>
      </c>
      <c r="U346" s="132" t="str">
        <f>IF(COUNTIF('Art-B'!$A:$A, $C346), U$1, "")</f>
        <v/>
      </c>
      <c r="V346" s="132" t="str">
        <f>IF(COUNTIF('WH-A'!$A:$A, $C346), V$1, "")</f>
        <v/>
      </c>
      <c r="W346" s="132" t="str">
        <f>IF(COUNTIF('WH-B'!$A:$A, $C346), W$1, "")</f>
        <v/>
      </c>
      <c r="X346" s="132" t="str">
        <f>IF(COUNTIF(LETV!$A:$A, $C346), X$1, "")</f>
        <v/>
      </c>
      <c r="Y346" s="132" t="str">
        <f>IF(COUNTIF('Film&amp;Firm-A'!$A:$A, $C346), Y$1, "")</f>
        <v/>
      </c>
      <c r="Z346" s="132" t="str">
        <f>IF(COUNTIF('Film&amp;Firm-B'!$A:$A, $C346), Z$1, "")</f>
        <v/>
      </c>
      <c r="AA346" s="132" t="str">
        <f>IF(COUNTIF(SHRM!$A:$A, $C346), AA$1, "")</f>
        <v/>
      </c>
      <c r="AB346" s="132" t="str">
        <f>IF(COUNTIF('SCM-A'!$A:$A, $C346), AB$1, "")</f>
        <v/>
      </c>
      <c r="AC346" s="132" t="str">
        <f>IF(COUNTIF('SCM-B'!$A:$A, $C346), AC$1, "")</f>
        <v/>
      </c>
      <c r="AD346" s="132" t="str">
        <f>IF(COUNTIF(AIS!$A:$A, $C346), AD$1, "")</f>
        <v/>
      </c>
      <c r="AE346" s="132" t="str">
        <f>IF(COUNTIF(EB!$A:$A, $C346), AE$1, "")</f>
        <v/>
      </c>
      <c r="AF346" s="132" t="str">
        <f>IF(COUNTIF('AIAM-A'!$A:$A, $C346), AF$1, "")</f>
        <v/>
      </c>
      <c r="AG346" s="132" t="str">
        <f>IF(COUNTIF('AIAM-B'!$A:$A, $C346), AG$1, "")</f>
        <v>AI Applications in Marketing (B)</v>
      </c>
      <c r="AH346" s="132" t="str">
        <f>IF(COUNTIF('SA-A'!$A:$A, $C346), AH$1, "")</f>
        <v/>
      </c>
      <c r="AI346" s="132" t="str">
        <f>IF(COUNTIF('SA-B'!$A:$A, $C346), AI$1, "")</f>
        <v>SPORTS ANALYTICS (B)</v>
      </c>
      <c r="AJ346" s="132" t="str">
        <f>IF(COUNTIF(CSM!$A:$A, $C346), AJ$1, "")</f>
        <v>Customer Success Management</v>
      </c>
      <c r="AK346" s="132" t="str">
        <f>IF(COUNTIF(EM!$A:$A, $C346), AK$1, "")</f>
        <v/>
      </c>
      <c r="AL346" s="132" t="str">
        <f>IF(COUNTIF(I4TS!$A:$A, $C346), AL$1, "")</f>
        <v>Industry 4.0 in Transport Sector</v>
      </c>
    </row>
    <row r="347" spans="1:38" ht="14">
      <c r="A347" s="131">
        <v>346</v>
      </c>
      <c r="B347" s="131" t="s">
        <v>1257</v>
      </c>
      <c r="C347" s="134" t="s">
        <v>1315</v>
      </c>
      <c r="D347" s="139" t="s">
        <v>1316</v>
      </c>
      <c r="E347" s="140" t="s">
        <v>1317</v>
      </c>
      <c r="F347" s="131">
        <f t="shared" ca="1" si="1"/>
        <v>5</v>
      </c>
      <c r="G347" s="106" t="str">
        <f ca="1">IFERROR(__xludf.DUMMYFUNCTION("INDEX(FILTER($P347:$AL347, $P347:$AL347 &lt;&gt; """"), 1)"),"Fintech (Digital Transformation in Finance) (A)")</f>
        <v>Fintech (Digital Transformation in Finance) (A)</v>
      </c>
      <c r="H347" s="106" t="str">
        <f ca="1">IFERROR(__xludf.DUMMYFUNCTION("INDEX(FILTER($P347:$AL347, $P347:$AL347 &lt;&gt; """"), 2)"),"AI AND  STRATEGY")</f>
        <v>AI AND  STRATEGY</v>
      </c>
      <c r="I347" s="106" t="str">
        <f ca="1">IFERROR(__xludf.DUMMYFUNCTION("INDEX(FILTER($P347:$AL347, $P347:$AL347 &lt;&gt; """"), 3)"),"Industry 4.0 in Transport Sector")</f>
        <v>Industry 4.0 in Transport Sector</v>
      </c>
      <c r="J347" s="106" t="str">
        <f ca="1">IFERROR(__xludf.DUMMYFUNCTION("IFERROR(INDEX(FILTER($P347:$AL347, $P347:$AL347 &lt;&gt; """"), 4),)"),"")</f>
        <v/>
      </c>
      <c r="K347" s="106" t="str">
        <f ca="1">IFERROR(__xludf.DUMMYFUNCTION("IFERROR(INDEX(FILTER($P347:$AL347, $P347:$AL347 &lt;&gt; """"), 5),)"),"")</f>
        <v/>
      </c>
      <c r="L347" s="107"/>
      <c r="M347" s="107"/>
      <c r="N347" s="107"/>
      <c r="O347" s="107"/>
      <c r="P347" s="132" t="str">
        <f>IF(COUNTIF('Fintech-A'!$A:$A, $C347), P$1, "")</f>
        <v>Fintech (Digital Transformation in Finance) (A)</v>
      </c>
      <c r="Q347" s="132" t="str">
        <f>IF(COUNTIF('Fintech-B'!$A:$A, $C347), Q$1, "")</f>
        <v/>
      </c>
      <c r="R347" s="132" t="str">
        <f>IF(COUNTIF('BEDM-A'!$A:$A, $C347), R$1, "")</f>
        <v/>
      </c>
      <c r="S347" s="132" t="str">
        <f>IF(COUNTIF('BEDM-B'!$A:$A, $C347), S$1, "")</f>
        <v/>
      </c>
      <c r="T347" s="132" t="str">
        <f>IF(COUNTIF('Art-A'!$A:$A, $C347), T$1, "")</f>
        <v/>
      </c>
      <c r="U347" s="132" t="str">
        <f>IF(COUNTIF('Art-B'!$A:$A, $C347), U$1, "")</f>
        <v/>
      </c>
      <c r="V347" s="132" t="str">
        <f>IF(COUNTIF('WH-A'!$A:$A, $C347), V$1, "")</f>
        <v/>
      </c>
      <c r="W347" s="132" t="str">
        <f>IF(COUNTIF('WH-B'!$A:$A, $C347), W$1, "")</f>
        <v/>
      </c>
      <c r="X347" s="132" t="str">
        <f>IF(COUNTIF(LETV!$A:$A, $C347), X$1, "")</f>
        <v/>
      </c>
      <c r="Y347" s="132" t="str">
        <f>IF(COUNTIF('Film&amp;Firm-A'!$A:$A, $C347), Y$1, "")</f>
        <v/>
      </c>
      <c r="Z347" s="132" t="str">
        <f>IF(COUNTIF('Film&amp;Firm-B'!$A:$A, $C347), Z$1, "")</f>
        <v/>
      </c>
      <c r="AA347" s="132" t="str">
        <f>IF(COUNTIF(SHRM!$A:$A, $C347), AA$1, "")</f>
        <v/>
      </c>
      <c r="AB347" s="132" t="str">
        <f>IF(COUNTIF('SCM-A'!$A:$A, $C347), AB$1, "")</f>
        <v/>
      </c>
      <c r="AC347" s="132" t="str">
        <f>IF(COUNTIF('SCM-B'!$A:$A, $C347), AC$1, "")</f>
        <v/>
      </c>
      <c r="AD347" s="132" t="str">
        <f>IF(COUNTIF(AIS!$A:$A, $C347), AD$1, "")</f>
        <v>AI AND  STRATEGY</v>
      </c>
      <c r="AE347" s="132" t="str">
        <f>IF(COUNTIF(EB!$A:$A, $C347), AE$1, "")</f>
        <v/>
      </c>
      <c r="AF347" s="132" t="str">
        <f>IF(COUNTIF('AIAM-A'!$A:$A, $C347), AF$1, "")</f>
        <v/>
      </c>
      <c r="AG347" s="132" t="str">
        <f>IF(COUNTIF('AIAM-B'!$A:$A, $C347), AG$1, "")</f>
        <v/>
      </c>
      <c r="AH347" s="132" t="str">
        <f>IF(COUNTIF('SA-A'!$A:$A, $C347), AH$1, "")</f>
        <v/>
      </c>
      <c r="AI347" s="132" t="str">
        <f>IF(COUNTIF('SA-B'!$A:$A, $C347), AI$1, "")</f>
        <v/>
      </c>
      <c r="AJ347" s="132" t="str">
        <f>IF(COUNTIF(CSM!$A:$A, $C347), AJ$1, "")</f>
        <v/>
      </c>
      <c r="AK347" s="132" t="str">
        <f>IF(COUNTIF(EM!$A:$A, $C347), AK$1, "")</f>
        <v/>
      </c>
      <c r="AL347" s="132" t="str">
        <f>IF(COUNTIF(I4TS!$A:$A, $C347), AL$1, "")</f>
        <v>Industry 4.0 in Transport Sector</v>
      </c>
    </row>
    <row r="348" spans="1:38" ht="14">
      <c r="A348" s="131">
        <v>347</v>
      </c>
      <c r="B348" s="131" t="s">
        <v>1257</v>
      </c>
      <c r="C348" s="134" t="s">
        <v>1318</v>
      </c>
      <c r="D348" s="139" t="s">
        <v>1319</v>
      </c>
      <c r="E348" s="140" t="s">
        <v>1320</v>
      </c>
      <c r="F348" s="131">
        <f t="shared" ca="1" si="1"/>
        <v>5</v>
      </c>
      <c r="G348" s="106" t="str">
        <f ca="1">IFERROR(__xludf.DUMMYFUNCTION("INDEX(FILTER($P348:$AL348, $P348:$AL348 &lt;&gt; """"), 1)"),"Fintech (Digital Transformation in Finance) (B)")</f>
        <v>Fintech (Digital Transformation in Finance) (B)</v>
      </c>
      <c r="H348" s="106" t="str">
        <f ca="1">IFERROR(__xludf.DUMMYFUNCTION("INDEX(FILTER($P348:$AL348, $P348:$AL348 &lt;&gt; """"), 2)"),"AI Applications in Marketing (B)")</f>
        <v>AI Applications in Marketing (B)</v>
      </c>
      <c r="I348" s="106" t="str">
        <f ca="1">IFERROR(__xludf.DUMMYFUNCTION("INDEX(FILTER($P348:$AL348, $P348:$AL348 &lt;&gt; """"), 3)"),"SPORTS ANALYTICS (B)")</f>
        <v>SPORTS ANALYTICS (B)</v>
      </c>
      <c r="J348" s="106" t="str">
        <f ca="1">IFERROR(__xludf.DUMMYFUNCTION("IFERROR(INDEX(FILTER($P348:$AL348, $P348:$AL348 &lt;&gt; """"), 4),)"),"Entrepreneurial Marketing")</f>
        <v>Entrepreneurial Marketing</v>
      </c>
      <c r="K348" s="106" t="str">
        <f ca="1">IFERROR(__xludf.DUMMYFUNCTION("IFERROR(INDEX(FILTER($P348:$AL348, $P348:$AL348 &lt;&gt; """"), 5),)"),"Industry 4.0 in Transport Sector")</f>
        <v>Industry 4.0 in Transport Sector</v>
      </c>
      <c r="L348" s="107"/>
      <c r="M348" s="107"/>
      <c r="N348" s="107"/>
      <c r="O348" s="107"/>
      <c r="P348" s="132" t="str">
        <f>IF(COUNTIF('Fintech-A'!$A:$A, $C348), P$1, "")</f>
        <v/>
      </c>
      <c r="Q348" s="132" t="str">
        <f>IF(COUNTIF('Fintech-B'!$A:$A, $C348), Q$1, "")</f>
        <v>Fintech (Digital Transformation in Finance) (B)</v>
      </c>
      <c r="R348" s="132" t="str">
        <f>IF(COUNTIF('BEDM-A'!$A:$A, $C348), R$1, "")</f>
        <v/>
      </c>
      <c r="S348" s="132" t="str">
        <f>IF(COUNTIF('BEDM-B'!$A:$A, $C348), S$1, "")</f>
        <v/>
      </c>
      <c r="T348" s="132" t="str">
        <f>IF(COUNTIF('Art-A'!$A:$A, $C348), T$1, "")</f>
        <v/>
      </c>
      <c r="U348" s="132" t="str">
        <f>IF(COUNTIF('Art-B'!$A:$A, $C348), U$1, "")</f>
        <v/>
      </c>
      <c r="V348" s="132" t="str">
        <f>IF(COUNTIF('WH-A'!$A:$A, $C348), V$1, "")</f>
        <v/>
      </c>
      <c r="W348" s="132" t="str">
        <f>IF(COUNTIF('WH-B'!$A:$A, $C348), W$1, "")</f>
        <v/>
      </c>
      <c r="X348" s="132" t="str">
        <f>IF(COUNTIF(LETV!$A:$A, $C348), X$1, "")</f>
        <v/>
      </c>
      <c r="Y348" s="132" t="str">
        <f>IF(COUNTIF('Film&amp;Firm-A'!$A:$A, $C348), Y$1, "")</f>
        <v/>
      </c>
      <c r="Z348" s="132" t="str">
        <f>IF(COUNTIF('Film&amp;Firm-B'!$A:$A, $C348), Z$1, "")</f>
        <v/>
      </c>
      <c r="AA348" s="132" t="str">
        <f>IF(COUNTIF(SHRM!$A:$A, $C348), AA$1, "")</f>
        <v/>
      </c>
      <c r="AB348" s="132" t="str">
        <f>IF(COUNTIF('SCM-A'!$A:$A, $C348), AB$1, "")</f>
        <v/>
      </c>
      <c r="AC348" s="132" t="str">
        <f>IF(COUNTIF('SCM-B'!$A:$A, $C348), AC$1, "")</f>
        <v/>
      </c>
      <c r="AD348" s="132" t="str">
        <f>IF(COUNTIF(AIS!$A:$A, $C348), AD$1, "")</f>
        <v/>
      </c>
      <c r="AE348" s="132" t="str">
        <f>IF(COUNTIF(EB!$A:$A, $C348), AE$1, "")</f>
        <v/>
      </c>
      <c r="AF348" s="132" t="str">
        <f>IF(COUNTIF('AIAM-A'!$A:$A, $C348), AF$1, "")</f>
        <v/>
      </c>
      <c r="AG348" s="132" t="str">
        <f>IF(COUNTIF('AIAM-B'!$A:$A, $C348), AG$1, "")</f>
        <v>AI Applications in Marketing (B)</v>
      </c>
      <c r="AH348" s="132" t="str">
        <f>IF(COUNTIF('SA-A'!$A:$A, $C348), AH$1, "")</f>
        <v/>
      </c>
      <c r="AI348" s="132" t="str">
        <f>IF(COUNTIF('SA-B'!$A:$A, $C348), AI$1, "")</f>
        <v>SPORTS ANALYTICS (B)</v>
      </c>
      <c r="AJ348" s="132" t="str">
        <f>IF(COUNTIF(CSM!$A:$A, $C348), AJ$1, "")</f>
        <v/>
      </c>
      <c r="AK348" s="132" t="str">
        <f>IF(COUNTIF(EM!$A:$A, $C348), AK$1, "")</f>
        <v>Entrepreneurial Marketing</v>
      </c>
      <c r="AL348" s="132" t="str">
        <f>IF(COUNTIF(I4TS!$A:$A, $C348), AL$1, "")</f>
        <v>Industry 4.0 in Transport Sector</v>
      </c>
    </row>
    <row r="349" spans="1:38" ht="14">
      <c r="A349" s="131">
        <v>348</v>
      </c>
      <c r="B349" s="131" t="s">
        <v>1257</v>
      </c>
      <c r="C349" s="134" t="s">
        <v>181</v>
      </c>
      <c r="D349" s="139" t="s">
        <v>1321</v>
      </c>
      <c r="E349" s="140" t="s">
        <v>1322</v>
      </c>
      <c r="F349" s="131">
        <f t="shared" ca="1" si="1"/>
        <v>5</v>
      </c>
      <c r="G349" s="106" t="str">
        <f ca="1">IFERROR(__xludf.DUMMYFUNCTION("INDEX(FILTER($P349:$AL349, $P349:$AL349 &lt;&gt; """"), 1)"),"Fintech (Digital Transformation in Finance) (B)")</f>
        <v>Fintech (Digital Transformation in Finance) (B)</v>
      </c>
      <c r="H349" s="106" t="str">
        <f ca="1">IFERROR(__xludf.DUMMYFUNCTION("INDEX(FILTER($P349:$AL349, $P349:$AL349 &lt;&gt; """"), 2)"),"Film &amp; the Firm: Visual Culture in Business Contexts (A)")</f>
        <v>Film &amp; the Firm: Visual Culture in Business Contexts (A)</v>
      </c>
      <c r="I349" s="106" t="str">
        <f ca="1">IFERROR(__xludf.DUMMYFUNCTION("INDEX(FILTER($P349:$AL349, $P349:$AL349 &lt;&gt; """"), 3)"),"SPORTS ANALYTICS (B)")</f>
        <v>SPORTS ANALYTICS (B)</v>
      </c>
      <c r="J349" s="106" t="str">
        <f ca="1">IFERROR(__xludf.DUMMYFUNCTION("IFERROR(INDEX(FILTER($P349:$AL349, $P349:$AL349 &lt;&gt; """"), 4),)"),"")</f>
        <v/>
      </c>
      <c r="K349" s="106" t="str">
        <f ca="1">IFERROR(__xludf.DUMMYFUNCTION("IFERROR(INDEX(FILTER($P349:$AL349, $P349:$AL349 &lt;&gt; """"), 5),)"),"")</f>
        <v/>
      </c>
      <c r="L349" s="107"/>
      <c r="M349" s="107"/>
      <c r="N349" s="107"/>
      <c r="O349" s="107"/>
      <c r="P349" s="132" t="str">
        <f>IF(COUNTIF('Fintech-A'!$A:$A, $C349), P$1, "")</f>
        <v/>
      </c>
      <c r="Q349" s="132" t="str">
        <f>IF(COUNTIF('Fintech-B'!$A:$A, $C349), Q$1, "")</f>
        <v>Fintech (Digital Transformation in Finance) (B)</v>
      </c>
      <c r="R349" s="132" t="str">
        <f>IF(COUNTIF('BEDM-A'!$A:$A, $C349), R$1, "")</f>
        <v/>
      </c>
      <c r="S349" s="132" t="str">
        <f>IF(COUNTIF('BEDM-B'!$A:$A, $C349), S$1, "")</f>
        <v/>
      </c>
      <c r="T349" s="132" t="str">
        <f>IF(COUNTIF('Art-A'!$A:$A, $C349), T$1, "")</f>
        <v/>
      </c>
      <c r="U349" s="132" t="str">
        <f>IF(COUNTIF('Art-B'!$A:$A, $C349), U$1, "")</f>
        <v/>
      </c>
      <c r="V349" s="132" t="str">
        <f>IF(COUNTIF('WH-A'!$A:$A, $C349), V$1, "")</f>
        <v/>
      </c>
      <c r="W349" s="132" t="str">
        <f>IF(COUNTIF('WH-B'!$A:$A, $C349), W$1, "")</f>
        <v/>
      </c>
      <c r="X349" s="132" t="str">
        <f>IF(COUNTIF(LETV!$A:$A, $C349), X$1, "")</f>
        <v/>
      </c>
      <c r="Y349" s="132" t="str">
        <f>IF(COUNTIF('Film&amp;Firm-A'!$A:$A, $C349), Y$1, "")</f>
        <v>Film &amp; the Firm: Visual Culture in Business Contexts (A)</v>
      </c>
      <c r="Z349" s="132" t="str">
        <f>IF(COUNTIF('Film&amp;Firm-B'!$A:$A, $C349), Z$1, "")</f>
        <v/>
      </c>
      <c r="AA349" s="132" t="str">
        <f>IF(COUNTIF(SHRM!$A:$A, $C349), AA$1, "")</f>
        <v/>
      </c>
      <c r="AB349" s="132" t="str">
        <f>IF(COUNTIF('SCM-A'!$A:$A, $C349), AB$1, "")</f>
        <v/>
      </c>
      <c r="AC349" s="132" t="str">
        <f>IF(COUNTIF('SCM-B'!$A:$A, $C349), AC$1, "")</f>
        <v/>
      </c>
      <c r="AD349" s="132" t="str">
        <f>IF(COUNTIF(AIS!$A:$A, $C349), AD$1, "")</f>
        <v/>
      </c>
      <c r="AE349" s="132" t="str">
        <f>IF(COUNTIF(EB!$A:$A, $C349), AE$1, "")</f>
        <v/>
      </c>
      <c r="AF349" s="132" t="str">
        <f>IF(COUNTIF('AIAM-A'!$A:$A, $C349), AF$1, "")</f>
        <v/>
      </c>
      <c r="AG349" s="132" t="str">
        <f>IF(COUNTIF('AIAM-B'!$A:$A, $C349), AG$1, "")</f>
        <v/>
      </c>
      <c r="AH349" s="132" t="str">
        <f>IF(COUNTIF('SA-A'!$A:$A, $C349), AH$1, "")</f>
        <v/>
      </c>
      <c r="AI349" s="132" t="str">
        <f>IF(COUNTIF('SA-B'!$A:$A, $C349), AI$1, "")</f>
        <v>SPORTS ANALYTICS (B)</v>
      </c>
      <c r="AJ349" s="132" t="str">
        <f>IF(COUNTIF(CSM!$A:$A, $C349), AJ$1, "")</f>
        <v/>
      </c>
      <c r="AK349" s="132" t="str">
        <f>IF(COUNTIF(EM!$A:$A, $C349), AK$1, "")</f>
        <v/>
      </c>
      <c r="AL349" s="132" t="str">
        <f>IF(COUNTIF(I4TS!$A:$A, $C349), AL$1, "")</f>
        <v/>
      </c>
    </row>
    <row r="350" spans="1:38" ht="14">
      <c r="A350" s="131">
        <v>349</v>
      </c>
      <c r="B350" s="131" t="s">
        <v>1257</v>
      </c>
      <c r="C350" s="134" t="s">
        <v>1323</v>
      </c>
      <c r="D350" s="139" t="s">
        <v>1324</v>
      </c>
      <c r="E350" s="140" t="s">
        <v>1325</v>
      </c>
      <c r="F350" s="131">
        <f t="shared" ca="1" si="1"/>
        <v>5</v>
      </c>
      <c r="G350" s="106" t="str">
        <f ca="1">IFERROR(__xludf.DUMMYFUNCTION("INDEX(FILTER($P350:$AL350, $P350:$AL350 &lt;&gt; """"), 1)"),"Fintech (Digital Transformation in Finance) (A)")</f>
        <v>Fintech (Digital Transformation in Finance) (A)</v>
      </c>
      <c r="H350" s="106" t="str">
        <f ca="1">IFERROR(__xludf.DUMMYFUNCTION("INDEX(FILTER($P350:$AL350, $P350:$AL350 &lt;&gt; """"), 2)"),"Film &amp; the Firm: Visual Culture in Business Contexts (B)")</f>
        <v>Film &amp; the Firm: Visual Culture in Business Contexts (B)</v>
      </c>
      <c r="I350" s="106" t="str">
        <f ca="1">IFERROR(__xludf.DUMMYFUNCTION("INDEX(FILTER($P350:$AL350, $P350:$AL350 &lt;&gt; """"), 3)"),"AI Applications in Marketing (A)")</f>
        <v>AI Applications in Marketing (A)</v>
      </c>
      <c r="J350" s="106" t="str">
        <f ca="1">IFERROR(__xludf.DUMMYFUNCTION("IFERROR(INDEX(FILTER($P350:$AL350, $P350:$AL350 &lt;&gt; """"), 4),)"),"")</f>
        <v/>
      </c>
      <c r="K350" s="106" t="str">
        <f ca="1">IFERROR(__xludf.DUMMYFUNCTION("IFERROR(INDEX(FILTER($P350:$AL350, $P350:$AL350 &lt;&gt; """"), 5),)"),"")</f>
        <v/>
      </c>
      <c r="L350" s="107"/>
      <c r="M350" s="107"/>
      <c r="N350" s="107"/>
      <c r="O350" s="107"/>
      <c r="P350" s="132" t="str">
        <f>IF(COUNTIF('Fintech-A'!$A:$A, $C350), P$1, "")</f>
        <v>Fintech (Digital Transformation in Finance) (A)</v>
      </c>
      <c r="Q350" s="132" t="str">
        <f>IF(COUNTIF('Fintech-B'!$A:$A, $C350), Q$1, "")</f>
        <v/>
      </c>
      <c r="R350" s="132" t="str">
        <f>IF(COUNTIF('BEDM-A'!$A:$A, $C350), R$1, "")</f>
        <v/>
      </c>
      <c r="S350" s="132" t="str">
        <f>IF(COUNTIF('BEDM-B'!$A:$A, $C350), S$1, "")</f>
        <v/>
      </c>
      <c r="T350" s="132" t="str">
        <f>IF(COUNTIF('Art-A'!$A:$A, $C350), T$1, "")</f>
        <v/>
      </c>
      <c r="U350" s="132" t="str">
        <f>IF(COUNTIF('Art-B'!$A:$A, $C350), U$1, "")</f>
        <v/>
      </c>
      <c r="V350" s="132" t="str">
        <f>IF(COUNTIF('WH-A'!$A:$A, $C350), V$1, "")</f>
        <v/>
      </c>
      <c r="W350" s="132" t="str">
        <f>IF(COUNTIF('WH-B'!$A:$A, $C350), W$1, "")</f>
        <v/>
      </c>
      <c r="X350" s="132" t="str">
        <f>IF(COUNTIF(LETV!$A:$A, $C350), X$1, "")</f>
        <v/>
      </c>
      <c r="Y350" s="132" t="str">
        <f>IF(COUNTIF('Film&amp;Firm-A'!$A:$A, $C350), Y$1, "")</f>
        <v/>
      </c>
      <c r="Z350" s="132" t="str">
        <f>IF(COUNTIF('Film&amp;Firm-B'!$A:$A, $C350), Z$1, "")</f>
        <v>Film &amp; the Firm: Visual Culture in Business Contexts (B)</v>
      </c>
      <c r="AA350" s="132" t="str">
        <f>IF(COUNTIF(SHRM!$A:$A, $C350), AA$1, "")</f>
        <v/>
      </c>
      <c r="AB350" s="132" t="str">
        <f>IF(COUNTIF('SCM-A'!$A:$A, $C350), AB$1, "")</f>
        <v/>
      </c>
      <c r="AC350" s="132" t="str">
        <f>IF(COUNTIF('SCM-B'!$A:$A, $C350), AC$1, "")</f>
        <v/>
      </c>
      <c r="AD350" s="132" t="str">
        <f>IF(COUNTIF(AIS!$A:$A, $C350), AD$1, "")</f>
        <v/>
      </c>
      <c r="AE350" s="132" t="str">
        <f>IF(COUNTIF(EB!$A:$A, $C350), AE$1, "")</f>
        <v/>
      </c>
      <c r="AF350" s="132" t="str">
        <f>IF(COUNTIF('AIAM-A'!$A:$A, $C350), AF$1, "")</f>
        <v>AI Applications in Marketing (A)</v>
      </c>
      <c r="AG350" s="132" t="str">
        <f>IF(COUNTIF('AIAM-B'!$A:$A, $C350), AG$1, "")</f>
        <v/>
      </c>
      <c r="AH350" s="132" t="str">
        <f>IF(COUNTIF('SA-A'!$A:$A, $C350), AH$1, "")</f>
        <v/>
      </c>
      <c r="AI350" s="132" t="str">
        <f>IF(COUNTIF('SA-B'!$A:$A, $C350), AI$1, "")</f>
        <v/>
      </c>
      <c r="AJ350" s="132" t="str">
        <f>IF(COUNTIF(CSM!$A:$A, $C350), AJ$1, "")</f>
        <v/>
      </c>
      <c r="AK350" s="132" t="str">
        <f>IF(COUNTIF(EM!$A:$A, $C350), AK$1, "")</f>
        <v/>
      </c>
      <c r="AL350" s="132" t="str">
        <f>IF(COUNTIF(I4TS!$A:$A, $C350), AL$1, "")</f>
        <v/>
      </c>
    </row>
    <row r="351" spans="1:38" ht="14">
      <c r="A351" s="131">
        <v>350</v>
      </c>
      <c r="B351" s="131" t="s">
        <v>1257</v>
      </c>
      <c r="C351" s="134" t="s">
        <v>182</v>
      </c>
      <c r="D351" s="139" t="s">
        <v>1326</v>
      </c>
      <c r="E351" s="140" t="s">
        <v>1327</v>
      </c>
      <c r="F351" s="131">
        <f t="shared" ca="1" si="1"/>
        <v>5</v>
      </c>
      <c r="G351" s="106" t="str">
        <f ca="1">IFERROR(__xludf.DUMMYFUNCTION("INDEX(FILTER($P351:$AL351, $P351:$AL351 &lt;&gt; """"), 1)"),"Fintech (Digital Transformation in Finance) (A)")</f>
        <v>Fintech (Digital Transformation in Finance) (A)</v>
      </c>
      <c r="H351" s="106" t="str">
        <f ca="1">IFERROR(__xludf.DUMMYFUNCTION("INDEX(FILTER($P351:$AL351, $P351:$AL351 &lt;&gt; """"), 2)"),"The Art, Craft, and Science of Management: Learning through Classics and Best Collections (A)")</f>
        <v>The Art, Craft, and Science of Management: Learning through Classics and Best Collections (A)</v>
      </c>
      <c r="I351" s="106" t="str">
        <f ca="1">IFERROR(__xludf.DUMMYFUNCTION("INDEX(FILTER($P351:$AL351, $P351:$AL351 &lt;&gt; """"), 3)"),"SPORTS ANALYTICS (A)")</f>
        <v>SPORTS ANALYTICS (A)</v>
      </c>
      <c r="J351" s="106" t="str">
        <f ca="1">IFERROR(__xludf.DUMMYFUNCTION("IFERROR(INDEX(FILTER($P351:$AL351, $P351:$AL351 &lt;&gt; """"), 4),)"),"")</f>
        <v/>
      </c>
      <c r="K351" s="106" t="str">
        <f ca="1">IFERROR(__xludf.DUMMYFUNCTION("IFERROR(INDEX(FILTER($P351:$AL351, $P351:$AL351 &lt;&gt; """"), 5),)"),"")</f>
        <v/>
      </c>
      <c r="L351" s="107"/>
      <c r="M351" s="107"/>
      <c r="N351" s="107"/>
      <c r="O351" s="107"/>
      <c r="P351" s="132" t="str">
        <f>IF(COUNTIF('Fintech-A'!$A:$A, $C351), P$1, "")</f>
        <v>Fintech (Digital Transformation in Finance) (A)</v>
      </c>
      <c r="Q351" s="132" t="str">
        <f>IF(COUNTIF('Fintech-B'!$A:$A, $C351), Q$1, "")</f>
        <v/>
      </c>
      <c r="R351" s="132" t="str">
        <f>IF(COUNTIF('BEDM-A'!$A:$A, $C351), R$1, "")</f>
        <v/>
      </c>
      <c r="S351" s="132" t="str">
        <f>IF(COUNTIF('BEDM-B'!$A:$A, $C351), S$1, "")</f>
        <v/>
      </c>
      <c r="T351" s="132" t="str">
        <f>IF(COUNTIF('Art-A'!$A:$A, $C351), T$1, "")</f>
        <v>The Art, Craft, and Science of Management: Learning through Classics and Best Collections (A)</v>
      </c>
      <c r="U351" s="132" t="str">
        <f>IF(COUNTIF('Art-B'!$A:$A, $C351), U$1, "")</f>
        <v/>
      </c>
      <c r="V351" s="132" t="str">
        <f>IF(COUNTIF('WH-A'!$A:$A, $C351), V$1, "")</f>
        <v/>
      </c>
      <c r="W351" s="132" t="str">
        <f>IF(COUNTIF('WH-B'!$A:$A, $C351), W$1, "")</f>
        <v/>
      </c>
      <c r="X351" s="132" t="str">
        <f>IF(COUNTIF(LETV!$A:$A, $C351), X$1, "")</f>
        <v/>
      </c>
      <c r="Y351" s="132" t="str">
        <f>IF(COUNTIF('Film&amp;Firm-A'!$A:$A, $C351), Y$1, "")</f>
        <v/>
      </c>
      <c r="Z351" s="132" t="str">
        <f>IF(COUNTIF('Film&amp;Firm-B'!$A:$A, $C351), Z$1, "")</f>
        <v/>
      </c>
      <c r="AA351" s="132" t="str">
        <f>IF(COUNTIF(SHRM!$A:$A, $C351), AA$1, "")</f>
        <v/>
      </c>
      <c r="AB351" s="132" t="str">
        <f>IF(COUNTIF('SCM-A'!$A:$A, $C351), AB$1, "")</f>
        <v/>
      </c>
      <c r="AC351" s="132" t="str">
        <f>IF(COUNTIF('SCM-B'!$A:$A, $C351), AC$1, "")</f>
        <v/>
      </c>
      <c r="AD351" s="132" t="str">
        <f>IF(COUNTIF(AIS!$A:$A, $C351), AD$1, "")</f>
        <v/>
      </c>
      <c r="AE351" s="132" t="str">
        <f>IF(COUNTIF(EB!$A:$A, $C351), AE$1, "")</f>
        <v/>
      </c>
      <c r="AF351" s="132" t="str">
        <f>IF(COUNTIF('AIAM-A'!$A:$A, $C351), AF$1, "")</f>
        <v/>
      </c>
      <c r="AG351" s="132" t="str">
        <f>IF(COUNTIF('AIAM-B'!$A:$A, $C351), AG$1, "")</f>
        <v/>
      </c>
      <c r="AH351" s="132" t="str">
        <f>IF(COUNTIF('SA-A'!$A:$A, $C351), AH$1, "")</f>
        <v>SPORTS ANALYTICS (A)</v>
      </c>
      <c r="AI351" s="132" t="str">
        <f>IF(COUNTIF('SA-B'!$A:$A, $C351), AI$1, "")</f>
        <v/>
      </c>
      <c r="AJ351" s="132" t="str">
        <f>IF(COUNTIF(CSM!$A:$A, $C351), AJ$1, "")</f>
        <v/>
      </c>
      <c r="AK351" s="132" t="str">
        <f>IF(COUNTIF(EM!$A:$A, $C351), AK$1, "")</f>
        <v/>
      </c>
      <c r="AL351" s="132" t="str">
        <f>IF(COUNTIF(I4TS!$A:$A, $C351), AL$1, "")</f>
        <v/>
      </c>
    </row>
    <row r="352" spans="1:38" ht="14">
      <c r="A352" s="131">
        <v>351</v>
      </c>
      <c r="B352" s="131" t="s">
        <v>1257</v>
      </c>
      <c r="C352" s="134" t="s">
        <v>1328</v>
      </c>
      <c r="D352" s="139" t="s">
        <v>1329</v>
      </c>
      <c r="E352" s="140" t="s">
        <v>1330</v>
      </c>
      <c r="F352" s="131">
        <f t="shared" ca="1" si="1"/>
        <v>5</v>
      </c>
      <c r="G352" s="106" t="str">
        <f ca="1">IFERROR(__xludf.DUMMYFUNCTION("INDEX(FILTER($P352:$AL352, $P352:$AL352 &lt;&gt; """"), 1)"),"Behavioural Economics and Decision-Making (B)")</f>
        <v>Behavioural Economics and Decision-Making (B)</v>
      </c>
      <c r="H352" s="106" t="str">
        <f ca="1">IFERROR(__xludf.DUMMYFUNCTION("INDEX(FILTER($P352:$AL352, $P352:$AL352 &lt;&gt; """"), 2)"),"Film &amp; the Firm: Visual Culture in Business Contexts (A)")</f>
        <v>Film &amp; the Firm: Visual Culture in Business Contexts (A)</v>
      </c>
      <c r="I352" s="106" t="str">
        <f ca="1">IFERROR(__xludf.DUMMYFUNCTION("INDEX(FILTER($P352:$AL352, $P352:$AL352 &lt;&gt; """"), 3)"),"SPORTS ANALYTICS (A)")</f>
        <v>SPORTS ANALYTICS (A)</v>
      </c>
      <c r="J352" s="106" t="str">
        <f ca="1">IFERROR(__xludf.DUMMYFUNCTION("IFERROR(INDEX(FILTER($P352:$AL352, $P352:$AL352 &lt;&gt; """"), 4),)"),"")</f>
        <v/>
      </c>
      <c r="K352" s="106" t="str">
        <f ca="1">IFERROR(__xludf.DUMMYFUNCTION("IFERROR(INDEX(FILTER($P352:$AL352, $P352:$AL352 &lt;&gt; """"), 5),)"),"")</f>
        <v/>
      </c>
      <c r="L352" s="107"/>
      <c r="M352" s="107"/>
      <c r="N352" s="107"/>
      <c r="O352" s="107"/>
      <c r="P352" s="132" t="str">
        <f>IF(COUNTIF('Fintech-A'!$A:$A, $C352), P$1, "")</f>
        <v/>
      </c>
      <c r="Q352" s="132" t="str">
        <f>IF(COUNTIF('Fintech-B'!$A:$A, $C352), Q$1, "")</f>
        <v/>
      </c>
      <c r="R352" s="132" t="str">
        <f>IF(COUNTIF('BEDM-A'!$A:$A, $C352), R$1, "")</f>
        <v/>
      </c>
      <c r="S352" s="132" t="str">
        <f>IF(COUNTIF('BEDM-B'!$A:$A, $C352), S$1, "")</f>
        <v>Behavioural Economics and Decision-Making (B)</v>
      </c>
      <c r="T352" s="132" t="str">
        <f>IF(COUNTIF('Art-A'!$A:$A, $C352), T$1, "")</f>
        <v/>
      </c>
      <c r="U352" s="132" t="str">
        <f>IF(COUNTIF('Art-B'!$A:$A, $C352), U$1, "")</f>
        <v/>
      </c>
      <c r="V352" s="132" t="str">
        <f>IF(COUNTIF('WH-A'!$A:$A, $C352), V$1, "")</f>
        <v/>
      </c>
      <c r="W352" s="132" t="str">
        <f>IF(COUNTIF('WH-B'!$A:$A, $C352), W$1, "")</f>
        <v/>
      </c>
      <c r="X352" s="132" t="str">
        <f>IF(COUNTIF(LETV!$A:$A, $C352), X$1, "")</f>
        <v/>
      </c>
      <c r="Y352" s="132" t="str">
        <f>IF(COUNTIF('Film&amp;Firm-A'!$A:$A, $C352), Y$1, "")</f>
        <v>Film &amp; the Firm: Visual Culture in Business Contexts (A)</v>
      </c>
      <c r="Z352" s="132" t="str">
        <f>IF(COUNTIF('Film&amp;Firm-B'!$A:$A, $C352), Z$1, "")</f>
        <v/>
      </c>
      <c r="AA352" s="132" t="str">
        <f>IF(COUNTIF(SHRM!$A:$A, $C352), AA$1, "")</f>
        <v/>
      </c>
      <c r="AB352" s="132" t="str">
        <f>IF(COUNTIF('SCM-A'!$A:$A, $C352), AB$1, "")</f>
        <v/>
      </c>
      <c r="AC352" s="132" t="str">
        <f>IF(COUNTIF('SCM-B'!$A:$A, $C352), AC$1, "")</f>
        <v/>
      </c>
      <c r="AD352" s="132" t="str">
        <f>IF(COUNTIF(AIS!$A:$A, $C352), AD$1, "")</f>
        <v/>
      </c>
      <c r="AE352" s="132" t="str">
        <f>IF(COUNTIF(EB!$A:$A, $C352), AE$1, "")</f>
        <v/>
      </c>
      <c r="AF352" s="132" t="str">
        <f>IF(COUNTIF('AIAM-A'!$A:$A, $C352), AF$1, "")</f>
        <v/>
      </c>
      <c r="AG352" s="132" t="str">
        <f>IF(COUNTIF('AIAM-B'!$A:$A, $C352), AG$1, "")</f>
        <v/>
      </c>
      <c r="AH352" s="132" t="str">
        <f>IF(COUNTIF('SA-A'!$A:$A, $C352), AH$1, "")</f>
        <v>SPORTS ANALYTICS (A)</v>
      </c>
      <c r="AI352" s="132" t="str">
        <f>IF(COUNTIF('SA-B'!$A:$A, $C352), AI$1, "")</f>
        <v/>
      </c>
      <c r="AJ352" s="132" t="str">
        <f>IF(COUNTIF(CSM!$A:$A, $C352), AJ$1, "")</f>
        <v/>
      </c>
      <c r="AK352" s="132" t="str">
        <f>IF(COUNTIF(EM!$A:$A, $C352), AK$1, "")</f>
        <v/>
      </c>
      <c r="AL352" s="132" t="str">
        <f>IF(COUNTIF(I4TS!$A:$A, $C352), AL$1, "")</f>
        <v/>
      </c>
    </row>
    <row r="353" spans="1:38" ht="14">
      <c r="A353" s="131">
        <v>352</v>
      </c>
      <c r="B353" s="131" t="s">
        <v>1257</v>
      </c>
      <c r="C353" s="134" t="s">
        <v>1331</v>
      </c>
      <c r="D353" s="139" t="s">
        <v>1332</v>
      </c>
      <c r="E353" s="140" t="s">
        <v>1333</v>
      </c>
      <c r="F353" s="131">
        <f t="shared" ca="1" si="1"/>
        <v>5</v>
      </c>
      <c r="G353" s="106" t="str">
        <f ca="1">IFERROR(__xludf.DUMMYFUNCTION("INDEX(FILTER($P353:$AL353, $P353:$AL353 &lt;&gt; """"), 1)"),"Fintech (Digital Transformation in Finance) (A)")</f>
        <v>Fintech (Digital Transformation in Finance) (A)</v>
      </c>
      <c r="H353" s="106" t="str">
        <f ca="1">IFERROR(__xludf.DUMMYFUNCTION("INDEX(FILTER($P353:$AL353, $P353:$AL353 &lt;&gt; """"), 2)"),"Behavioural Economics and Decision-Making (B)")</f>
        <v>Behavioural Economics and Decision-Making (B)</v>
      </c>
      <c r="I353" s="106" t="str">
        <f ca="1">IFERROR(__xludf.DUMMYFUNCTION("INDEX(FILTER($P353:$AL353, $P353:$AL353 &lt;&gt; """"), 3)"),"The Art, Craft, and Science of Management: Learning through Classics and Best Collections (A)")</f>
        <v>The Art, Craft, and Science of Management: Learning through Classics and Best Collections (A)</v>
      </c>
      <c r="J353" s="106" t="str">
        <f ca="1">IFERROR(__xludf.DUMMYFUNCTION("IFERROR(INDEX(FILTER($P353:$AL353, $P353:$AL353 &lt;&gt; """"), 4),)"),"SPORTS ANALYTICS (A)")</f>
        <v>SPORTS ANALYTICS (A)</v>
      </c>
      <c r="K353" s="106" t="str">
        <f ca="1">IFERROR(__xludf.DUMMYFUNCTION("IFERROR(INDEX(FILTER($P353:$AL353, $P353:$AL353 &lt;&gt; """"), 5),)"),"Industry 4.0 in Transport Sector")</f>
        <v>Industry 4.0 in Transport Sector</v>
      </c>
      <c r="L353" s="107"/>
      <c r="M353" s="107"/>
      <c r="N353" s="107"/>
      <c r="O353" s="107"/>
      <c r="P353" s="132" t="str">
        <f>IF(COUNTIF('Fintech-A'!$A:$A, $C353), P$1, "")</f>
        <v>Fintech (Digital Transformation in Finance) (A)</v>
      </c>
      <c r="Q353" s="132" t="str">
        <f>IF(COUNTIF('Fintech-B'!$A:$A, $C353), Q$1, "")</f>
        <v/>
      </c>
      <c r="R353" s="132" t="str">
        <f>IF(COUNTIF('BEDM-A'!$A:$A, $C353), R$1, "")</f>
        <v/>
      </c>
      <c r="S353" s="132" t="str">
        <f>IF(COUNTIF('BEDM-B'!$A:$A, $C353), S$1, "")</f>
        <v>Behavioural Economics and Decision-Making (B)</v>
      </c>
      <c r="T353" s="132" t="str">
        <f>IF(COUNTIF('Art-A'!$A:$A, $C353), T$1, "")</f>
        <v>The Art, Craft, and Science of Management: Learning through Classics and Best Collections (A)</v>
      </c>
      <c r="U353" s="132" t="str">
        <f>IF(COUNTIF('Art-B'!$A:$A, $C353), U$1, "")</f>
        <v/>
      </c>
      <c r="V353" s="132" t="str">
        <f>IF(COUNTIF('WH-A'!$A:$A, $C353), V$1, "")</f>
        <v/>
      </c>
      <c r="W353" s="132" t="str">
        <f>IF(COUNTIF('WH-B'!$A:$A, $C353), W$1, "")</f>
        <v/>
      </c>
      <c r="X353" s="132" t="str">
        <f>IF(COUNTIF(LETV!$A:$A, $C353), X$1, "")</f>
        <v/>
      </c>
      <c r="Y353" s="132" t="str">
        <f>IF(COUNTIF('Film&amp;Firm-A'!$A:$A, $C353), Y$1, "")</f>
        <v/>
      </c>
      <c r="Z353" s="132" t="str">
        <f>IF(COUNTIF('Film&amp;Firm-B'!$A:$A, $C353), Z$1, "")</f>
        <v/>
      </c>
      <c r="AA353" s="132" t="str">
        <f>IF(COUNTIF(SHRM!$A:$A, $C353), AA$1, "")</f>
        <v/>
      </c>
      <c r="AB353" s="132" t="str">
        <f>IF(COUNTIF('SCM-A'!$A:$A, $C353), AB$1, "")</f>
        <v/>
      </c>
      <c r="AC353" s="132" t="str">
        <f>IF(COUNTIF('SCM-B'!$A:$A, $C353), AC$1, "")</f>
        <v/>
      </c>
      <c r="AD353" s="132" t="str">
        <f>IF(COUNTIF(AIS!$A:$A, $C353), AD$1, "")</f>
        <v/>
      </c>
      <c r="AE353" s="132" t="str">
        <f>IF(COUNTIF(EB!$A:$A, $C353), AE$1, "")</f>
        <v/>
      </c>
      <c r="AF353" s="132" t="str">
        <f>IF(COUNTIF('AIAM-A'!$A:$A, $C353), AF$1, "")</f>
        <v/>
      </c>
      <c r="AG353" s="132" t="str">
        <f>IF(COUNTIF('AIAM-B'!$A:$A, $C353), AG$1, "")</f>
        <v/>
      </c>
      <c r="AH353" s="132" t="str">
        <f>IF(COUNTIF('SA-A'!$A:$A, $C353), AH$1, "")</f>
        <v>SPORTS ANALYTICS (A)</v>
      </c>
      <c r="AI353" s="132" t="str">
        <f>IF(COUNTIF('SA-B'!$A:$A, $C353), AI$1, "")</f>
        <v/>
      </c>
      <c r="AJ353" s="132" t="str">
        <f>IF(COUNTIF(CSM!$A:$A, $C353), AJ$1, "")</f>
        <v/>
      </c>
      <c r="AK353" s="132" t="str">
        <f>IF(COUNTIF(EM!$A:$A, $C353), AK$1, "")</f>
        <v/>
      </c>
      <c r="AL353" s="132" t="str">
        <f>IF(COUNTIF(I4TS!$A:$A, $C353), AL$1, "")</f>
        <v>Industry 4.0 in Transport Sector</v>
      </c>
    </row>
    <row r="354" spans="1:38" ht="14">
      <c r="A354" s="131">
        <v>353</v>
      </c>
      <c r="B354" s="131" t="s">
        <v>1257</v>
      </c>
      <c r="C354" s="134" t="s">
        <v>1334</v>
      </c>
      <c r="D354" s="139" t="s">
        <v>1335</v>
      </c>
      <c r="E354" s="140" t="s">
        <v>1336</v>
      </c>
      <c r="F354" s="131">
        <f t="shared" ca="1" si="1"/>
        <v>5</v>
      </c>
      <c r="G354" s="106" t="str">
        <f ca="1">IFERROR(__xludf.DUMMYFUNCTION("INDEX(FILTER($P354:$AL354, $P354:$AL354 &lt;&gt; """"), 1)"),"Fintech (Digital Transformation in Finance) (B)")</f>
        <v>Fintech (Digital Transformation in Finance) (B)</v>
      </c>
      <c r="H354" s="106" t="str">
        <f ca="1">IFERROR(__xludf.DUMMYFUNCTION("INDEX(FILTER($P354:$AL354, $P354:$AL354 &lt;&gt; """"), 2)"),"Film &amp; the Firm: Visual Culture in Business Contexts (A)")</f>
        <v>Film &amp; the Firm: Visual Culture in Business Contexts (A)</v>
      </c>
      <c r="I354" s="106" t="str">
        <f ca="1">IFERROR(__xludf.DUMMYFUNCTION("INDEX(FILTER($P354:$AL354, $P354:$AL354 &lt;&gt; """"), 3)"),"SPORTS ANALYTICS (B)")</f>
        <v>SPORTS ANALYTICS (B)</v>
      </c>
      <c r="J354" s="106" t="str">
        <f ca="1">IFERROR(__xludf.DUMMYFUNCTION("IFERROR(INDEX(FILTER($P354:$AL354, $P354:$AL354 &lt;&gt; """"), 4),)"),"")</f>
        <v/>
      </c>
      <c r="K354" s="106" t="str">
        <f ca="1">IFERROR(__xludf.DUMMYFUNCTION("IFERROR(INDEX(FILTER($P354:$AL354, $P354:$AL354 &lt;&gt; """"), 5),)"),"")</f>
        <v/>
      </c>
      <c r="L354" s="107"/>
      <c r="M354" s="107"/>
      <c r="N354" s="107"/>
      <c r="O354" s="107"/>
      <c r="P354" s="132" t="str">
        <f>IF(COUNTIF('Fintech-A'!$A:$A, $C354), P$1, "")</f>
        <v/>
      </c>
      <c r="Q354" s="132" t="str">
        <f>IF(COUNTIF('Fintech-B'!$A:$A, $C354), Q$1, "")</f>
        <v>Fintech (Digital Transformation in Finance) (B)</v>
      </c>
      <c r="R354" s="132" t="str">
        <f>IF(COUNTIF('BEDM-A'!$A:$A, $C354), R$1, "")</f>
        <v/>
      </c>
      <c r="S354" s="132" t="str">
        <f>IF(COUNTIF('BEDM-B'!$A:$A, $C354), S$1, "")</f>
        <v/>
      </c>
      <c r="T354" s="132" t="str">
        <f>IF(COUNTIF('Art-A'!$A:$A, $C354), T$1, "")</f>
        <v/>
      </c>
      <c r="U354" s="132" t="str">
        <f>IF(COUNTIF('Art-B'!$A:$A, $C354), U$1, "")</f>
        <v/>
      </c>
      <c r="V354" s="132" t="str">
        <f>IF(COUNTIF('WH-A'!$A:$A, $C354), V$1, "")</f>
        <v/>
      </c>
      <c r="W354" s="132" t="str">
        <f>IF(COUNTIF('WH-B'!$A:$A, $C354), W$1, "")</f>
        <v/>
      </c>
      <c r="X354" s="132" t="str">
        <f>IF(COUNTIF(LETV!$A:$A, $C354), X$1, "")</f>
        <v/>
      </c>
      <c r="Y354" s="132" t="str">
        <f>IF(COUNTIF('Film&amp;Firm-A'!$A:$A, $C354), Y$1, "")</f>
        <v>Film &amp; the Firm: Visual Culture in Business Contexts (A)</v>
      </c>
      <c r="Z354" s="132" t="str">
        <f>IF(COUNTIF('Film&amp;Firm-B'!$A:$A, $C354), Z$1, "")</f>
        <v/>
      </c>
      <c r="AA354" s="132" t="str">
        <f>IF(COUNTIF(SHRM!$A:$A, $C354), AA$1, "")</f>
        <v/>
      </c>
      <c r="AB354" s="132" t="str">
        <f>IF(COUNTIF('SCM-A'!$A:$A, $C354), AB$1, "")</f>
        <v/>
      </c>
      <c r="AC354" s="132" t="str">
        <f>IF(COUNTIF('SCM-B'!$A:$A, $C354), AC$1, "")</f>
        <v/>
      </c>
      <c r="AD354" s="132" t="str">
        <f>IF(COUNTIF(AIS!$A:$A, $C354), AD$1, "")</f>
        <v/>
      </c>
      <c r="AE354" s="132" t="str">
        <f>IF(COUNTIF(EB!$A:$A, $C354), AE$1, "")</f>
        <v/>
      </c>
      <c r="AF354" s="132" t="str">
        <f>IF(COUNTIF('AIAM-A'!$A:$A, $C354), AF$1, "")</f>
        <v/>
      </c>
      <c r="AG354" s="132" t="str">
        <f>IF(COUNTIF('AIAM-B'!$A:$A, $C354), AG$1, "")</f>
        <v/>
      </c>
      <c r="AH354" s="132" t="str">
        <f>IF(COUNTIF('SA-A'!$A:$A, $C354), AH$1, "")</f>
        <v/>
      </c>
      <c r="AI354" s="132" t="str">
        <f>IF(COUNTIF('SA-B'!$A:$A, $C354), AI$1, "")</f>
        <v>SPORTS ANALYTICS (B)</v>
      </c>
      <c r="AJ354" s="132" t="str">
        <f>IF(COUNTIF(CSM!$A:$A, $C354), AJ$1, "")</f>
        <v/>
      </c>
      <c r="AK354" s="132" t="str">
        <f>IF(COUNTIF(EM!$A:$A, $C354), AK$1, "")</f>
        <v/>
      </c>
      <c r="AL354" s="132" t="str">
        <f>IF(COUNTIF(I4TS!$A:$A, $C354), AL$1, "")</f>
        <v/>
      </c>
    </row>
    <row r="355" spans="1:38" ht="14">
      <c r="A355" s="131">
        <v>354</v>
      </c>
      <c r="B355" s="131" t="s">
        <v>1257</v>
      </c>
      <c r="C355" s="134" t="s">
        <v>1337</v>
      </c>
      <c r="D355" s="139" t="s">
        <v>1338</v>
      </c>
      <c r="E355" s="140" t="s">
        <v>1339</v>
      </c>
      <c r="F355" s="131">
        <f t="shared" ca="1" si="1"/>
        <v>5</v>
      </c>
      <c r="G355" s="106" t="str">
        <f ca="1">IFERROR(__xludf.DUMMYFUNCTION("INDEX(FILTER($P355:$AL355, $P355:$AL355 &lt;&gt; """"), 1)"),"The Art, Craft, and Science of Management: Learning through Classics and Best Collections (B)")</f>
        <v>The Art, Craft, and Science of Management: Learning through Classics and Best Collections (B)</v>
      </c>
      <c r="H355" s="106" t="str">
        <f ca="1">IFERROR(__xludf.DUMMYFUNCTION("INDEX(FILTER($P355:$AL355, $P355:$AL355 &lt;&gt; """"), 2)"),"Leadership Excellence Through Values : Wisdom from the Mahabharata")</f>
        <v>Leadership Excellence Through Values : Wisdom from the Mahabharata</v>
      </c>
      <c r="I355" s="106" t="str">
        <f ca="1">IFERROR(__xludf.DUMMYFUNCTION("INDEX(FILTER($P355:$AL355, $P355:$AL355 &lt;&gt; """"), 3)"),"AI Applications in Marketing (A)")</f>
        <v>AI Applications in Marketing (A)</v>
      </c>
      <c r="J355" s="106" t="str">
        <f ca="1">IFERROR(__xludf.DUMMYFUNCTION("IFERROR(INDEX(FILTER($P355:$AL355, $P355:$AL355 &lt;&gt; """"), 4),)"),"")</f>
        <v/>
      </c>
      <c r="K355" s="106" t="str">
        <f ca="1">IFERROR(__xludf.DUMMYFUNCTION("IFERROR(INDEX(FILTER($P355:$AL355, $P355:$AL355 &lt;&gt; """"), 5),)"),"")</f>
        <v/>
      </c>
      <c r="L355" s="107"/>
      <c r="M355" s="107"/>
      <c r="N355" s="107"/>
      <c r="O355" s="107"/>
      <c r="P355" s="132" t="str">
        <f>IF(COUNTIF('Fintech-A'!$A:$A, $C355), P$1, "")</f>
        <v/>
      </c>
      <c r="Q355" s="132" t="str">
        <f>IF(COUNTIF('Fintech-B'!$A:$A, $C355), Q$1, "")</f>
        <v/>
      </c>
      <c r="R355" s="132" t="str">
        <f>IF(COUNTIF('BEDM-A'!$A:$A, $C355), R$1, "")</f>
        <v/>
      </c>
      <c r="S355" s="132" t="str">
        <f>IF(COUNTIF('BEDM-B'!$A:$A, $C355), S$1, "")</f>
        <v/>
      </c>
      <c r="T355" s="132" t="str">
        <f>IF(COUNTIF('Art-A'!$A:$A, $C355), T$1, "")</f>
        <v/>
      </c>
      <c r="U355" s="132" t="str">
        <f>IF(COUNTIF('Art-B'!$A:$A, $C355), U$1, "")</f>
        <v>The Art, Craft, and Science of Management: Learning through Classics and Best Collections (B)</v>
      </c>
      <c r="V355" s="132" t="str">
        <f>IF(COUNTIF('WH-A'!$A:$A, $C355), V$1, "")</f>
        <v/>
      </c>
      <c r="W355" s="132" t="str">
        <f>IF(COUNTIF('WH-B'!$A:$A, $C355), W$1, "")</f>
        <v/>
      </c>
      <c r="X355" s="132" t="str">
        <f>IF(COUNTIF(LETV!$A:$A, $C355), X$1, "")</f>
        <v>Leadership Excellence Through Values : Wisdom from the Mahabharata</v>
      </c>
      <c r="Y355" s="132" t="str">
        <f>IF(COUNTIF('Film&amp;Firm-A'!$A:$A, $C355), Y$1, "")</f>
        <v/>
      </c>
      <c r="Z355" s="132" t="str">
        <f>IF(COUNTIF('Film&amp;Firm-B'!$A:$A, $C355), Z$1, "")</f>
        <v/>
      </c>
      <c r="AA355" s="132" t="str">
        <f>IF(COUNTIF(SHRM!$A:$A, $C355), AA$1, "")</f>
        <v/>
      </c>
      <c r="AB355" s="132" t="str">
        <f>IF(COUNTIF('SCM-A'!$A:$A, $C355), AB$1, "")</f>
        <v/>
      </c>
      <c r="AC355" s="132" t="str">
        <f>IF(COUNTIF('SCM-B'!$A:$A, $C355), AC$1, "")</f>
        <v/>
      </c>
      <c r="AD355" s="132" t="str">
        <f>IF(COUNTIF(AIS!$A:$A, $C355), AD$1, "")</f>
        <v/>
      </c>
      <c r="AE355" s="132" t="str">
        <f>IF(COUNTIF(EB!$A:$A, $C355), AE$1, "")</f>
        <v/>
      </c>
      <c r="AF355" s="132" t="str">
        <f>IF(COUNTIF('AIAM-A'!$A:$A, $C355), AF$1, "")</f>
        <v>AI Applications in Marketing (A)</v>
      </c>
      <c r="AG355" s="132" t="str">
        <f>IF(COUNTIF('AIAM-B'!$A:$A, $C355), AG$1, "")</f>
        <v/>
      </c>
      <c r="AH355" s="132" t="str">
        <f>IF(COUNTIF('SA-A'!$A:$A, $C355), AH$1, "")</f>
        <v/>
      </c>
      <c r="AI355" s="132" t="str">
        <f>IF(COUNTIF('SA-B'!$A:$A, $C355), AI$1, "")</f>
        <v/>
      </c>
      <c r="AJ355" s="132" t="str">
        <f>IF(COUNTIF(CSM!$A:$A, $C355), AJ$1, "")</f>
        <v/>
      </c>
      <c r="AK355" s="132" t="str">
        <f>IF(COUNTIF(EM!$A:$A, $C355), AK$1, "")</f>
        <v/>
      </c>
      <c r="AL355" s="132" t="str">
        <f>IF(COUNTIF(I4TS!$A:$A, $C355), AL$1, "")</f>
        <v/>
      </c>
    </row>
    <row r="356" spans="1:38" ht="14">
      <c r="A356" s="131">
        <v>355</v>
      </c>
      <c r="B356" s="131" t="s">
        <v>1257</v>
      </c>
      <c r="C356" s="134" t="s">
        <v>183</v>
      </c>
      <c r="D356" s="139" t="s">
        <v>1340</v>
      </c>
      <c r="E356" s="140" t="s">
        <v>1341</v>
      </c>
      <c r="F356" s="131">
        <f t="shared" ca="1" si="1"/>
        <v>5</v>
      </c>
      <c r="G356" s="106" t="str">
        <f ca="1">IFERROR(__xludf.DUMMYFUNCTION("INDEX(FILTER($P356:$AL356, $P356:$AL356 &lt;&gt; """"), 1)"),"Film &amp; the Firm: Visual Culture in Business Contexts (B)")</f>
        <v>Film &amp; the Firm: Visual Culture in Business Contexts (B)</v>
      </c>
      <c r="H356" s="106" t="str">
        <f ca="1">IFERROR(__xludf.DUMMYFUNCTION("INDEX(FILTER($P356:$AL356, $P356:$AL356 &lt;&gt; """"), 2)"),"AI Applications in Marketing (A)")</f>
        <v>AI Applications in Marketing (A)</v>
      </c>
      <c r="I356" s="106" t="str">
        <f ca="1">IFERROR(__xludf.DUMMYFUNCTION("INDEX(FILTER($P356:$AL356, $P356:$AL356 &lt;&gt; """"), 3)"),"SPORTS ANALYTICS (A)")</f>
        <v>SPORTS ANALYTICS (A)</v>
      </c>
      <c r="J356" s="106" t="str">
        <f ca="1">IFERROR(__xludf.DUMMYFUNCTION("IFERROR(INDEX(FILTER($P356:$AL356, $P356:$AL356 &lt;&gt; """"), 4),)"),"")</f>
        <v/>
      </c>
      <c r="K356" s="106" t="str">
        <f ca="1">IFERROR(__xludf.DUMMYFUNCTION("IFERROR(INDEX(FILTER($P356:$AL356, $P356:$AL356 &lt;&gt; """"), 5),)"),"")</f>
        <v/>
      </c>
      <c r="L356" s="107"/>
      <c r="M356" s="107"/>
      <c r="N356" s="107"/>
      <c r="O356" s="107"/>
      <c r="P356" s="132" t="str">
        <f>IF(COUNTIF('Fintech-A'!$A:$A, $C356), P$1, "")</f>
        <v/>
      </c>
      <c r="Q356" s="132" t="str">
        <f>IF(COUNTIF('Fintech-B'!$A:$A, $C356), Q$1, "")</f>
        <v/>
      </c>
      <c r="R356" s="132" t="str">
        <f>IF(COUNTIF('BEDM-A'!$A:$A, $C356), R$1, "")</f>
        <v/>
      </c>
      <c r="S356" s="132" t="str">
        <f>IF(COUNTIF('BEDM-B'!$A:$A, $C356), S$1, "")</f>
        <v/>
      </c>
      <c r="T356" s="132" t="str">
        <f>IF(COUNTIF('Art-A'!$A:$A, $C356), T$1, "")</f>
        <v/>
      </c>
      <c r="U356" s="132" t="str">
        <f>IF(COUNTIF('Art-B'!$A:$A, $C356), U$1, "")</f>
        <v/>
      </c>
      <c r="V356" s="132" t="str">
        <f>IF(COUNTIF('WH-A'!$A:$A, $C356), V$1, "")</f>
        <v/>
      </c>
      <c r="W356" s="132" t="str">
        <f>IF(COUNTIF('WH-B'!$A:$A, $C356), W$1, "")</f>
        <v/>
      </c>
      <c r="X356" s="132" t="str">
        <f>IF(COUNTIF(LETV!$A:$A, $C356), X$1, "")</f>
        <v/>
      </c>
      <c r="Y356" s="132" t="str">
        <f>IF(COUNTIF('Film&amp;Firm-A'!$A:$A, $C356), Y$1, "")</f>
        <v/>
      </c>
      <c r="Z356" s="132" t="str">
        <f>IF(COUNTIF('Film&amp;Firm-B'!$A:$A, $C356), Z$1, "")</f>
        <v>Film &amp; the Firm: Visual Culture in Business Contexts (B)</v>
      </c>
      <c r="AA356" s="132" t="str">
        <f>IF(COUNTIF(SHRM!$A:$A, $C356), AA$1, "")</f>
        <v/>
      </c>
      <c r="AB356" s="132" t="str">
        <f>IF(COUNTIF('SCM-A'!$A:$A, $C356), AB$1, "")</f>
        <v/>
      </c>
      <c r="AC356" s="132" t="str">
        <f>IF(COUNTIF('SCM-B'!$A:$A, $C356), AC$1, "")</f>
        <v/>
      </c>
      <c r="AD356" s="132" t="str">
        <f>IF(COUNTIF(AIS!$A:$A, $C356), AD$1, "")</f>
        <v/>
      </c>
      <c r="AE356" s="132" t="str">
        <f>IF(COUNTIF(EB!$A:$A, $C356), AE$1, "")</f>
        <v/>
      </c>
      <c r="AF356" s="132" t="str">
        <f>IF(COUNTIF('AIAM-A'!$A:$A, $C356), AF$1, "")</f>
        <v>AI Applications in Marketing (A)</v>
      </c>
      <c r="AG356" s="132" t="str">
        <f>IF(COUNTIF('AIAM-B'!$A:$A, $C356), AG$1, "")</f>
        <v/>
      </c>
      <c r="AH356" s="132" t="str">
        <f>IF(COUNTIF('SA-A'!$A:$A, $C356), AH$1, "")</f>
        <v>SPORTS ANALYTICS (A)</v>
      </c>
      <c r="AI356" s="132" t="str">
        <f>IF(COUNTIF('SA-B'!$A:$A, $C356), AI$1, "")</f>
        <v/>
      </c>
      <c r="AJ356" s="132" t="str">
        <f>IF(COUNTIF(CSM!$A:$A, $C356), AJ$1, "")</f>
        <v/>
      </c>
      <c r="AK356" s="132" t="str">
        <f>IF(COUNTIF(EM!$A:$A, $C356), AK$1, "")</f>
        <v/>
      </c>
      <c r="AL356" s="132" t="str">
        <f>IF(COUNTIF(I4TS!$A:$A, $C356), AL$1, "")</f>
        <v/>
      </c>
    </row>
    <row r="357" spans="1:38" ht="14">
      <c r="A357" s="131">
        <v>356</v>
      </c>
      <c r="B357" s="131" t="s">
        <v>1257</v>
      </c>
      <c r="C357" s="134" t="s">
        <v>1342</v>
      </c>
      <c r="D357" s="139" t="s">
        <v>1343</v>
      </c>
      <c r="E357" s="140" t="s">
        <v>1344</v>
      </c>
      <c r="F357" s="131">
        <f t="shared" ca="1" si="1"/>
        <v>5</v>
      </c>
      <c r="G357" s="106" t="str">
        <f ca="1">IFERROR(__xludf.DUMMYFUNCTION("INDEX(FILTER($P357:$AL357, $P357:$AL357 &lt;&gt; """"), 1)"),"Behavioural Economics and Decision-Making (B)")</f>
        <v>Behavioural Economics and Decision-Making (B)</v>
      </c>
      <c r="H357" s="106" t="str">
        <f ca="1">IFERROR(__xludf.DUMMYFUNCTION("INDEX(FILTER($P357:$AL357, $P357:$AL357 &lt;&gt; """"), 2)"),"Film &amp; the Firm: Visual Culture in Business Contexts (A)")</f>
        <v>Film &amp; the Firm: Visual Culture in Business Contexts (A)</v>
      </c>
      <c r="I357" s="106" t="str">
        <f ca="1">IFERROR(__xludf.DUMMYFUNCTION("INDEX(FILTER($P357:$AL357, $P357:$AL357 &lt;&gt; """"), 3)"),"SPORTS ANALYTICS (A)")</f>
        <v>SPORTS ANALYTICS (A)</v>
      </c>
      <c r="J357" s="106" t="str">
        <f ca="1">IFERROR(__xludf.DUMMYFUNCTION("IFERROR(INDEX(FILTER($P357:$AL357, $P357:$AL357 &lt;&gt; """"), 4),)"),"")</f>
        <v/>
      </c>
      <c r="K357" s="106" t="str">
        <f ca="1">IFERROR(__xludf.DUMMYFUNCTION("IFERROR(INDEX(FILTER($P357:$AL357, $P357:$AL357 &lt;&gt; """"), 5),)"),"")</f>
        <v/>
      </c>
      <c r="L357" s="107"/>
      <c r="M357" s="107"/>
      <c r="N357" s="107"/>
      <c r="O357" s="107"/>
      <c r="P357" s="132" t="str">
        <f>IF(COUNTIF('Fintech-A'!$A:$A, $C357), P$1, "")</f>
        <v/>
      </c>
      <c r="Q357" s="132" t="str">
        <f>IF(COUNTIF('Fintech-B'!$A:$A, $C357), Q$1, "")</f>
        <v/>
      </c>
      <c r="R357" s="132" t="str">
        <f>IF(COUNTIF('BEDM-A'!$A:$A, $C357), R$1, "")</f>
        <v/>
      </c>
      <c r="S357" s="132" t="str">
        <f>IF(COUNTIF('BEDM-B'!$A:$A, $C357), S$1, "")</f>
        <v>Behavioural Economics and Decision-Making (B)</v>
      </c>
      <c r="T357" s="132" t="str">
        <f>IF(COUNTIF('Art-A'!$A:$A, $C357), T$1, "")</f>
        <v/>
      </c>
      <c r="U357" s="132" t="str">
        <f>IF(COUNTIF('Art-B'!$A:$A, $C357), U$1, "")</f>
        <v/>
      </c>
      <c r="V357" s="132" t="str">
        <f>IF(COUNTIF('WH-A'!$A:$A, $C357), V$1, "")</f>
        <v/>
      </c>
      <c r="W357" s="132" t="str">
        <f>IF(COUNTIF('WH-B'!$A:$A, $C357), W$1, "")</f>
        <v/>
      </c>
      <c r="X357" s="132" t="str">
        <f>IF(COUNTIF(LETV!$A:$A, $C357), X$1, "")</f>
        <v/>
      </c>
      <c r="Y357" s="132" t="str">
        <f>IF(COUNTIF('Film&amp;Firm-A'!$A:$A, $C357), Y$1, "")</f>
        <v>Film &amp; the Firm: Visual Culture in Business Contexts (A)</v>
      </c>
      <c r="Z357" s="132" t="str">
        <f>IF(COUNTIF('Film&amp;Firm-B'!$A:$A, $C357), Z$1, "")</f>
        <v/>
      </c>
      <c r="AA357" s="132" t="str">
        <f>IF(COUNTIF(SHRM!$A:$A, $C357), AA$1, "")</f>
        <v/>
      </c>
      <c r="AB357" s="132" t="str">
        <f>IF(COUNTIF('SCM-A'!$A:$A, $C357), AB$1, "")</f>
        <v/>
      </c>
      <c r="AC357" s="132" t="str">
        <f>IF(COUNTIF('SCM-B'!$A:$A, $C357), AC$1, "")</f>
        <v/>
      </c>
      <c r="AD357" s="132" t="str">
        <f>IF(COUNTIF(AIS!$A:$A, $C357), AD$1, "")</f>
        <v/>
      </c>
      <c r="AE357" s="132" t="str">
        <f>IF(COUNTIF(EB!$A:$A, $C357), AE$1, "")</f>
        <v/>
      </c>
      <c r="AF357" s="132" t="str">
        <f>IF(COUNTIF('AIAM-A'!$A:$A, $C357), AF$1, "")</f>
        <v/>
      </c>
      <c r="AG357" s="132" t="str">
        <f>IF(COUNTIF('AIAM-B'!$A:$A, $C357), AG$1, "")</f>
        <v/>
      </c>
      <c r="AH357" s="132" t="str">
        <f>IF(COUNTIF('SA-A'!$A:$A, $C357), AH$1, "")</f>
        <v>SPORTS ANALYTICS (A)</v>
      </c>
      <c r="AI357" s="132" t="str">
        <f>IF(COUNTIF('SA-B'!$A:$A, $C357), AI$1, "")</f>
        <v/>
      </c>
      <c r="AJ357" s="132" t="str">
        <f>IF(COUNTIF(CSM!$A:$A, $C357), AJ$1, "")</f>
        <v/>
      </c>
      <c r="AK357" s="132" t="str">
        <f>IF(COUNTIF(EM!$A:$A, $C357), AK$1, "")</f>
        <v/>
      </c>
      <c r="AL357" s="132" t="str">
        <f>IF(COUNTIF(I4TS!$A:$A, $C357), AL$1, "")</f>
        <v/>
      </c>
    </row>
    <row r="358" spans="1:38" ht="14">
      <c r="A358" s="131">
        <v>357</v>
      </c>
      <c r="B358" s="131" t="s">
        <v>1257</v>
      </c>
      <c r="C358" s="134" t="s">
        <v>1345</v>
      </c>
      <c r="D358" s="139" t="s">
        <v>1346</v>
      </c>
      <c r="E358" s="140" t="s">
        <v>1347</v>
      </c>
      <c r="F358" s="131">
        <f t="shared" ca="1" si="1"/>
        <v>5</v>
      </c>
      <c r="G358" s="106" t="str">
        <f ca="1">IFERROR(__xludf.DUMMYFUNCTION("INDEX(FILTER($P358:$AL358, $P358:$AL358 &lt;&gt; """"), 1)"),"The Art, Craft, and Science of Management: Learning through Classics and Best Collections (A)")</f>
        <v>The Art, Craft, and Science of Management: Learning through Classics and Best Collections (A)</v>
      </c>
      <c r="H358" s="106" t="str">
        <f ca="1">IFERROR(__xludf.DUMMYFUNCTION("INDEX(FILTER($P358:$AL358, $P358:$AL358 &lt;&gt; """"), 2)"),"AI Applications in Marketing (B)")</f>
        <v>AI Applications in Marketing (B)</v>
      </c>
      <c r="I358" s="106" t="str">
        <f ca="1">IFERROR(__xludf.DUMMYFUNCTION("INDEX(FILTER($P358:$AL358, $P358:$AL358 &lt;&gt; """"), 3)"),"SPORTS ANALYTICS (B)")</f>
        <v>SPORTS ANALYTICS (B)</v>
      </c>
      <c r="J358" s="106" t="str">
        <f ca="1">IFERROR(__xludf.DUMMYFUNCTION("IFERROR(INDEX(FILTER($P358:$AL358, $P358:$AL358 &lt;&gt; """"), 4),)"),"Customer Success Management")</f>
        <v>Customer Success Management</v>
      </c>
      <c r="K358" s="106" t="str">
        <f ca="1">IFERROR(__xludf.DUMMYFUNCTION("IFERROR(INDEX(FILTER($P358:$AL358, $P358:$AL358 &lt;&gt; """"), 5),)"),"Industry 4.0 in Transport Sector")</f>
        <v>Industry 4.0 in Transport Sector</v>
      </c>
      <c r="L358" s="107"/>
      <c r="M358" s="107"/>
      <c r="N358" s="107"/>
      <c r="O358" s="107"/>
      <c r="P358" s="132" t="str">
        <f>IF(COUNTIF('Fintech-A'!$A:$A, $C358), P$1, "")</f>
        <v/>
      </c>
      <c r="Q358" s="132" t="str">
        <f>IF(COUNTIF('Fintech-B'!$A:$A, $C358), Q$1, "")</f>
        <v/>
      </c>
      <c r="R358" s="132" t="str">
        <f>IF(COUNTIF('BEDM-A'!$A:$A, $C358), R$1, "")</f>
        <v/>
      </c>
      <c r="S358" s="132" t="str">
        <f>IF(COUNTIF('BEDM-B'!$A:$A, $C358), S$1, "")</f>
        <v/>
      </c>
      <c r="T358" s="132" t="str">
        <f>IF(COUNTIF('Art-A'!$A:$A, $C358), T$1, "")</f>
        <v>The Art, Craft, and Science of Management: Learning through Classics and Best Collections (A)</v>
      </c>
      <c r="U358" s="132" t="str">
        <f>IF(COUNTIF('Art-B'!$A:$A, $C358), U$1, "")</f>
        <v/>
      </c>
      <c r="V358" s="132" t="str">
        <f>IF(COUNTIF('WH-A'!$A:$A, $C358), V$1, "")</f>
        <v/>
      </c>
      <c r="W358" s="132" t="str">
        <f>IF(COUNTIF('WH-B'!$A:$A, $C358), W$1, "")</f>
        <v/>
      </c>
      <c r="X358" s="132" t="str">
        <f>IF(COUNTIF(LETV!$A:$A, $C358), X$1, "")</f>
        <v/>
      </c>
      <c r="Y358" s="132" t="str">
        <f>IF(COUNTIF('Film&amp;Firm-A'!$A:$A, $C358), Y$1, "")</f>
        <v/>
      </c>
      <c r="Z358" s="132" t="str">
        <f>IF(COUNTIF('Film&amp;Firm-B'!$A:$A, $C358), Z$1, "")</f>
        <v/>
      </c>
      <c r="AA358" s="132" t="str">
        <f>IF(COUNTIF(SHRM!$A:$A, $C358), AA$1, "")</f>
        <v/>
      </c>
      <c r="AB358" s="132" t="str">
        <f>IF(COUNTIF('SCM-A'!$A:$A, $C358), AB$1, "")</f>
        <v/>
      </c>
      <c r="AC358" s="132" t="str">
        <f>IF(COUNTIF('SCM-B'!$A:$A, $C358), AC$1, "")</f>
        <v/>
      </c>
      <c r="AD358" s="132" t="str">
        <f>IF(COUNTIF(AIS!$A:$A, $C358), AD$1, "")</f>
        <v/>
      </c>
      <c r="AE358" s="132" t="str">
        <f>IF(COUNTIF(EB!$A:$A, $C358), AE$1, "")</f>
        <v/>
      </c>
      <c r="AF358" s="132" t="str">
        <f>IF(COUNTIF('AIAM-A'!$A:$A, $C358), AF$1, "")</f>
        <v/>
      </c>
      <c r="AG358" s="132" t="str">
        <f>IF(COUNTIF('AIAM-B'!$A:$A, $C358), AG$1, "")</f>
        <v>AI Applications in Marketing (B)</v>
      </c>
      <c r="AH358" s="132" t="str">
        <f>IF(COUNTIF('SA-A'!$A:$A, $C358), AH$1, "")</f>
        <v/>
      </c>
      <c r="AI358" s="132" t="str">
        <f>IF(COUNTIF('SA-B'!$A:$A, $C358), AI$1, "")</f>
        <v>SPORTS ANALYTICS (B)</v>
      </c>
      <c r="AJ358" s="132" t="str">
        <f>IF(COUNTIF(CSM!$A:$A, $C358), AJ$1, "")</f>
        <v>Customer Success Management</v>
      </c>
      <c r="AK358" s="132" t="str">
        <f>IF(COUNTIF(EM!$A:$A, $C358), AK$1, "")</f>
        <v/>
      </c>
      <c r="AL358" s="132" t="str">
        <f>IF(COUNTIF(I4TS!$A:$A, $C358), AL$1, "")</f>
        <v>Industry 4.0 in Transport Sector</v>
      </c>
    </row>
    <row r="359" spans="1:38" ht="14">
      <c r="A359" s="131">
        <v>358</v>
      </c>
      <c r="B359" s="131" t="s">
        <v>1257</v>
      </c>
      <c r="C359" s="134" t="s">
        <v>1348</v>
      </c>
      <c r="D359" s="139" t="s">
        <v>1349</v>
      </c>
      <c r="E359" s="140" t="s">
        <v>1350</v>
      </c>
      <c r="F359" s="131">
        <f t="shared" ca="1" si="1"/>
        <v>5</v>
      </c>
      <c r="G359" s="106" t="str">
        <f ca="1">IFERROR(__xludf.DUMMYFUNCTION("INDEX(FILTER($P359:$AL359, $P359:$AL359 &lt;&gt; """"), 1)"),"The Art, Craft, and Science of Management: Learning through Classics and Best Collections (A)")</f>
        <v>The Art, Craft, and Science of Management: Learning through Classics and Best Collections (A)</v>
      </c>
      <c r="H359" s="106" t="str">
        <f ca="1">IFERROR(__xludf.DUMMYFUNCTION("INDEX(FILTER($P359:$AL359, $P359:$AL359 &lt;&gt; """"), 2)"),"Film &amp; the Firm: Visual Culture in Business Contexts (A)")</f>
        <v>Film &amp; the Firm: Visual Culture in Business Contexts (A)</v>
      </c>
      <c r="I359" s="106" t="str">
        <f ca="1">IFERROR(__xludf.DUMMYFUNCTION("INDEX(FILTER($P359:$AL359, $P359:$AL359 &lt;&gt; """"), 3)"),"SPORTS ANALYTICS (A)")</f>
        <v>SPORTS ANALYTICS (A)</v>
      </c>
      <c r="J359" s="106" t="str">
        <f ca="1">IFERROR(__xludf.DUMMYFUNCTION("IFERROR(INDEX(FILTER($P359:$AL359, $P359:$AL359 &lt;&gt; """"), 4),)"),"")</f>
        <v/>
      </c>
      <c r="K359" s="106" t="str">
        <f ca="1">IFERROR(__xludf.DUMMYFUNCTION("IFERROR(INDEX(FILTER($P359:$AL359, $P359:$AL359 &lt;&gt; """"), 5),)"),"")</f>
        <v/>
      </c>
      <c r="L359" s="107"/>
      <c r="M359" s="107"/>
      <c r="N359" s="107"/>
      <c r="O359" s="107"/>
      <c r="P359" s="132" t="str">
        <f>IF(COUNTIF('Fintech-A'!$A:$A, $C359), P$1, "")</f>
        <v/>
      </c>
      <c r="Q359" s="132" t="str">
        <f>IF(COUNTIF('Fintech-B'!$A:$A, $C359), Q$1, "")</f>
        <v/>
      </c>
      <c r="R359" s="132" t="str">
        <f>IF(COUNTIF('BEDM-A'!$A:$A, $C359), R$1, "")</f>
        <v/>
      </c>
      <c r="S359" s="132" t="str">
        <f>IF(COUNTIF('BEDM-B'!$A:$A, $C359), S$1, "")</f>
        <v/>
      </c>
      <c r="T359" s="132" t="str">
        <f>IF(COUNTIF('Art-A'!$A:$A, $C359), T$1, "")</f>
        <v>The Art, Craft, and Science of Management: Learning through Classics and Best Collections (A)</v>
      </c>
      <c r="U359" s="132" t="str">
        <f>IF(COUNTIF('Art-B'!$A:$A, $C359), U$1, "")</f>
        <v/>
      </c>
      <c r="V359" s="132" t="str">
        <f>IF(COUNTIF('WH-A'!$A:$A, $C359), V$1, "")</f>
        <v/>
      </c>
      <c r="W359" s="132" t="str">
        <f>IF(COUNTIF('WH-B'!$A:$A, $C359), W$1, "")</f>
        <v/>
      </c>
      <c r="X359" s="132" t="str">
        <f>IF(COUNTIF(LETV!$A:$A, $C359), X$1, "")</f>
        <v/>
      </c>
      <c r="Y359" s="132" t="str">
        <f>IF(COUNTIF('Film&amp;Firm-A'!$A:$A, $C359), Y$1, "")</f>
        <v>Film &amp; the Firm: Visual Culture in Business Contexts (A)</v>
      </c>
      <c r="Z359" s="132" t="str">
        <f>IF(COUNTIF('Film&amp;Firm-B'!$A:$A, $C359), Z$1, "")</f>
        <v/>
      </c>
      <c r="AA359" s="132" t="str">
        <f>IF(COUNTIF(SHRM!$A:$A, $C359), AA$1, "")</f>
        <v/>
      </c>
      <c r="AB359" s="132" t="str">
        <f>IF(COUNTIF('SCM-A'!$A:$A, $C359), AB$1, "")</f>
        <v/>
      </c>
      <c r="AC359" s="132" t="str">
        <f>IF(COUNTIF('SCM-B'!$A:$A, $C359), AC$1, "")</f>
        <v/>
      </c>
      <c r="AD359" s="132" t="str">
        <f>IF(COUNTIF(AIS!$A:$A, $C359), AD$1, "")</f>
        <v/>
      </c>
      <c r="AE359" s="132" t="str">
        <f>IF(COUNTIF(EB!$A:$A, $C359), AE$1, "")</f>
        <v/>
      </c>
      <c r="AF359" s="132" t="str">
        <f>IF(COUNTIF('AIAM-A'!$A:$A, $C359), AF$1, "")</f>
        <v/>
      </c>
      <c r="AG359" s="132" t="str">
        <f>IF(COUNTIF('AIAM-B'!$A:$A, $C359), AG$1, "")</f>
        <v/>
      </c>
      <c r="AH359" s="132" t="str">
        <f>IF(COUNTIF('SA-A'!$A:$A, $C359), AH$1, "")</f>
        <v>SPORTS ANALYTICS (A)</v>
      </c>
      <c r="AI359" s="132" t="str">
        <f>IF(COUNTIF('SA-B'!$A:$A, $C359), AI$1, "")</f>
        <v/>
      </c>
      <c r="AJ359" s="132" t="str">
        <f>IF(COUNTIF(CSM!$A:$A, $C359), AJ$1, "")</f>
        <v/>
      </c>
      <c r="AK359" s="132" t="str">
        <f>IF(COUNTIF(EM!$A:$A, $C359), AK$1, "")</f>
        <v/>
      </c>
      <c r="AL359" s="132" t="str">
        <f>IF(COUNTIF(I4TS!$A:$A, $C359), AL$1, "")</f>
        <v/>
      </c>
    </row>
    <row r="360" spans="1:38" ht="14">
      <c r="A360" s="131">
        <v>359</v>
      </c>
      <c r="B360" s="131" t="s">
        <v>1257</v>
      </c>
      <c r="C360" s="134" t="s">
        <v>1351</v>
      </c>
      <c r="D360" s="139" t="s">
        <v>1352</v>
      </c>
      <c r="E360" s="140" t="s">
        <v>1353</v>
      </c>
      <c r="F360" s="131">
        <f t="shared" ca="1" si="1"/>
        <v>5</v>
      </c>
      <c r="G360" s="106" t="str">
        <f ca="1">IFERROR(__xludf.DUMMYFUNCTION("INDEX(FILTER($P360:$AL360, $P360:$AL360 &lt;&gt; """"), 1)"),"Fintech (Digital Transformation in Finance) (A)")</f>
        <v>Fintech (Digital Transformation in Finance) (A)</v>
      </c>
      <c r="H360" s="106" t="str">
        <f ca="1">IFERROR(__xludf.DUMMYFUNCTION("INDEX(FILTER($P360:$AL360, $P360:$AL360 &lt;&gt; """"), 2)"),"Film &amp; the Firm: Visual Culture in Business Contexts (B)")</f>
        <v>Film &amp; the Firm: Visual Culture in Business Contexts (B)</v>
      </c>
      <c r="I360" s="106" t="str">
        <f ca="1">IFERROR(__xludf.DUMMYFUNCTION("INDEX(FILTER($P360:$AL360, $P360:$AL360 &lt;&gt; """"), 3)"),"Industry 4.0 in Transport Sector")</f>
        <v>Industry 4.0 in Transport Sector</v>
      </c>
      <c r="J360" s="106" t="str">
        <f ca="1">IFERROR(__xludf.DUMMYFUNCTION("IFERROR(INDEX(FILTER($P360:$AL360, $P360:$AL360 &lt;&gt; """"), 4),)"),"")</f>
        <v/>
      </c>
      <c r="K360" s="106" t="str">
        <f ca="1">IFERROR(__xludf.DUMMYFUNCTION("IFERROR(INDEX(FILTER($P360:$AL360, $P360:$AL360 &lt;&gt; """"), 5),)"),"")</f>
        <v/>
      </c>
      <c r="L360" s="107"/>
      <c r="M360" s="107"/>
      <c r="N360" s="107"/>
      <c r="O360" s="107"/>
      <c r="P360" s="132" t="str">
        <f>IF(COUNTIF('Fintech-A'!$A:$A, $C360), P$1, "")</f>
        <v>Fintech (Digital Transformation in Finance) (A)</v>
      </c>
      <c r="Q360" s="132" t="str">
        <f>IF(COUNTIF('Fintech-B'!$A:$A, $C360), Q$1, "")</f>
        <v/>
      </c>
      <c r="R360" s="132" t="str">
        <f>IF(COUNTIF('BEDM-A'!$A:$A, $C360), R$1, "")</f>
        <v/>
      </c>
      <c r="S360" s="132" t="str">
        <f>IF(COUNTIF('BEDM-B'!$A:$A, $C360), S$1, "")</f>
        <v/>
      </c>
      <c r="T360" s="132" t="str">
        <f>IF(COUNTIF('Art-A'!$A:$A, $C360), T$1, "")</f>
        <v/>
      </c>
      <c r="U360" s="132" t="str">
        <f>IF(COUNTIF('Art-B'!$A:$A, $C360), U$1, "")</f>
        <v/>
      </c>
      <c r="V360" s="132" t="str">
        <f>IF(COUNTIF('WH-A'!$A:$A, $C360), V$1, "")</f>
        <v/>
      </c>
      <c r="W360" s="132" t="str">
        <f>IF(COUNTIF('WH-B'!$A:$A, $C360), W$1, "")</f>
        <v/>
      </c>
      <c r="X360" s="132" t="str">
        <f>IF(COUNTIF(LETV!$A:$A, $C360), X$1, "")</f>
        <v/>
      </c>
      <c r="Y360" s="132" t="str">
        <f>IF(COUNTIF('Film&amp;Firm-A'!$A:$A, $C360), Y$1, "")</f>
        <v/>
      </c>
      <c r="Z360" s="132" t="str">
        <f>IF(COUNTIF('Film&amp;Firm-B'!$A:$A, $C360), Z$1, "")</f>
        <v>Film &amp; the Firm: Visual Culture in Business Contexts (B)</v>
      </c>
      <c r="AA360" s="132" t="str">
        <f>IF(COUNTIF(SHRM!$A:$A, $C360), AA$1, "")</f>
        <v/>
      </c>
      <c r="AB360" s="132" t="str">
        <f>IF(COUNTIF('SCM-A'!$A:$A, $C360), AB$1, "")</f>
        <v/>
      </c>
      <c r="AC360" s="132" t="str">
        <f>IF(COUNTIF('SCM-B'!$A:$A, $C360), AC$1, "")</f>
        <v/>
      </c>
      <c r="AD360" s="132" t="str">
        <f>IF(COUNTIF(AIS!$A:$A, $C360), AD$1, "")</f>
        <v/>
      </c>
      <c r="AE360" s="132" t="str">
        <f>IF(COUNTIF(EB!$A:$A, $C360), AE$1, "")</f>
        <v/>
      </c>
      <c r="AF360" s="132" t="str">
        <f>IF(COUNTIF('AIAM-A'!$A:$A, $C360), AF$1, "")</f>
        <v/>
      </c>
      <c r="AG360" s="132" t="str">
        <f>IF(COUNTIF('AIAM-B'!$A:$A, $C360), AG$1, "")</f>
        <v/>
      </c>
      <c r="AH360" s="132" t="str">
        <f>IF(COUNTIF('SA-A'!$A:$A, $C360), AH$1, "")</f>
        <v/>
      </c>
      <c r="AI360" s="132" t="str">
        <f>IF(COUNTIF('SA-B'!$A:$A, $C360), AI$1, "")</f>
        <v/>
      </c>
      <c r="AJ360" s="132" t="str">
        <f>IF(COUNTIF(CSM!$A:$A, $C360), AJ$1, "")</f>
        <v/>
      </c>
      <c r="AK360" s="132" t="str">
        <f>IF(COUNTIF(EM!$A:$A, $C360), AK$1, "")</f>
        <v/>
      </c>
      <c r="AL360" s="132" t="str">
        <f>IF(COUNTIF(I4TS!$A:$A, $C360), AL$1, "")</f>
        <v>Industry 4.0 in Transport Sector</v>
      </c>
    </row>
    <row r="361" spans="1:38" ht="14">
      <c r="A361" s="131">
        <v>360</v>
      </c>
      <c r="B361" s="131" t="s">
        <v>1257</v>
      </c>
      <c r="C361" s="134" t="s">
        <v>1354</v>
      </c>
      <c r="D361" s="139" t="s">
        <v>1355</v>
      </c>
      <c r="E361" s="140" t="s">
        <v>1356</v>
      </c>
      <c r="F361" s="131">
        <f t="shared" ca="1" si="1"/>
        <v>5</v>
      </c>
      <c r="G361" s="106" t="str">
        <f ca="1">IFERROR(__xludf.DUMMYFUNCTION("INDEX(FILTER($P361:$AL361, $P361:$AL361 &lt;&gt; """"), 1)"),"Fintech (Digital Transformation in Finance) (A)")</f>
        <v>Fintech (Digital Transformation in Finance) (A)</v>
      </c>
      <c r="H361" s="106" t="str">
        <f ca="1">IFERROR(__xludf.DUMMYFUNCTION("INDEX(FILTER($P361:$AL361, $P361:$AL361 &lt;&gt; """"), 2)"),"Film &amp; the Firm: Visual Culture in Business Contexts (B)")</f>
        <v>Film &amp; the Firm: Visual Culture in Business Contexts (B)</v>
      </c>
      <c r="I361" s="106" t="str">
        <f ca="1">IFERROR(__xludf.DUMMYFUNCTION("INDEX(FILTER($P361:$AL361, $P361:$AL361 &lt;&gt; """"), 3)"),"AI Applications in Marketing (A)")</f>
        <v>AI Applications in Marketing (A)</v>
      </c>
      <c r="J361" s="106" t="str">
        <f ca="1">IFERROR(__xludf.DUMMYFUNCTION("IFERROR(INDEX(FILTER($P361:$AL361, $P361:$AL361 &lt;&gt; """"), 4),)"),"")</f>
        <v/>
      </c>
      <c r="K361" s="106" t="str">
        <f ca="1">IFERROR(__xludf.DUMMYFUNCTION("IFERROR(INDEX(FILTER($P361:$AL361, $P361:$AL361 &lt;&gt; """"), 5),)"),"")</f>
        <v/>
      </c>
      <c r="L361" s="107"/>
      <c r="M361" s="107"/>
      <c r="N361" s="107"/>
      <c r="O361" s="107"/>
      <c r="P361" s="132" t="str">
        <f>IF(COUNTIF('Fintech-A'!$A:$A, $C361), P$1, "")</f>
        <v>Fintech (Digital Transformation in Finance) (A)</v>
      </c>
      <c r="Q361" s="132" t="str">
        <f>IF(COUNTIF('Fintech-B'!$A:$A, $C361), Q$1, "")</f>
        <v/>
      </c>
      <c r="R361" s="132" t="str">
        <f>IF(COUNTIF('BEDM-A'!$A:$A, $C361), R$1, "")</f>
        <v/>
      </c>
      <c r="S361" s="132" t="str">
        <f>IF(COUNTIF('BEDM-B'!$A:$A, $C361), S$1, "")</f>
        <v/>
      </c>
      <c r="T361" s="132" t="str">
        <f>IF(COUNTIF('Art-A'!$A:$A, $C361), T$1, "")</f>
        <v/>
      </c>
      <c r="U361" s="132" t="str">
        <f>IF(COUNTIF('Art-B'!$A:$A, $C361), U$1, "")</f>
        <v/>
      </c>
      <c r="V361" s="132" t="str">
        <f>IF(COUNTIF('WH-A'!$A:$A, $C361), V$1, "")</f>
        <v/>
      </c>
      <c r="W361" s="132" t="str">
        <f>IF(COUNTIF('WH-B'!$A:$A, $C361), W$1, "")</f>
        <v/>
      </c>
      <c r="X361" s="132" t="str">
        <f>IF(COUNTIF(LETV!$A:$A, $C361), X$1, "")</f>
        <v/>
      </c>
      <c r="Y361" s="132" t="str">
        <f>IF(COUNTIF('Film&amp;Firm-A'!$A:$A, $C361), Y$1, "")</f>
        <v/>
      </c>
      <c r="Z361" s="132" t="str">
        <f>IF(COUNTIF('Film&amp;Firm-B'!$A:$A, $C361), Z$1, "")</f>
        <v>Film &amp; the Firm: Visual Culture in Business Contexts (B)</v>
      </c>
      <c r="AA361" s="132" t="str">
        <f>IF(COUNTIF(SHRM!$A:$A, $C361), AA$1, "")</f>
        <v/>
      </c>
      <c r="AB361" s="132" t="str">
        <f>IF(COUNTIF('SCM-A'!$A:$A, $C361), AB$1, "")</f>
        <v/>
      </c>
      <c r="AC361" s="132" t="str">
        <f>IF(COUNTIF('SCM-B'!$A:$A, $C361), AC$1, "")</f>
        <v/>
      </c>
      <c r="AD361" s="132" t="str">
        <f>IF(COUNTIF(AIS!$A:$A, $C361), AD$1, "")</f>
        <v/>
      </c>
      <c r="AE361" s="132" t="str">
        <f>IF(COUNTIF(EB!$A:$A, $C361), AE$1, "")</f>
        <v/>
      </c>
      <c r="AF361" s="132" t="str">
        <f>IF(COUNTIF('AIAM-A'!$A:$A, $C361), AF$1, "")</f>
        <v>AI Applications in Marketing (A)</v>
      </c>
      <c r="AG361" s="132" t="str">
        <f>IF(COUNTIF('AIAM-B'!$A:$A, $C361), AG$1, "")</f>
        <v/>
      </c>
      <c r="AH361" s="132" t="str">
        <f>IF(COUNTIF('SA-A'!$A:$A, $C361), AH$1, "")</f>
        <v/>
      </c>
      <c r="AI361" s="132" t="str">
        <f>IF(COUNTIF('SA-B'!$A:$A, $C361), AI$1, "")</f>
        <v/>
      </c>
      <c r="AJ361" s="132" t="str">
        <f>IF(COUNTIF(CSM!$A:$A, $C361), AJ$1, "")</f>
        <v/>
      </c>
      <c r="AK361" s="132" t="str">
        <f>IF(COUNTIF(EM!$A:$A, $C361), AK$1, "")</f>
        <v/>
      </c>
      <c r="AL361" s="132" t="str">
        <f>IF(COUNTIF(I4TS!$A:$A, $C361), AL$1, "")</f>
        <v/>
      </c>
    </row>
    <row r="362" spans="1:38" ht="14">
      <c r="A362" s="131">
        <v>361</v>
      </c>
      <c r="B362" s="131" t="s">
        <v>1257</v>
      </c>
      <c r="C362" s="134" t="s">
        <v>1357</v>
      </c>
      <c r="D362" s="139" t="s">
        <v>1358</v>
      </c>
      <c r="E362" s="140" t="s">
        <v>1359</v>
      </c>
      <c r="F362" s="131">
        <f t="shared" ca="1" si="1"/>
        <v>5</v>
      </c>
      <c r="G362" s="106" t="str">
        <f ca="1">IFERROR(__xludf.DUMMYFUNCTION("INDEX(FILTER($P362:$AL362, $P362:$AL362 &lt;&gt; """"), 1)"),"Fintech (Digital Transformation in Finance) (A)")</f>
        <v>Fintech (Digital Transformation in Finance) (A)</v>
      </c>
      <c r="H362" s="106" t="str">
        <f ca="1">IFERROR(__xludf.DUMMYFUNCTION("INDEX(FILTER($P362:$AL362, $P362:$AL362 &lt;&gt; """"), 2)"),"Film &amp; the Firm: Visual Culture in Business Contexts (B)")</f>
        <v>Film &amp; the Firm: Visual Culture in Business Contexts (B)</v>
      </c>
      <c r="I362" s="106" t="str">
        <f ca="1">IFERROR(__xludf.DUMMYFUNCTION("INDEX(FILTER($P362:$AL362, $P362:$AL362 &lt;&gt; """"), 3)"),"SPORTS ANALYTICS (A)")</f>
        <v>SPORTS ANALYTICS (A)</v>
      </c>
      <c r="J362" s="106" t="str">
        <f ca="1">IFERROR(__xludf.DUMMYFUNCTION("IFERROR(INDEX(FILTER($P362:$AL362, $P362:$AL362 &lt;&gt; """"), 4),)"),"")</f>
        <v/>
      </c>
      <c r="K362" s="106" t="str">
        <f ca="1">IFERROR(__xludf.DUMMYFUNCTION("IFERROR(INDEX(FILTER($P362:$AL362, $P362:$AL362 &lt;&gt; """"), 5),)"),"")</f>
        <v/>
      </c>
      <c r="L362" s="107"/>
      <c r="M362" s="107"/>
      <c r="N362" s="107"/>
      <c r="O362" s="107"/>
      <c r="P362" s="132" t="str">
        <f>IF(COUNTIF('Fintech-A'!$A:$A, $C362), P$1, "")</f>
        <v>Fintech (Digital Transformation in Finance) (A)</v>
      </c>
      <c r="Q362" s="132" t="str">
        <f>IF(COUNTIF('Fintech-B'!$A:$A, $C362), Q$1, "")</f>
        <v/>
      </c>
      <c r="R362" s="132" t="str">
        <f>IF(COUNTIF('BEDM-A'!$A:$A, $C362), R$1, "")</f>
        <v/>
      </c>
      <c r="S362" s="132" t="str">
        <f>IF(COUNTIF('BEDM-B'!$A:$A, $C362), S$1, "")</f>
        <v/>
      </c>
      <c r="T362" s="132" t="str">
        <f>IF(COUNTIF('Art-A'!$A:$A, $C362), T$1, "")</f>
        <v/>
      </c>
      <c r="U362" s="132" t="str">
        <f>IF(COUNTIF('Art-B'!$A:$A, $C362), U$1, "")</f>
        <v/>
      </c>
      <c r="V362" s="132" t="str">
        <f>IF(COUNTIF('WH-A'!$A:$A, $C362), V$1, "")</f>
        <v/>
      </c>
      <c r="W362" s="132" t="str">
        <f>IF(COUNTIF('WH-B'!$A:$A, $C362), W$1, "")</f>
        <v/>
      </c>
      <c r="X362" s="132" t="str">
        <f>IF(COUNTIF(LETV!$A:$A, $C362), X$1, "")</f>
        <v/>
      </c>
      <c r="Y362" s="132" t="str">
        <f>IF(COUNTIF('Film&amp;Firm-A'!$A:$A, $C362), Y$1, "")</f>
        <v/>
      </c>
      <c r="Z362" s="132" t="str">
        <f>IF(COUNTIF('Film&amp;Firm-B'!$A:$A, $C362), Z$1, "")</f>
        <v>Film &amp; the Firm: Visual Culture in Business Contexts (B)</v>
      </c>
      <c r="AA362" s="132" t="str">
        <f>IF(COUNTIF(SHRM!$A:$A, $C362), AA$1, "")</f>
        <v/>
      </c>
      <c r="AB362" s="132" t="str">
        <f>IF(COUNTIF('SCM-A'!$A:$A, $C362), AB$1, "")</f>
        <v/>
      </c>
      <c r="AC362" s="132" t="str">
        <f>IF(COUNTIF('SCM-B'!$A:$A, $C362), AC$1, "")</f>
        <v/>
      </c>
      <c r="AD362" s="132" t="str">
        <f>IF(COUNTIF(AIS!$A:$A, $C362), AD$1, "")</f>
        <v/>
      </c>
      <c r="AE362" s="132" t="str">
        <f>IF(COUNTIF(EB!$A:$A, $C362), AE$1, "")</f>
        <v/>
      </c>
      <c r="AF362" s="132" t="str">
        <f>IF(COUNTIF('AIAM-A'!$A:$A, $C362), AF$1, "")</f>
        <v/>
      </c>
      <c r="AG362" s="132" t="str">
        <f>IF(COUNTIF('AIAM-B'!$A:$A, $C362), AG$1, "")</f>
        <v/>
      </c>
      <c r="AH362" s="132" t="str">
        <f>IF(COUNTIF('SA-A'!$A:$A, $C362), AH$1, "")</f>
        <v>SPORTS ANALYTICS (A)</v>
      </c>
      <c r="AI362" s="132" t="str">
        <f>IF(COUNTIF('SA-B'!$A:$A, $C362), AI$1, "")</f>
        <v/>
      </c>
      <c r="AJ362" s="132" t="str">
        <f>IF(COUNTIF(CSM!$A:$A, $C362), AJ$1, "")</f>
        <v/>
      </c>
      <c r="AK362" s="132" t="str">
        <f>IF(COUNTIF(EM!$A:$A, $C362), AK$1, "")</f>
        <v/>
      </c>
      <c r="AL362" s="132" t="str">
        <f>IF(COUNTIF(I4TS!$A:$A, $C362), AL$1, "")</f>
        <v/>
      </c>
    </row>
    <row r="363" spans="1:38" ht="14">
      <c r="A363" s="131">
        <v>362</v>
      </c>
      <c r="B363" s="131" t="s">
        <v>1257</v>
      </c>
      <c r="C363" s="134" t="s">
        <v>1360</v>
      </c>
      <c r="D363" s="139" t="s">
        <v>1361</v>
      </c>
      <c r="E363" s="140" t="s">
        <v>1362</v>
      </c>
      <c r="F363" s="131">
        <f t="shared" ca="1" si="1"/>
        <v>5</v>
      </c>
      <c r="G363" s="106" t="str">
        <f ca="1">IFERROR(__xludf.DUMMYFUNCTION("INDEX(FILTER($P363:$AL363, $P363:$AL363 &lt;&gt; """"), 1)"),"Fintech (Digital Transformation in Finance) (B)")</f>
        <v>Fintech (Digital Transformation in Finance) (B)</v>
      </c>
      <c r="H363" s="106" t="str">
        <f ca="1">IFERROR(__xludf.DUMMYFUNCTION("INDEX(FILTER($P363:$AL363, $P363:$AL363 &lt;&gt; """"), 2)"),"Behavioural Economics and Decision-Making (B)")</f>
        <v>Behavioural Economics and Decision-Making (B)</v>
      </c>
      <c r="I363" s="106" t="str">
        <f ca="1">IFERROR(__xludf.DUMMYFUNCTION("INDEX(FILTER($P363:$AL363, $P363:$AL363 &lt;&gt; """"), 3)"),"Strategic Career Management (B)")</f>
        <v>Strategic Career Management (B)</v>
      </c>
      <c r="J363" s="106" t="str">
        <f ca="1">IFERROR(__xludf.DUMMYFUNCTION("IFERROR(INDEX(FILTER($P363:$AL363, $P363:$AL363 &lt;&gt; """"), 4),)"),"SPORTS ANALYTICS (B)")</f>
        <v>SPORTS ANALYTICS (B)</v>
      </c>
      <c r="K363" s="106" t="str">
        <f ca="1">IFERROR(__xludf.DUMMYFUNCTION("IFERROR(INDEX(FILTER($P363:$AL363, $P363:$AL363 &lt;&gt; """"), 5),)"),"Customer Success Management")</f>
        <v>Customer Success Management</v>
      </c>
      <c r="L363" s="107"/>
      <c r="M363" s="107"/>
      <c r="N363" s="107"/>
      <c r="O363" s="107"/>
      <c r="P363" s="132" t="str">
        <f>IF(COUNTIF('Fintech-A'!$A:$A, $C363), P$1, "")</f>
        <v/>
      </c>
      <c r="Q363" s="132" t="str">
        <f>IF(COUNTIF('Fintech-B'!$A:$A, $C363), Q$1, "")</f>
        <v>Fintech (Digital Transformation in Finance) (B)</v>
      </c>
      <c r="R363" s="132" t="str">
        <f>IF(COUNTIF('BEDM-A'!$A:$A, $C363), R$1, "")</f>
        <v/>
      </c>
      <c r="S363" s="132" t="str">
        <f>IF(COUNTIF('BEDM-B'!$A:$A, $C363), S$1, "")</f>
        <v>Behavioural Economics and Decision-Making (B)</v>
      </c>
      <c r="T363" s="132" t="str">
        <f>IF(COUNTIF('Art-A'!$A:$A, $C363), T$1, "")</f>
        <v/>
      </c>
      <c r="U363" s="132" t="str">
        <f>IF(COUNTIF('Art-B'!$A:$A, $C363), U$1, "")</f>
        <v/>
      </c>
      <c r="V363" s="132" t="str">
        <f>IF(COUNTIF('WH-A'!$A:$A, $C363), V$1, "")</f>
        <v/>
      </c>
      <c r="W363" s="132" t="str">
        <f>IF(COUNTIF('WH-B'!$A:$A, $C363), W$1, "")</f>
        <v/>
      </c>
      <c r="X363" s="132" t="str">
        <f>IF(COUNTIF(LETV!$A:$A, $C363), X$1, "")</f>
        <v/>
      </c>
      <c r="Y363" s="132" t="str">
        <f>IF(COUNTIF('Film&amp;Firm-A'!$A:$A, $C363), Y$1, "")</f>
        <v/>
      </c>
      <c r="Z363" s="132" t="str">
        <f>IF(COUNTIF('Film&amp;Firm-B'!$A:$A, $C363), Z$1, "")</f>
        <v/>
      </c>
      <c r="AA363" s="132" t="str">
        <f>IF(COUNTIF(SHRM!$A:$A, $C363), AA$1, "")</f>
        <v/>
      </c>
      <c r="AB363" s="132" t="str">
        <f>IF(COUNTIF('SCM-A'!$A:$A, $C363), AB$1, "")</f>
        <v/>
      </c>
      <c r="AC363" s="132" t="str">
        <f>IF(COUNTIF('SCM-B'!$A:$A, $C363), AC$1, "")</f>
        <v>Strategic Career Management (B)</v>
      </c>
      <c r="AD363" s="132" t="str">
        <f>IF(COUNTIF(AIS!$A:$A, $C363), AD$1, "")</f>
        <v/>
      </c>
      <c r="AE363" s="132" t="str">
        <f>IF(COUNTIF(EB!$A:$A, $C363), AE$1, "")</f>
        <v/>
      </c>
      <c r="AF363" s="132" t="str">
        <f>IF(COUNTIF('AIAM-A'!$A:$A, $C363), AF$1, "")</f>
        <v/>
      </c>
      <c r="AG363" s="132" t="str">
        <f>IF(COUNTIF('AIAM-B'!$A:$A, $C363), AG$1, "")</f>
        <v/>
      </c>
      <c r="AH363" s="132" t="str">
        <f>IF(COUNTIF('SA-A'!$A:$A, $C363), AH$1, "")</f>
        <v/>
      </c>
      <c r="AI363" s="132" t="str">
        <f>IF(COUNTIF('SA-B'!$A:$A, $C363), AI$1, "")</f>
        <v>SPORTS ANALYTICS (B)</v>
      </c>
      <c r="AJ363" s="132" t="str">
        <f>IF(COUNTIF(CSM!$A:$A, $C363), AJ$1, "")</f>
        <v>Customer Success Management</v>
      </c>
      <c r="AK363" s="132" t="str">
        <f>IF(COUNTIF(EM!$A:$A, $C363), AK$1, "")</f>
        <v/>
      </c>
      <c r="AL363" s="132" t="str">
        <f>IF(COUNTIF(I4TS!$A:$A, $C363), AL$1, "")</f>
        <v/>
      </c>
    </row>
    <row r="364" spans="1:38" ht="14">
      <c r="A364" s="131">
        <v>363</v>
      </c>
      <c r="B364" s="131" t="s">
        <v>1257</v>
      </c>
      <c r="C364" s="134" t="s">
        <v>1363</v>
      </c>
      <c r="D364" s="139" t="s">
        <v>1364</v>
      </c>
      <c r="E364" s="140" t="s">
        <v>1365</v>
      </c>
      <c r="F364" s="131">
        <f t="shared" ca="1" si="1"/>
        <v>5</v>
      </c>
      <c r="G364" s="106" t="str">
        <f ca="1">IFERROR(__xludf.DUMMYFUNCTION("INDEX(FILTER($P364:$AL364, $P364:$AL364 &lt;&gt; """"), 1)"),"Fintech (Digital Transformation in Finance) (A)")</f>
        <v>Fintech (Digital Transformation in Finance) (A)</v>
      </c>
      <c r="H364" s="106" t="str">
        <f ca="1">IFERROR(__xludf.DUMMYFUNCTION("INDEX(FILTER($P364:$AL364, $P364:$AL364 &lt;&gt; """"), 2)"),"AI Applications in Marketing (B)")</f>
        <v>AI Applications in Marketing (B)</v>
      </c>
      <c r="I364" s="106" t="str">
        <f ca="1">IFERROR(__xludf.DUMMYFUNCTION("INDEX(FILTER($P364:$AL364, $P364:$AL364 &lt;&gt; """"), 3)"),"SPORTS ANALYTICS (B)")</f>
        <v>SPORTS ANALYTICS (B)</v>
      </c>
      <c r="J364" s="106" t="str">
        <f ca="1">IFERROR(__xludf.DUMMYFUNCTION("IFERROR(INDEX(FILTER($P364:$AL364, $P364:$AL364 &lt;&gt; """"), 4),)"),"")</f>
        <v/>
      </c>
      <c r="K364" s="106" t="str">
        <f ca="1">IFERROR(__xludf.DUMMYFUNCTION("IFERROR(INDEX(FILTER($P364:$AL364, $P364:$AL364 &lt;&gt; """"), 5),)"),"")</f>
        <v/>
      </c>
      <c r="L364" s="107"/>
      <c r="M364" s="107"/>
      <c r="N364" s="107"/>
      <c r="O364" s="107"/>
      <c r="P364" s="132" t="str">
        <f>IF(COUNTIF('Fintech-A'!$A:$A, $C364), P$1, "")</f>
        <v>Fintech (Digital Transformation in Finance) (A)</v>
      </c>
      <c r="Q364" s="132" t="str">
        <f>IF(COUNTIF('Fintech-B'!$A:$A, $C364), Q$1, "")</f>
        <v/>
      </c>
      <c r="R364" s="132" t="str">
        <f>IF(COUNTIF('BEDM-A'!$A:$A, $C364), R$1, "")</f>
        <v/>
      </c>
      <c r="S364" s="132" t="str">
        <f>IF(COUNTIF('BEDM-B'!$A:$A, $C364), S$1, "")</f>
        <v/>
      </c>
      <c r="T364" s="132" t="str">
        <f>IF(COUNTIF('Art-A'!$A:$A, $C364), T$1, "")</f>
        <v/>
      </c>
      <c r="U364" s="132" t="str">
        <f>IF(COUNTIF('Art-B'!$A:$A, $C364), U$1, "")</f>
        <v/>
      </c>
      <c r="V364" s="132" t="str">
        <f>IF(COUNTIF('WH-A'!$A:$A, $C364), V$1, "")</f>
        <v/>
      </c>
      <c r="W364" s="132" t="str">
        <f>IF(COUNTIF('WH-B'!$A:$A, $C364), W$1, "")</f>
        <v/>
      </c>
      <c r="X364" s="132" t="str">
        <f>IF(COUNTIF(LETV!$A:$A, $C364), X$1, "")</f>
        <v/>
      </c>
      <c r="Y364" s="132" t="str">
        <f>IF(COUNTIF('Film&amp;Firm-A'!$A:$A, $C364), Y$1, "")</f>
        <v/>
      </c>
      <c r="Z364" s="132" t="str">
        <f>IF(COUNTIF('Film&amp;Firm-B'!$A:$A, $C364), Z$1, "")</f>
        <v/>
      </c>
      <c r="AA364" s="132" t="str">
        <f>IF(COUNTIF(SHRM!$A:$A, $C364), AA$1, "")</f>
        <v/>
      </c>
      <c r="AB364" s="132" t="str">
        <f>IF(COUNTIF('SCM-A'!$A:$A, $C364), AB$1, "")</f>
        <v/>
      </c>
      <c r="AC364" s="132" t="str">
        <f>IF(COUNTIF('SCM-B'!$A:$A, $C364), AC$1, "")</f>
        <v/>
      </c>
      <c r="AD364" s="132" t="str">
        <f>IF(COUNTIF(AIS!$A:$A, $C364), AD$1, "")</f>
        <v/>
      </c>
      <c r="AE364" s="132" t="str">
        <f>IF(COUNTIF(EB!$A:$A, $C364), AE$1, "")</f>
        <v/>
      </c>
      <c r="AF364" s="132" t="str">
        <f>IF(COUNTIF('AIAM-A'!$A:$A, $C364), AF$1, "")</f>
        <v/>
      </c>
      <c r="AG364" s="132" t="str">
        <f>IF(COUNTIF('AIAM-B'!$A:$A, $C364), AG$1, "")</f>
        <v>AI Applications in Marketing (B)</v>
      </c>
      <c r="AH364" s="132" t="str">
        <f>IF(COUNTIF('SA-A'!$A:$A, $C364), AH$1, "")</f>
        <v/>
      </c>
      <c r="AI364" s="132" t="str">
        <f>IF(COUNTIF('SA-B'!$A:$A, $C364), AI$1, "")</f>
        <v>SPORTS ANALYTICS (B)</v>
      </c>
      <c r="AJ364" s="132" t="str">
        <f>IF(COUNTIF(CSM!$A:$A, $C364), AJ$1, "")</f>
        <v/>
      </c>
      <c r="AK364" s="132" t="str">
        <f>IF(COUNTIF(EM!$A:$A, $C364), AK$1, "")</f>
        <v/>
      </c>
      <c r="AL364" s="132" t="str">
        <f>IF(COUNTIF(I4TS!$A:$A, $C364), AL$1, "")</f>
        <v/>
      </c>
    </row>
    <row r="365" spans="1:38" ht="14">
      <c r="A365" s="131">
        <v>364</v>
      </c>
      <c r="B365" s="131" t="s">
        <v>1257</v>
      </c>
      <c r="C365" s="134" t="s">
        <v>1366</v>
      </c>
      <c r="D365" s="139" t="s">
        <v>1367</v>
      </c>
      <c r="E365" s="140" t="s">
        <v>1368</v>
      </c>
      <c r="F365" s="131">
        <f t="shared" ca="1" si="1"/>
        <v>5</v>
      </c>
      <c r="G365" s="106" t="str">
        <f ca="1">IFERROR(__xludf.DUMMYFUNCTION("INDEX(FILTER($P365:$AL365, $P365:$AL365 &lt;&gt; """"), 1)"),"Fintech (Digital Transformation in Finance) (A)")</f>
        <v>Fintech (Digital Transformation in Finance) (A)</v>
      </c>
      <c r="H365" s="106" t="str">
        <f ca="1">IFERROR(__xludf.DUMMYFUNCTION("INDEX(FILTER($P365:$AL365, $P365:$AL365 &lt;&gt; """"), 2)"),"Film &amp; the Firm: Visual Culture in Business Contexts (B)")</f>
        <v>Film &amp; the Firm: Visual Culture in Business Contexts (B)</v>
      </c>
      <c r="I365" s="106" t="str">
        <f ca="1">IFERROR(__xludf.DUMMYFUNCTION("INDEX(FILTER($P365:$AL365, $P365:$AL365 &lt;&gt; """"), 3)"),"Industry 4.0 in Transport Sector")</f>
        <v>Industry 4.0 in Transport Sector</v>
      </c>
      <c r="J365" s="106" t="str">
        <f ca="1">IFERROR(__xludf.DUMMYFUNCTION("IFERROR(INDEX(FILTER($P365:$AL365, $P365:$AL365 &lt;&gt; """"), 4),)"),"")</f>
        <v/>
      </c>
      <c r="K365" s="106" t="str">
        <f ca="1">IFERROR(__xludf.DUMMYFUNCTION("IFERROR(INDEX(FILTER($P365:$AL365, $P365:$AL365 &lt;&gt; """"), 5),)"),"")</f>
        <v/>
      </c>
      <c r="L365" s="107"/>
      <c r="M365" s="107"/>
      <c r="N365" s="107"/>
      <c r="O365" s="107"/>
      <c r="P365" s="132" t="str">
        <f>IF(COUNTIF('Fintech-A'!$A:$A, $C365), P$1, "")</f>
        <v>Fintech (Digital Transformation in Finance) (A)</v>
      </c>
      <c r="Q365" s="132" t="str">
        <f>IF(COUNTIF('Fintech-B'!$A:$A, $C365), Q$1, "")</f>
        <v/>
      </c>
      <c r="R365" s="132" t="str">
        <f>IF(COUNTIF('BEDM-A'!$A:$A, $C365), R$1, "")</f>
        <v/>
      </c>
      <c r="S365" s="132" t="str">
        <f>IF(COUNTIF('BEDM-B'!$A:$A, $C365), S$1, "")</f>
        <v/>
      </c>
      <c r="T365" s="132" t="str">
        <f>IF(COUNTIF('Art-A'!$A:$A, $C365), T$1, "")</f>
        <v/>
      </c>
      <c r="U365" s="132" t="str">
        <f>IF(COUNTIF('Art-B'!$A:$A, $C365), U$1, "")</f>
        <v/>
      </c>
      <c r="V365" s="132" t="str">
        <f>IF(COUNTIF('WH-A'!$A:$A, $C365), V$1, "")</f>
        <v/>
      </c>
      <c r="W365" s="132" t="str">
        <f>IF(COUNTIF('WH-B'!$A:$A, $C365), W$1, "")</f>
        <v/>
      </c>
      <c r="X365" s="132" t="str">
        <f>IF(COUNTIF(LETV!$A:$A, $C365), X$1, "")</f>
        <v/>
      </c>
      <c r="Y365" s="132" t="str">
        <f>IF(COUNTIF('Film&amp;Firm-A'!$A:$A, $C365), Y$1, "")</f>
        <v/>
      </c>
      <c r="Z365" s="132" t="str">
        <f>IF(COUNTIF('Film&amp;Firm-B'!$A:$A, $C365), Z$1, "")</f>
        <v>Film &amp; the Firm: Visual Culture in Business Contexts (B)</v>
      </c>
      <c r="AA365" s="132" t="str">
        <f>IF(COUNTIF(SHRM!$A:$A, $C365), AA$1, "")</f>
        <v/>
      </c>
      <c r="AB365" s="132" t="str">
        <f>IF(COUNTIF('SCM-A'!$A:$A, $C365), AB$1, "")</f>
        <v/>
      </c>
      <c r="AC365" s="132" t="str">
        <f>IF(COUNTIF('SCM-B'!$A:$A, $C365), AC$1, "")</f>
        <v/>
      </c>
      <c r="AD365" s="132" t="str">
        <f>IF(COUNTIF(AIS!$A:$A, $C365), AD$1, "")</f>
        <v/>
      </c>
      <c r="AE365" s="132" t="str">
        <f>IF(COUNTIF(EB!$A:$A, $C365), AE$1, "")</f>
        <v/>
      </c>
      <c r="AF365" s="132" t="str">
        <f>IF(COUNTIF('AIAM-A'!$A:$A, $C365), AF$1, "")</f>
        <v/>
      </c>
      <c r="AG365" s="132" t="str">
        <f>IF(COUNTIF('AIAM-B'!$A:$A, $C365), AG$1, "")</f>
        <v/>
      </c>
      <c r="AH365" s="132" t="str">
        <f>IF(COUNTIF('SA-A'!$A:$A, $C365), AH$1, "")</f>
        <v/>
      </c>
      <c r="AI365" s="132" t="str">
        <f>IF(COUNTIF('SA-B'!$A:$A, $C365), AI$1, "")</f>
        <v/>
      </c>
      <c r="AJ365" s="132" t="str">
        <f>IF(COUNTIF(CSM!$A:$A, $C365), AJ$1, "")</f>
        <v/>
      </c>
      <c r="AK365" s="132" t="str">
        <f>IF(COUNTIF(EM!$A:$A, $C365), AK$1, "")</f>
        <v/>
      </c>
      <c r="AL365" s="132" t="str">
        <f>IF(COUNTIF(I4TS!$A:$A, $C365), AL$1, "")</f>
        <v>Industry 4.0 in Transport Sector</v>
      </c>
    </row>
    <row r="366" spans="1:38" ht="14">
      <c r="A366" s="131">
        <v>365</v>
      </c>
      <c r="B366" s="131" t="s">
        <v>1257</v>
      </c>
      <c r="C366" s="134" t="s">
        <v>184</v>
      </c>
      <c r="D366" s="139" t="s">
        <v>1369</v>
      </c>
      <c r="E366" s="140" t="s">
        <v>1370</v>
      </c>
      <c r="F366" s="131">
        <f t="shared" ca="1" si="1"/>
        <v>5</v>
      </c>
      <c r="G366" s="106" t="str">
        <f ca="1">IFERROR(__xludf.DUMMYFUNCTION("INDEX(FILTER($P366:$AL366, $P366:$AL366 &lt;&gt; """"), 1)"),"The Art, Craft, and Science of Management: Learning through Classics and Best Collections (B)")</f>
        <v>The Art, Craft, and Science of Management: Learning through Classics and Best Collections (B)</v>
      </c>
      <c r="H366" s="106" t="str">
        <f ca="1">IFERROR(__xludf.DUMMYFUNCTION("INDEX(FILTER($P366:$AL366, $P366:$AL366 &lt;&gt; """"), 2)"),"Film &amp; the Firm: Visual Culture in Business Contexts (B)")</f>
        <v>Film &amp; the Firm: Visual Culture in Business Contexts (B)</v>
      </c>
      <c r="I366" s="106" t="str">
        <f ca="1">IFERROR(__xludf.DUMMYFUNCTION("INDEX(FILTER($P366:$AL366, $P366:$AL366 &lt;&gt; """"), 3)"),"AI AND  STRATEGY")</f>
        <v>AI AND  STRATEGY</v>
      </c>
      <c r="J366" s="106" t="str">
        <f ca="1">IFERROR(__xludf.DUMMYFUNCTION("IFERROR(INDEX(FILTER($P366:$AL366, $P366:$AL366 &lt;&gt; """"), 4),)"),"")</f>
        <v/>
      </c>
      <c r="K366" s="106" t="str">
        <f ca="1">IFERROR(__xludf.DUMMYFUNCTION("IFERROR(INDEX(FILTER($P366:$AL366, $P366:$AL366 &lt;&gt; """"), 5),)"),"")</f>
        <v/>
      </c>
      <c r="L366" s="107"/>
      <c r="M366" s="107"/>
      <c r="N366" s="107"/>
      <c r="O366" s="107"/>
      <c r="P366" s="132" t="str">
        <f>IF(COUNTIF('Fintech-A'!$A:$A, $C366), P$1, "")</f>
        <v/>
      </c>
      <c r="Q366" s="132" t="str">
        <f>IF(COUNTIF('Fintech-B'!$A:$A, $C366), Q$1, "")</f>
        <v/>
      </c>
      <c r="R366" s="132" t="str">
        <f>IF(COUNTIF('BEDM-A'!$A:$A, $C366), R$1, "")</f>
        <v/>
      </c>
      <c r="S366" s="132" t="str">
        <f>IF(COUNTIF('BEDM-B'!$A:$A, $C366), S$1, "")</f>
        <v/>
      </c>
      <c r="T366" s="132" t="str">
        <f>IF(COUNTIF('Art-A'!$A:$A, $C366), T$1, "")</f>
        <v/>
      </c>
      <c r="U366" s="132" t="str">
        <f>IF(COUNTIF('Art-B'!$A:$A, $C366), U$1, "")</f>
        <v>The Art, Craft, and Science of Management: Learning through Classics and Best Collections (B)</v>
      </c>
      <c r="V366" s="132" t="str">
        <f>IF(COUNTIF('WH-A'!$A:$A, $C366), V$1, "")</f>
        <v/>
      </c>
      <c r="W366" s="132" t="str">
        <f>IF(COUNTIF('WH-B'!$A:$A, $C366), W$1, "")</f>
        <v/>
      </c>
      <c r="X366" s="132" t="str">
        <f>IF(COUNTIF(LETV!$A:$A, $C366), X$1, "")</f>
        <v/>
      </c>
      <c r="Y366" s="132" t="str">
        <f>IF(COUNTIF('Film&amp;Firm-A'!$A:$A, $C366), Y$1, "")</f>
        <v/>
      </c>
      <c r="Z366" s="132" t="str">
        <f>IF(COUNTIF('Film&amp;Firm-B'!$A:$A, $C366), Z$1, "")</f>
        <v>Film &amp; the Firm: Visual Culture in Business Contexts (B)</v>
      </c>
      <c r="AA366" s="132" t="str">
        <f>IF(COUNTIF(SHRM!$A:$A, $C366), AA$1, "")</f>
        <v/>
      </c>
      <c r="AB366" s="132" t="str">
        <f>IF(COUNTIF('SCM-A'!$A:$A, $C366), AB$1, "")</f>
        <v/>
      </c>
      <c r="AC366" s="132" t="str">
        <f>IF(COUNTIF('SCM-B'!$A:$A, $C366), AC$1, "")</f>
        <v/>
      </c>
      <c r="AD366" s="132" t="str">
        <f>IF(COUNTIF(AIS!$A:$A, $C366), AD$1, "")</f>
        <v>AI AND  STRATEGY</v>
      </c>
      <c r="AE366" s="132" t="str">
        <f>IF(COUNTIF(EB!$A:$A, $C366), AE$1, "")</f>
        <v/>
      </c>
      <c r="AF366" s="132" t="str">
        <f>IF(COUNTIF('AIAM-A'!$A:$A, $C366), AF$1, "")</f>
        <v/>
      </c>
      <c r="AG366" s="132" t="str">
        <f>IF(COUNTIF('AIAM-B'!$A:$A, $C366), AG$1, "")</f>
        <v/>
      </c>
      <c r="AH366" s="132" t="str">
        <f>IF(COUNTIF('SA-A'!$A:$A, $C366), AH$1, "")</f>
        <v/>
      </c>
      <c r="AI366" s="132" t="str">
        <f>IF(COUNTIF('SA-B'!$A:$A, $C366), AI$1, "")</f>
        <v/>
      </c>
      <c r="AJ366" s="132" t="str">
        <f>IF(COUNTIF(CSM!$A:$A, $C366), AJ$1, "")</f>
        <v/>
      </c>
      <c r="AK366" s="132" t="str">
        <f>IF(COUNTIF(EM!$A:$A, $C366), AK$1, "")</f>
        <v/>
      </c>
      <c r="AL366" s="132" t="str">
        <f>IF(COUNTIF(I4TS!$A:$A, $C366), AL$1, "")</f>
        <v/>
      </c>
    </row>
    <row r="367" spans="1:38" ht="14">
      <c r="A367" s="131">
        <v>366</v>
      </c>
      <c r="B367" s="131" t="s">
        <v>1257</v>
      </c>
      <c r="C367" s="134" t="s">
        <v>1371</v>
      </c>
      <c r="D367" s="139" t="s">
        <v>1372</v>
      </c>
      <c r="E367" s="140" t="s">
        <v>1373</v>
      </c>
      <c r="F367" s="131">
        <f t="shared" ca="1" si="1"/>
        <v>5</v>
      </c>
      <c r="G367" s="106" t="str">
        <f ca="1">IFERROR(__xludf.DUMMYFUNCTION("INDEX(FILTER($P367:$AL367, $P367:$AL367 &lt;&gt; """"), 1)"),"Fintech (Digital Transformation in Finance) (B)")</f>
        <v>Fintech (Digital Transformation in Finance) (B)</v>
      </c>
      <c r="H367" s="106" t="str">
        <f ca="1">IFERROR(__xludf.DUMMYFUNCTION("INDEX(FILTER($P367:$AL367, $P367:$AL367 &lt;&gt; """"), 2)"),"Film &amp; the Firm: Visual Culture in Business Contexts (B)")</f>
        <v>Film &amp; the Firm: Visual Culture in Business Contexts (B)</v>
      </c>
      <c r="I367" s="106" t="str">
        <f ca="1">IFERROR(__xludf.DUMMYFUNCTION("INDEX(FILTER($P367:$AL367, $P367:$AL367 &lt;&gt; """"), 3)"),"Customer Success Management")</f>
        <v>Customer Success Management</v>
      </c>
      <c r="J367" s="106" t="str">
        <f ca="1">IFERROR(__xludf.DUMMYFUNCTION("IFERROR(INDEX(FILTER($P367:$AL367, $P367:$AL367 &lt;&gt; """"), 4),)"),"")</f>
        <v/>
      </c>
      <c r="K367" s="106" t="str">
        <f ca="1">IFERROR(__xludf.DUMMYFUNCTION("IFERROR(INDEX(FILTER($P367:$AL367, $P367:$AL367 &lt;&gt; """"), 5),)"),"")</f>
        <v/>
      </c>
      <c r="L367" s="107"/>
      <c r="M367" s="107"/>
      <c r="N367" s="107"/>
      <c r="O367" s="107"/>
      <c r="P367" s="132" t="str">
        <f>IF(COUNTIF('Fintech-A'!$A:$A, $C367), P$1, "")</f>
        <v/>
      </c>
      <c r="Q367" s="132" t="str">
        <f>IF(COUNTIF('Fintech-B'!$A:$A, $C367), Q$1, "")</f>
        <v>Fintech (Digital Transformation in Finance) (B)</v>
      </c>
      <c r="R367" s="132" t="str">
        <f>IF(COUNTIF('BEDM-A'!$A:$A, $C367), R$1, "")</f>
        <v/>
      </c>
      <c r="S367" s="132" t="str">
        <f>IF(COUNTIF('BEDM-B'!$A:$A, $C367), S$1, "")</f>
        <v/>
      </c>
      <c r="T367" s="132" t="str">
        <f>IF(COUNTIF('Art-A'!$A:$A, $C367), T$1, "")</f>
        <v/>
      </c>
      <c r="U367" s="132" t="str">
        <f>IF(COUNTIF('Art-B'!$A:$A, $C367), U$1, "")</f>
        <v/>
      </c>
      <c r="V367" s="132" t="str">
        <f>IF(COUNTIF('WH-A'!$A:$A, $C367), V$1, "")</f>
        <v/>
      </c>
      <c r="W367" s="132" t="str">
        <f>IF(COUNTIF('WH-B'!$A:$A, $C367), W$1, "")</f>
        <v/>
      </c>
      <c r="X367" s="132" t="str">
        <f>IF(COUNTIF(LETV!$A:$A, $C367), X$1, "")</f>
        <v/>
      </c>
      <c r="Y367" s="132" t="str">
        <f>IF(COUNTIF('Film&amp;Firm-A'!$A:$A, $C367), Y$1, "")</f>
        <v/>
      </c>
      <c r="Z367" s="132" t="str">
        <f>IF(COUNTIF('Film&amp;Firm-B'!$A:$A, $C367), Z$1, "")</f>
        <v>Film &amp; the Firm: Visual Culture in Business Contexts (B)</v>
      </c>
      <c r="AA367" s="132" t="str">
        <f>IF(COUNTIF(SHRM!$A:$A, $C367), AA$1, "")</f>
        <v/>
      </c>
      <c r="AB367" s="132" t="str">
        <f>IF(COUNTIF('SCM-A'!$A:$A, $C367), AB$1, "")</f>
        <v/>
      </c>
      <c r="AC367" s="132" t="str">
        <f>IF(COUNTIF('SCM-B'!$A:$A, $C367), AC$1, "")</f>
        <v/>
      </c>
      <c r="AD367" s="132" t="str">
        <f>IF(COUNTIF(AIS!$A:$A, $C367), AD$1, "")</f>
        <v/>
      </c>
      <c r="AE367" s="132" t="str">
        <f>IF(COUNTIF(EB!$A:$A, $C367), AE$1, "")</f>
        <v/>
      </c>
      <c r="AF367" s="132" t="str">
        <f>IF(COUNTIF('AIAM-A'!$A:$A, $C367), AF$1, "")</f>
        <v/>
      </c>
      <c r="AG367" s="132" t="str">
        <f>IF(COUNTIF('AIAM-B'!$A:$A, $C367), AG$1, "")</f>
        <v/>
      </c>
      <c r="AH367" s="132" t="str">
        <f>IF(COUNTIF('SA-A'!$A:$A, $C367), AH$1, "")</f>
        <v/>
      </c>
      <c r="AI367" s="132" t="str">
        <f>IF(COUNTIF('SA-B'!$A:$A, $C367), AI$1, "")</f>
        <v/>
      </c>
      <c r="AJ367" s="132" t="str">
        <f>IF(COUNTIF(CSM!$A:$A, $C367), AJ$1, "")</f>
        <v>Customer Success Management</v>
      </c>
      <c r="AK367" s="132" t="str">
        <f>IF(COUNTIF(EM!$A:$A, $C367), AK$1, "")</f>
        <v/>
      </c>
      <c r="AL367" s="132" t="str">
        <f>IF(COUNTIF(I4TS!$A:$A, $C367), AL$1, "")</f>
        <v/>
      </c>
    </row>
    <row r="368" spans="1:38" ht="14">
      <c r="A368" s="131">
        <v>367</v>
      </c>
      <c r="B368" s="131" t="s">
        <v>1257</v>
      </c>
      <c r="C368" s="134" t="s">
        <v>185</v>
      </c>
      <c r="D368" s="139" t="s">
        <v>1374</v>
      </c>
      <c r="E368" s="140" t="s">
        <v>1375</v>
      </c>
      <c r="F368" s="131">
        <f t="shared" ca="1" si="1"/>
        <v>5</v>
      </c>
      <c r="G368" s="106" t="str">
        <f ca="1">IFERROR(__xludf.DUMMYFUNCTION("INDEX(FILTER($P368:$AL368, $P368:$AL368 &lt;&gt; """"), 1)"),"Employer Branding")</f>
        <v>Employer Branding</v>
      </c>
      <c r="H368" s="106" t="str">
        <f ca="1">IFERROR(__xludf.DUMMYFUNCTION("INDEX(FILTER($P368:$AL368, $P368:$AL368 &lt;&gt; """"), 2)"),"SPORTS ANALYTICS (A)")</f>
        <v>SPORTS ANALYTICS (A)</v>
      </c>
      <c r="I368" s="106" t="str">
        <f ca="1">IFERROR(__xludf.DUMMYFUNCTION("INDEX(FILTER($P368:$AL368, $P368:$AL368 &lt;&gt; """"), 3)"),"Customer Success Management")</f>
        <v>Customer Success Management</v>
      </c>
      <c r="J368" s="106" t="str">
        <f ca="1">IFERROR(__xludf.DUMMYFUNCTION("IFERROR(INDEX(FILTER($P368:$AL368, $P368:$AL368 &lt;&gt; """"), 4),)"),"")</f>
        <v/>
      </c>
      <c r="K368" s="106" t="str">
        <f ca="1">IFERROR(__xludf.DUMMYFUNCTION("IFERROR(INDEX(FILTER($P368:$AL368, $P368:$AL368 &lt;&gt; """"), 5),)"),"")</f>
        <v/>
      </c>
      <c r="L368" s="107"/>
      <c r="M368" s="107"/>
      <c r="N368" s="107"/>
      <c r="O368" s="107"/>
      <c r="P368" s="132" t="str">
        <f>IF(COUNTIF('Fintech-A'!$A:$A, $C368), P$1, "")</f>
        <v/>
      </c>
      <c r="Q368" s="132" t="str">
        <f>IF(COUNTIF('Fintech-B'!$A:$A, $C368), Q$1, "")</f>
        <v/>
      </c>
      <c r="R368" s="132" t="str">
        <f>IF(COUNTIF('BEDM-A'!$A:$A, $C368), R$1, "")</f>
        <v/>
      </c>
      <c r="S368" s="132" t="str">
        <f>IF(COUNTIF('BEDM-B'!$A:$A, $C368), S$1, "")</f>
        <v/>
      </c>
      <c r="T368" s="132" t="str">
        <f>IF(COUNTIF('Art-A'!$A:$A, $C368), T$1, "")</f>
        <v/>
      </c>
      <c r="U368" s="132" t="str">
        <f>IF(COUNTIF('Art-B'!$A:$A, $C368), U$1, "")</f>
        <v/>
      </c>
      <c r="V368" s="132" t="str">
        <f>IF(COUNTIF('WH-A'!$A:$A, $C368), V$1, "")</f>
        <v/>
      </c>
      <c r="W368" s="132" t="str">
        <f>IF(COUNTIF('WH-B'!$A:$A, $C368), W$1, "")</f>
        <v/>
      </c>
      <c r="X368" s="132" t="str">
        <f>IF(COUNTIF(LETV!$A:$A, $C368), X$1, "")</f>
        <v/>
      </c>
      <c r="Y368" s="132" t="str">
        <f>IF(COUNTIF('Film&amp;Firm-A'!$A:$A, $C368), Y$1, "")</f>
        <v/>
      </c>
      <c r="Z368" s="132" t="str">
        <f>IF(COUNTIF('Film&amp;Firm-B'!$A:$A, $C368), Z$1, "")</f>
        <v/>
      </c>
      <c r="AA368" s="132" t="str">
        <f>IF(COUNTIF(SHRM!$A:$A, $C368), AA$1, "")</f>
        <v/>
      </c>
      <c r="AB368" s="132" t="str">
        <f>IF(COUNTIF('SCM-A'!$A:$A, $C368), AB$1, "")</f>
        <v/>
      </c>
      <c r="AC368" s="132" t="str">
        <f>IF(COUNTIF('SCM-B'!$A:$A, $C368), AC$1, "")</f>
        <v/>
      </c>
      <c r="AD368" s="132" t="str">
        <f>IF(COUNTIF(AIS!$A:$A, $C368), AD$1, "")</f>
        <v/>
      </c>
      <c r="AE368" s="132" t="str">
        <f>IF(COUNTIF(EB!$A:$A, $C368), AE$1, "")</f>
        <v>Employer Branding</v>
      </c>
      <c r="AF368" s="132" t="str">
        <f>IF(COUNTIF('AIAM-A'!$A:$A, $C368), AF$1, "")</f>
        <v/>
      </c>
      <c r="AG368" s="132" t="str">
        <f>IF(COUNTIF('AIAM-B'!$A:$A, $C368), AG$1, "")</f>
        <v/>
      </c>
      <c r="AH368" s="132" t="str">
        <f>IF(COUNTIF('SA-A'!$A:$A, $C368), AH$1, "")</f>
        <v>SPORTS ANALYTICS (A)</v>
      </c>
      <c r="AI368" s="132" t="str">
        <f>IF(COUNTIF('SA-B'!$A:$A, $C368), AI$1, "")</f>
        <v/>
      </c>
      <c r="AJ368" s="132" t="str">
        <f>IF(COUNTIF(CSM!$A:$A, $C368), AJ$1, "")</f>
        <v>Customer Success Management</v>
      </c>
      <c r="AK368" s="132" t="str">
        <f>IF(COUNTIF(EM!$A:$A, $C368), AK$1, "")</f>
        <v/>
      </c>
      <c r="AL368" s="132" t="str">
        <f>IF(COUNTIF(I4TS!$A:$A, $C368), AL$1, "")</f>
        <v/>
      </c>
    </row>
    <row r="369" spans="1:38" ht="14">
      <c r="A369" s="131">
        <v>368</v>
      </c>
      <c r="B369" s="131" t="s">
        <v>1257</v>
      </c>
      <c r="C369" s="134" t="s">
        <v>1376</v>
      </c>
      <c r="D369" s="139" t="s">
        <v>1377</v>
      </c>
      <c r="E369" s="140" t="s">
        <v>1378</v>
      </c>
      <c r="F369" s="131">
        <f t="shared" ca="1" si="1"/>
        <v>5</v>
      </c>
      <c r="G369" s="106" t="str">
        <f ca="1">IFERROR(__xludf.DUMMYFUNCTION("INDEX(FILTER($P369:$AL369, $P369:$AL369 &lt;&gt; """"), 1)"),"Film &amp; the Firm: Visual Culture in Business Contexts (A)")</f>
        <v>Film &amp; the Firm: Visual Culture in Business Contexts (A)</v>
      </c>
      <c r="H369" s="106" t="str">
        <f ca="1">IFERROR(__xludf.DUMMYFUNCTION("INDEX(FILTER($P369:$AL369, $P369:$AL369 &lt;&gt; """"), 2)"),"AI AND  STRATEGY")</f>
        <v>AI AND  STRATEGY</v>
      </c>
      <c r="I369" s="106" t="str">
        <f ca="1">IFERROR(__xludf.DUMMYFUNCTION("INDEX(FILTER($P369:$AL369, $P369:$AL369 &lt;&gt; """"), 3)"),"AI Applications in Marketing (A)")</f>
        <v>AI Applications in Marketing (A)</v>
      </c>
      <c r="J369" s="106" t="str">
        <f ca="1">IFERROR(__xludf.DUMMYFUNCTION("IFERROR(INDEX(FILTER($P369:$AL369, $P369:$AL369 &lt;&gt; """"), 4),)"),"")</f>
        <v/>
      </c>
      <c r="K369" s="106" t="str">
        <f ca="1">IFERROR(__xludf.DUMMYFUNCTION("IFERROR(INDEX(FILTER($P369:$AL369, $P369:$AL369 &lt;&gt; """"), 5),)"),"")</f>
        <v/>
      </c>
      <c r="L369" s="107"/>
      <c r="M369" s="107"/>
      <c r="N369" s="107"/>
      <c r="O369" s="107"/>
      <c r="P369" s="132" t="str">
        <f>IF(COUNTIF('Fintech-A'!$A:$A, $C369), P$1, "")</f>
        <v/>
      </c>
      <c r="Q369" s="132" t="str">
        <f>IF(COUNTIF('Fintech-B'!$A:$A, $C369), Q$1, "")</f>
        <v/>
      </c>
      <c r="R369" s="132" t="str">
        <f>IF(COUNTIF('BEDM-A'!$A:$A, $C369), R$1, "")</f>
        <v/>
      </c>
      <c r="S369" s="132" t="str">
        <f>IF(COUNTIF('BEDM-B'!$A:$A, $C369), S$1, "")</f>
        <v/>
      </c>
      <c r="T369" s="132" t="str">
        <f>IF(COUNTIF('Art-A'!$A:$A, $C369), T$1, "")</f>
        <v/>
      </c>
      <c r="U369" s="132" t="str">
        <f>IF(COUNTIF('Art-B'!$A:$A, $C369), U$1, "")</f>
        <v/>
      </c>
      <c r="V369" s="132" t="str">
        <f>IF(COUNTIF('WH-A'!$A:$A, $C369), V$1, "")</f>
        <v/>
      </c>
      <c r="W369" s="132" t="str">
        <f>IF(COUNTIF('WH-B'!$A:$A, $C369), W$1, "")</f>
        <v/>
      </c>
      <c r="X369" s="132" t="str">
        <f>IF(COUNTIF(LETV!$A:$A, $C369), X$1, "")</f>
        <v/>
      </c>
      <c r="Y369" s="132" t="str">
        <f>IF(COUNTIF('Film&amp;Firm-A'!$A:$A, $C369), Y$1, "")</f>
        <v>Film &amp; the Firm: Visual Culture in Business Contexts (A)</v>
      </c>
      <c r="Z369" s="132" t="str">
        <f>IF(COUNTIF('Film&amp;Firm-B'!$A:$A, $C369), Z$1, "")</f>
        <v/>
      </c>
      <c r="AA369" s="132" t="str">
        <f>IF(COUNTIF(SHRM!$A:$A, $C369), AA$1, "")</f>
        <v/>
      </c>
      <c r="AB369" s="132" t="str">
        <f>IF(COUNTIF('SCM-A'!$A:$A, $C369), AB$1, "")</f>
        <v/>
      </c>
      <c r="AC369" s="132" t="str">
        <f>IF(COUNTIF('SCM-B'!$A:$A, $C369), AC$1, "")</f>
        <v/>
      </c>
      <c r="AD369" s="132" t="str">
        <f>IF(COUNTIF(AIS!$A:$A, $C369), AD$1, "")</f>
        <v>AI AND  STRATEGY</v>
      </c>
      <c r="AE369" s="132" t="str">
        <f>IF(COUNTIF(EB!$A:$A, $C369), AE$1, "")</f>
        <v/>
      </c>
      <c r="AF369" s="132" t="str">
        <f>IF(COUNTIF('AIAM-A'!$A:$A, $C369), AF$1, "")</f>
        <v>AI Applications in Marketing (A)</v>
      </c>
      <c r="AG369" s="132" t="str">
        <f>IF(COUNTIF('AIAM-B'!$A:$A, $C369), AG$1, "")</f>
        <v/>
      </c>
      <c r="AH369" s="132" t="str">
        <f>IF(COUNTIF('SA-A'!$A:$A, $C369), AH$1, "")</f>
        <v/>
      </c>
      <c r="AI369" s="132" t="str">
        <f>IF(COUNTIF('SA-B'!$A:$A, $C369), AI$1, "")</f>
        <v/>
      </c>
      <c r="AJ369" s="132" t="str">
        <f>IF(COUNTIF(CSM!$A:$A, $C369), AJ$1, "")</f>
        <v/>
      </c>
      <c r="AK369" s="132" t="str">
        <f>IF(COUNTIF(EM!$A:$A, $C369), AK$1, "")</f>
        <v/>
      </c>
      <c r="AL369" s="132" t="str">
        <f>IF(COUNTIF(I4TS!$A:$A, $C369), AL$1, "")</f>
        <v/>
      </c>
    </row>
    <row r="370" spans="1:38" ht="14">
      <c r="A370" s="131">
        <v>369</v>
      </c>
      <c r="B370" s="131" t="s">
        <v>1257</v>
      </c>
      <c r="C370" s="134" t="s">
        <v>186</v>
      </c>
      <c r="D370" s="139" t="s">
        <v>1379</v>
      </c>
      <c r="E370" s="140" t="s">
        <v>1380</v>
      </c>
      <c r="F370" s="131">
        <f t="shared" ca="1" si="1"/>
        <v>5</v>
      </c>
      <c r="G370" s="106" t="str">
        <f ca="1">IFERROR(__xludf.DUMMYFUNCTION("INDEX(FILTER($P370:$AL370, $P370:$AL370 &lt;&gt; """"), 1)"),"The Art, Craft, and Science of Management: Learning through Classics and Best Collections (B)")</f>
        <v>The Art, Craft, and Science of Management: Learning through Classics and Best Collections (B)</v>
      </c>
      <c r="H370" s="106" t="str">
        <f ca="1">IFERROR(__xludf.DUMMYFUNCTION("INDEX(FILTER($P370:$AL370, $P370:$AL370 &lt;&gt; """"), 2)"),"Workplace Happiness: Science &amp; Practice (A)")</f>
        <v>Workplace Happiness: Science &amp; Practice (A)</v>
      </c>
      <c r="I370" s="106" t="str">
        <f ca="1">IFERROR(__xludf.DUMMYFUNCTION("INDEX(FILTER($P370:$AL370, $P370:$AL370 &lt;&gt; """"), 3)"),"Film &amp; the Firm: Visual Culture in Business Contexts (A)")</f>
        <v>Film &amp; the Firm: Visual Culture in Business Contexts (A)</v>
      </c>
      <c r="J370" s="106" t="str">
        <f ca="1">IFERROR(__xludf.DUMMYFUNCTION("IFERROR(INDEX(FILTER($P370:$AL370, $P370:$AL370 &lt;&gt; """"), 4),)"),"")</f>
        <v/>
      </c>
      <c r="K370" s="106" t="str">
        <f ca="1">IFERROR(__xludf.DUMMYFUNCTION("IFERROR(INDEX(FILTER($P370:$AL370, $P370:$AL370 &lt;&gt; """"), 5),)"),"")</f>
        <v/>
      </c>
      <c r="L370" s="107"/>
      <c r="M370" s="107"/>
      <c r="N370" s="107"/>
      <c r="O370" s="107"/>
      <c r="P370" s="132" t="str">
        <f>IF(COUNTIF('Fintech-A'!$A:$A, $C370), P$1, "")</f>
        <v/>
      </c>
      <c r="Q370" s="132" t="str">
        <f>IF(COUNTIF('Fintech-B'!$A:$A, $C370), Q$1, "")</f>
        <v/>
      </c>
      <c r="R370" s="132" t="str">
        <f>IF(COUNTIF('BEDM-A'!$A:$A, $C370), R$1, "")</f>
        <v/>
      </c>
      <c r="S370" s="132" t="str">
        <f>IF(COUNTIF('BEDM-B'!$A:$A, $C370), S$1, "")</f>
        <v/>
      </c>
      <c r="T370" s="132" t="str">
        <f>IF(COUNTIF('Art-A'!$A:$A, $C370), T$1, "")</f>
        <v/>
      </c>
      <c r="U370" s="132" t="str">
        <f>IF(COUNTIF('Art-B'!$A:$A, $C370), U$1, "")</f>
        <v>The Art, Craft, and Science of Management: Learning through Classics and Best Collections (B)</v>
      </c>
      <c r="V370" s="132" t="str">
        <f>IF(COUNTIF('WH-A'!$A:$A, $C370), V$1, "")</f>
        <v>Workplace Happiness: Science &amp; Practice (A)</v>
      </c>
      <c r="W370" s="132" t="str">
        <f>IF(COUNTIF('WH-B'!$A:$A, $C370), W$1, "")</f>
        <v/>
      </c>
      <c r="X370" s="132" t="str">
        <f>IF(COUNTIF(LETV!$A:$A, $C370), X$1, "")</f>
        <v/>
      </c>
      <c r="Y370" s="132" t="str">
        <f>IF(COUNTIF('Film&amp;Firm-A'!$A:$A, $C370), Y$1, "")</f>
        <v>Film &amp; the Firm: Visual Culture in Business Contexts (A)</v>
      </c>
      <c r="Z370" s="132" t="str">
        <f>IF(COUNTIF('Film&amp;Firm-B'!$A:$A, $C370), Z$1, "")</f>
        <v/>
      </c>
      <c r="AA370" s="132" t="str">
        <f>IF(COUNTIF(SHRM!$A:$A, $C370), AA$1, "")</f>
        <v/>
      </c>
      <c r="AB370" s="132" t="str">
        <f>IF(COUNTIF('SCM-A'!$A:$A, $C370), AB$1, "")</f>
        <v/>
      </c>
      <c r="AC370" s="132" t="str">
        <f>IF(COUNTIF('SCM-B'!$A:$A, $C370), AC$1, "")</f>
        <v/>
      </c>
      <c r="AD370" s="132" t="str">
        <f>IF(COUNTIF(AIS!$A:$A, $C370), AD$1, "")</f>
        <v/>
      </c>
      <c r="AE370" s="132" t="str">
        <f>IF(COUNTIF(EB!$A:$A, $C370), AE$1, "")</f>
        <v/>
      </c>
      <c r="AF370" s="132" t="str">
        <f>IF(COUNTIF('AIAM-A'!$A:$A, $C370), AF$1, "")</f>
        <v/>
      </c>
      <c r="AG370" s="132" t="str">
        <f>IF(COUNTIF('AIAM-B'!$A:$A, $C370), AG$1, "")</f>
        <v/>
      </c>
      <c r="AH370" s="132" t="str">
        <f>IF(COUNTIF('SA-A'!$A:$A, $C370), AH$1, "")</f>
        <v/>
      </c>
      <c r="AI370" s="132" t="str">
        <f>IF(COUNTIF('SA-B'!$A:$A, $C370), AI$1, "")</f>
        <v/>
      </c>
      <c r="AJ370" s="132" t="str">
        <f>IF(COUNTIF(CSM!$A:$A, $C370), AJ$1, "")</f>
        <v/>
      </c>
      <c r="AK370" s="132" t="str">
        <f>IF(COUNTIF(EM!$A:$A, $C370), AK$1, "")</f>
        <v/>
      </c>
      <c r="AL370" s="132" t="str">
        <f>IF(COUNTIF(I4TS!$A:$A, $C370), AL$1, "")</f>
        <v/>
      </c>
    </row>
    <row r="371" spans="1:38" ht="14">
      <c r="A371" s="131">
        <v>370</v>
      </c>
      <c r="B371" s="131" t="s">
        <v>1257</v>
      </c>
      <c r="C371" s="134" t="s">
        <v>187</v>
      </c>
      <c r="D371" s="139" t="s">
        <v>1381</v>
      </c>
      <c r="E371" s="140" t="s">
        <v>1382</v>
      </c>
      <c r="F371" s="131">
        <f t="shared" ca="1" si="1"/>
        <v>5</v>
      </c>
      <c r="G371" s="106" t="str">
        <f ca="1">IFERROR(__xludf.DUMMYFUNCTION("INDEX(FILTER($P371:$AL371, $P371:$AL371 &lt;&gt; """"), 1)"),"Fintech (Digital Transformation in Finance) (B)")</f>
        <v>Fintech (Digital Transformation in Finance) (B)</v>
      </c>
      <c r="H371" s="106" t="str">
        <f ca="1">IFERROR(__xludf.DUMMYFUNCTION("INDEX(FILTER($P371:$AL371, $P371:$AL371 &lt;&gt; """"), 2)"),"AI Applications in Marketing (B)")</f>
        <v>AI Applications in Marketing (B)</v>
      </c>
      <c r="I371" s="106" t="str">
        <f ca="1">IFERROR(__xludf.DUMMYFUNCTION("INDEX(FILTER($P371:$AL371, $P371:$AL371 &lt;&gt; """"), 3)"),"SPORTS ANALYTICS (B)")</f>
        <v>SPORTS ANALYTICS (B)</v>
      </c>
      <c r="J371" s="106" t="str">
        <f ca="1">IFERROR(__xludf.DUMMYFUNCTION("IFERROR(INDEX(FILTER($P371:$AL371, $P371:$AL371 &lt;&gt; """"), 4),)"),"Customer Success Management")</f>
        <v>Customer Success Management</v>
      </c>
      <c r="K371" s="106" t="str">
        <f ca="1">IFERROR(__xludf.DUMMYFUNCTION("IFERROR(INDEX(FILTER($P371:$AL371, $P371:$AL371 &lt;&gt; """"), 5),)"),"Industry 4.0 in Transport Sector")</f>
        <v>Industry 4.0 in Transport Sector</v>
      </c>
      <c r="L371" s="107"/>
      <c r="M371" s="107"/>
      <c r="N371" s="107"/>
      <c r="O371" s="107"/>
      <c r="P371" s="132" t="str">
        <f>IF(COUNTIF('Fintech-A'!$A:$A, $C371), P$1, "")</f>
        <v/>
      </c>
      <c r="Q371" s="132" t="str">
        <f>IF(COUNTIF('Fintech-B'!$A:$A, $C371), Q$1, "")</f>
        <v>Fintech (Digital Transformation in Finance) (B)</v>
      </c>
      <c r="R371" s="132" t="str">
        <f>IF(COUNTIF('BEDM-A'!$A:$A, $C371), R$1, "")</f>
        <v/>
      </c>
      <c r="S371" s="132" t="str">
        <f>IF(COUNTIF('BEDM-B'!$A:$A, $C371), S$1, "")</f>
        <v/>
      </c>
      <c r="T371" s="132" t="str">
        <f>IF(COUNTIF('Art-A'!$A:$A, $C371), T$1, "")</f>
        <v/>
      </c>
      <c r="U371" s="132" t="str">
        <f>IF(COUNTIF('Art-B'!$A:$A, $C371), U$1, "")</f>
        <v/>
      </c>
      <c r="V371" s="132" t="str">
        <f>IF(COUNTIF('WH-A'!$A:$A, $C371), V$1, "")</f>
        <v/>
      </c>
      <c r="W371" s="132" t="str">
        <f>IF(COUNTIF('WH-B'!$A:$A, $C371), W$1, "")</f>
        <v/>
      </c>
      <c r="X371" s="132" t="str">
        <f>IF(COUNTIF(LETV!$A:$A, $C371), X$1, "")</f>
        <v/>
      </c>
      <c r="Y371" s="132" t="str">
        <f>IF(COUNTIF('Film&amp;Firm-A'!$A:$A, $C371), Y$1, "")</f>
        <v/>
      </c>
      <c r="Z371" s="132" t="str">
        <f>IF(COUNTIF('Film&amp;Firm-B'!$A:$A, $C371), Z$1, "")</f>
        <v/>
      </c>
      <c r="AA371" s="132" t="str">
        <f>IF(COUNTIF(SHRM!$A:$A, $C371), AA$1, "")</f>
        <v/>
      </c>
      <c r="AB371" s="132" t="str">
        <f>IF(COUNTIF('SCM-A'!$A:$A, $C371), AB$1, "")</f>
        <v/>
      </c>
      <c r="AC371" s="132" t="str">
        <f>IF(COUNTIF('SCM-B'!$A:$A, $C371), AC$1, "")</f>
        <v/>
      </c>
      <c r="AD371" s="132" t="str">
        <f>IF(COUNTIF(AIS!$A:$A, $C371), AD$1, "")</f>
        <v/>
      </c>
      <c r="AE371" s="132" t="str">
        <f>IF(COUNTIF(EB!$A:$A, $C371), AE$1, "")</f>
        <v/>
      </c>
      <c r="AF371" s="132" t="str">
        <f>IF(COUNTIF('AIAM-A'!$A:$A, $C371), AF$1, "")</f>
        <v/>
      </c>
      <c r="AG371" s="132" t="str">
        <f>IF(COUNTIF('AIAM-B'!$A:$A, $C371), AG$1, "")</f>
        <v>AI Applications in Marketing (B)</v>
      </c>
      <c r="AH371" s="132" t="str">
        <f>IF(COUNTIF('SA-A'!$A:$A, $C371), AH$1, "")</f>
        <v/>
      </c>
      <c r="AI371" s="132" t="str">
        <f>IF(COUNTIF('SA-B'!$A:$A, $C371), AI$1, "")</f>
        <v>SPORTS ANALYTICS (B)</v>
      </c>
      <c r="AJ371" s="132" t="str">
        <f>IF(COUNTIF(CSM!$A:$A, $C371), AJ$1, "")</f>
        <v>Customer Success Management</v>
      </c>
      <c r="AK371" s="132" t="str">
        <f>IF(COUNTIF(EM!$A:$A, $C371), AK$1, "")</f>
        <v/>
      </c>
      <c r="AL371" s="132" t="str">
        <f>IF(COUNTIF(I4TS!$A:$A, $C371), AL$1, "")</f>
        <v>Industry 4.0 in Transport Sector</v>
      </c>
    </row>
    <row r="372" spans="1:38" ht="14">
      <c r="A372" s="131">
        <v>371</v>
      </c>
      <c r="B372" s="131" t="s">
        <v>1257</v>
      </c>
      <c r="C372" s="134" t="s">
        <v>1383</v>
      </c>
      <c r="D372" s="139" t="s">
        <v>1384</v>
      </c>
      <c r="E372" s="140" t="s">
        <v>1385</v>
      </c>
      <c r="F372" s="131">
        <f t="shared" ca="1" si="1"/>
        <v>5</v>
      </c>
      <c r="G372" s="106" t="str">
        <f ca="1">IFERROR(__xludf.DUMMYFUNCTION("INDEX(FILTER($P372:$AL372, $P372:$AL372 &lt;&gt; """"), 1)"),"Fintech (Digital Transformation in Finance) (B)")</f>
        <v>Fintech (Digital Transformation in Finance) (B)</v>
      </c>
      <c r="H372" s="106" t="str">
        <f ca="1">IFERROR(__xludf.DUMMYFUNCTION("INDEX(FILTER($P372:$AL372, $P372:$AL372 &lt;&gt; """"), 2)"),"Film &amp; the Firm: Visual Culture in Business Contexts (A)")</f>
        <v>Film &amp; the Firm: Visual Culture in Business Contexts (A)</v>
      </c>
      <c r="I372" s="106" t="str">
        <f ca="1">IFERROR(__xludf.DUMMYFUNCTION("INDEX(FILTER($P372:$AL372, $P372:$AL372 &lt;&gt; """"), 3)"),"SPORTS ANALYTICS (B)")</f>
        <v>SPORTS ANALYTICS (B)</v>
      </c>
      <c r="J372" s="106" t="str">
        <f ca="1">IFERROR(__xludf.DUMMYFUNCTION("IFERROR(INDEX(FILTER($P372:$AL372, $P372:$AL372 &lt;&gt; """"), 4),)"),"")</f>
        <v/>
      </c>
      <c r="K372" s="106" t="str">
        <f ca="1">IFERROR(__xludf.DUMMYFUNCTION("IFERROR(INDEX(FILTER($P372:$AL372, $P372:$AL372 &lt;&gt; """"), 5),)"),"")</f>
        <v/>
      </c>
      <c r="L372" s="107"/>
      <c r="M372" s="107"/>
      <c r="N372" s="107"/>
      <c r="O372" s="107"/>
      <c r="P372" s="132" t="str">
        <f>IF(COUNTIF('Fintech-A'!$A:$A, $C372), P$1, "")</f>
        <v/>
      </c>
      <c r="Q372" s="132" t="str">
        <f>IF(COUNTIF('Fintech-B'!$A:$A, $C372), Q$1, "")</f>
        <v>Fintech (Digital Transformation in Finance) (B)</v>
      </c>
      <c r="R372" s="132" t="str">
        <f>IF(COUNTIF('BEDM-A'!$A:$A, $C372), R$1, "")</f>
        <v/>
      </c>
      <c r="S372" s="132" t="str">
        <f>IF(COUNTIF('BEDM-B'!$A:$A, $C372), S$1, "")</f>
        <v/>
      </c>
      <c r="T372" s="132" t="str">
        <f>IF(COUNTIF('Art-A'!$A:$A, $C372), T$1, "")</f>
        <v/>
      </c>
      <c r="U372" s="132" t="str">
        <f>IF(COUNTIF('Art-B'!$A:$A, $C372), U$1, "")</f>
        <v/>
      </c>
      <c r="V372" s="132" t="str">
        <f>IF(COUNTIF('WH-A'!$A:$A, $C372), V$1, "")</f>
        <v/>
      </c>
      <c r="W372" s="132" t="str">
        <f>IF(COUNTIF('WH-B'!$A:$A, $C372), W$1, "")</f>
        <v/>
      </c>
      <c r="X372" s="132" t="str">
        <f>IF(COUNTIF(LETV!$A:$A, $C372), X$1, "")</f>
        <v/>
      </c>
      <c r="Y372" s="132" t="str">
        <f>IF(COUNTIF('Film&amp;Firm-A'!$A:$A, $C372), Y$1, "")</f>
        <v>Film &amp; the Firm: Visual Culture in Business Contexts (A)</v>
      </c>
      <c r="Z372" s="132" t="str">
        <f>IF(COUNTIF('Film&amp;Firm-B'!$A:$A, $C372), Z$1, "")</f>
        <v/>
      </c>
      <c r="AA372" s="132" t="str">
        <f>IF(COUNTIF(SHRM!$A:$A, $C372), AA$1, "")</f>
        <v/>
      </c>
      <c r="AB372" s="132" t="str">
        <f>IF(COUNTIF('SCM-A'!$A:$A, $C372), AB$1, "")</f>
        <v/>
      </c>
      <c r="AC372" s="132" t="str">
        <f>IF(COUNTIF('SCM-B'!$A:$A, $C372), AC$1, "")</f>
        <v/>
      </c>
      <c r="AD372" s="132" t="str">
        <f>IF(COUNTIF(AIS!$A:$A, $C372), AD$1, "")</f>
        <v/>
      </c>
      <c r="AE372" s="132" t="str">
        <f>IF(COUNTIF(EB!$A:$A, $C372), AE$1, "")</f>
        <v/>
      </c>
      <c r="AF372" s="132" t="str">
        <f>IF(COUNTIF('AIAM-A'!$A:$A, $C372), AF$1, "")</f>
        <v/>
      </c>
      <c r="AG372" s="132" t="str">
        <f>IF(COUNTIF('AIAM-B'!$A:$A, $C372), AG$1, "")</f>
        <v/>
      </c>
      <c r="AH372" s="132" t="str">
        <f>IF(COUNTIF('SA-A'!$A:$A, $C372), AH$1, "")</f>
        <v/>
      </c>
      <c r="AI372" s="132" t="str">
        <f>IF(COUNTIF('SA-B'!$A:$A, $C372), AI$1, "")</f>
        <v>SPORTS ANALYTICS (B)</v>
      </c>
      <c r="AJ372" s="132" t="str">
        <f>IF(COUNTIF(CSM!$A:$A, $C372), AJ$1, "")</f>
        <v/>
      </c>
      <c r="AK372" s="132" t="str">
        <f>IF(COUNTIF(EM!$A:$A, $C372), AK$1, "")</f>
        <v/>
      </c>
      <c r="AL372" s="132" t="str">
        <f>IF(COUNTIF(I4TS!$A:$A, $C372), AL$1, "")</f>
        <v/>
      </c>
    </row>
    <row r="373" spans="1:38" ht="14">
      <c r="A373" s="131">
        <v>372</v>
      </c>
      <c r="B373" s="131" t="s">
        <v>1257</v>
      </c>
      <c r="C373" s="134" t="s">
        <v>188</v>
      </c>
      <c r="D373" s="139" t="s">
        <v>1386</v>
      </c>
      <c r="E373" s="140" t="s">
        <v>1387</v>
      </c>
      <c r="F373" s="131">
        <f t="shared" ca="1" si="1"/>
        <v>5</v>
      </c>
      <c r="G373" s="106" t="str">
        <f ca="1">IFERROR(__xludf.DUMMYFUNCTION("INDEX(FILTER($P373:$AL373, $P373:$AL373 &lt;&gt; """"), 1)"),"Fintech (Digital Transformation in Finance) (A)")</f>
        <v>Fintech (Digital Transformation in Finance) (A)</v>
      </c>
      <c r="H373" s="106" t="str">
        <f ca="1">IFERROR(__xludf.DUMMYFUNCTION("INDEX(FILTER($P373:$AL373, $P373:$AL373 &lt;&gt; """"), 2)"),"The Art, Craft, and Science of Management: Learning through Classics and Best Collections (A)")</f>
        <v>The Art, Craft, and Science of Management: Learning through Classics and Best Collections (A)</v>
      </c>
      <c r="I373" s="106" t="str">
        <f ca="1">IFERROR(__xludf.DUMMYFUNCTION("INDEX(FILTER($P373:$AL373, $P373:$AL373 &lt;&gt; """"), 3)"),"Film &amp; the Firm: Visual Culture in Business Contexts (A)")</f>
        <v>Film &amp; the Firm: Visual Culture in Business Contexts (A)</v>
      </c>
      <c r="J373" s="106" t="str">
        <f ca="1">IFERROR(__xludf.DUMMYFUNCTION("IFERROR(INDEX(FILTER($P373:$AL373, $P373:$AL373 &lt;&gt; """"), 4),)"),"AI Applications in Marketing (B)")</f>
        <v>AI Applications in Marketing (B)</v>
      </c>
      <c r="K373" s="106" t="str">
        <f ca="1">IFERROR(__xludf.DUMMYFUNCTION("IFERROR(INDEX(FILTER($P373:$AL373, $P373:$AL373 &lt;&gt; """"), 5),)"),"SPORTS ANALYTICS (B)")</f>
        <v>SPORTS ANALYTICS (B)</v>
      </c>
      <c r="L373" s="107"/>
      <c r="M373" s="107"/>
      <c r="N373" s="107"/>
      <c r="O373" s="107"/>
      <c r="P373" s="132" t="str">
        <f>IF(COUNTIF('Fintech-A'!$A:$A, $C373), P$1, "")</f>
        <v>Fintech (Digital Transformation in Finance) (A)</v>
      </c>
      <c r="Q373" s="132" t="str">
        <f>IF(COUNTIF('Fintech-B'!$A:$A, $C373), Q$1, "")</f>
        <v/>
      </c>
      <c r="R373" s="132" t="str">
        <f>IF(COUNTIF('BEDM-A'!$A:$A, $C373), R$1, "")</f>
        <v/>
      </c>
      <c r="S373" s="132" t="str">
        <f>IF(COUNTIF('BEDM-B'!$A:$A, $C373), S$1, "")</f>
        <v/>
      </c>
      <c r="T373" s="132" t="str">
        <f>IF(COUNTIF('Art-A'!$A:$A, $C373), T$1, "")</f>
        <v>The Art, Craft, and Science of Management: Learning through Classics and Best Collections (A)</v>
      </c>
      <c r="U373" s="132" t="str">
        <f>IF(COUNTIF('Art-B'!$A:$A, $C373), U$1, "")</f>
        <v/>
      </c>
      <c r="V373" s="132" t="str">
        <f>IF(COUNTIF('WH-A'!$A:$A, $C373), V$1, "")</f>
        <v/>
      </c>
      <c r="W373" s="132" t="str">
        <f>IF(COUNTIF('WH-B'!$A:$A, $C373), W$1, "")</f>
        <v/>
      </c>
      <c r="X373" s="132" t="str">
        <f>IF(COUNTIF(LETV!$A:$A, $C373), X$1, "")</f>
        <v/>
      </c>
      <c r="Y373" s="132" t="str">
        <f>IF(COUNTIF('Film&amp;Firm-A'!$A:$A, $C373), Y$1, "")</f>
        <v>Film &amp; the Firm: Visual Culture in Business Contexts (A)</v>
      </c>
      <c r="Z373" s="132" t="str">
        <f>IF(COUNTIF('Film&amp;Firm-B'!$A:$A, $C373), Z$1, "")</f>
        <v/>
      </c>
      <c r="AA373" s="132" t="str">
        <f>IF(COUNTIF(SHRM!$A:$A, $C373), AA$1, "")</f>
        <v/>
      </c>
      <c r="AB373" s="132" t="str">
        <f>IF(COUNTIF('SCM-A'!$A:$A, $C373), AB$1, "")</f>
        <v/>
      </c>
      <c r="AC373" s="132" t="str">
        <f>IF(COUNTIF('SCM-B'!$A:$A, $C373), AC$1, "")</f>
        <v/>
      </c>
      <c r="AD373" s="132" t="str">
        <f>IF(COUNTIF(AIS!$A:$A, $C373), AD$1, "")</f>
        <v/>
      </c>
      <c r="AE373" s="132" t="str">
        <f>IF(COUNTIF(EB!$A:$A, $C373), AE$1, "")</f>
        <v/>
      </c>
      <c r="AF373" s="132" t="str">
        <f>IF(COUNTIF('AIAM-A'!$A:$A, $C373), AF$1, "")</f>
        <v/>
      </c>
      <c r="AG373" s="132" t="str">
        <f>IF(COUNTIF('AIAM-B'!$A:$A, $C373), AG$1, "")</f>
        <v>AI Applications in Marketing (B)</v>
      </c>
      <c r="AH373" s="132" t="str">
        <f>IF(COUNTIF('SA-A'!$A:$A, $C373), AH$1, "")</f>
        <v/>
      </c>
      <c r="AI373" s="132" t="str">
        <f>IF(COUNTIF('SA-B'!$A:$A, $C373), AI$1, "")</f>
        <v>SPORTS ANALYTICS (B)</v>
      </c>
      <c r="AJ373" s="132" t="str">
        <f>IF(COUNTIF(CSM!$A:$A, $C373), AJ$1, "")</f>
        <v/>
      </c>
      <c r="AK373" s="132" t="str">
        <f>IF(COUNTIF(EM!$A:$A, $C373), AK$1, "")</f>
        <v/>
      </c>
      <c r="AL373" s="132" t="str">
        <f>IF(COUNTIF(I4TS!$A:$A, $C373), AL$1, "")</f>
        <v/>
      </c>
    </row>
    <row r="374" spans="1:38" ht="14">
      <c r="A374" s="131">
        <v>373</v>
      </c>
      <c r="B374" s="131" t="s">
        <v>1257</v>
      </c>
      <c r="C374" s="134" t="s">
        <v>1388</v>
      </c>
      <c r="D374" s="139" t="s">
        <v>1389</v>
      </c>
      <c r="E374" s="140" t="s">
        <v>1390</v>
      </c>
      <c r="F374" s="131">
        <f t="shared" ca="1" si="1"/>
        <v>5</v>
      </c>
      <c r="G374" s="106" t="str">
        <f ca="1">IFERROR(__xludf.DUMMYFUNCTION("INDEX(FILTER($P374:$AL374, $P374:$AL374 &lt;&gt; """"), 1)"),"AI Applications in Marketing (B)")</f>
        <v>AI Applications in Marketing (B)</v>
      </c>
      <c r="H374" s="106" t="str">
        <f ca="1">IFERROR(__xludf.DUMMYFUNCTION("INDEX(FILTER($P374:$AL374, $P374:$AL374 &lt;&gt; """"), 2)"),"SPORTS ANALYTICS (B)")</f>
        <v>SPORTS ANALYTICS (B)</v>
      </c>
      <c r="I374" s="106" t="str">
        <f ca="1">IFERROR(__xludf.DUMMYFUNCTION("INDEX(FILTER($P374:$AL374, $P374:$AL374 &lt;&gt; """"), 3)"),"Industry 4.0 in Transport Sector")</f>
        <v>Industry 4.0 in Transport Sector</v>
      </c>
      <c r="J374" s="106" t="str">
        <f ca="1">IFERROR(__xludf.DUMMYFUNCTION("IFERROR(INDEX(FILTER($P374:$AL374, $P374:$AL374 &lt;&gt; """"), 4),)"),"")</f>
        <v/>
      </c>
      <c r="K374" s="106" t="str">
        <f ca="1">IFERROR(__xludf.DUMMYFUNCTION("IFERROR(INDEX(FILTER($P374:$AL374, $P374:$AL374 &lt;&gt; """"), 5),)"),"")</f>
        <v/>
      </c>
      <c r="L374" s="107"/>
      <c r="M374" s="107"/>
      <c r="N374" s="107"/>
      <c r="O374" s="107"/>
      <c r="P374" s="132" t="str">
        <f>IF(COUNTIF('Fintech-A'!$A:$A, $C374), P$1, "")</f>
        <v/>
      </c>
      <c r="Q374" s="132" t="str">
        <f>IF(COUNTIF('Fintech-B'!$A:$A, $C374), Q$1, "")</f>
        <v/>
      </c>
      <c r="R374" s="132" t="str">
        <f>IF(COUNTIF('BEDM-A'!$A:$A, $C374), R$1, "")</f>
        <v/>
      </c>
      <c r="S374" s="132" t="str">
        <f>IF(COUNTIF('BEDM-B'!$A:$A, $C374), S$1, "")</f>
        <v/>
      </c>
      <c r="T374" s="132" t="str">
        <f>IF(COUNTIF('Art-A'!$A:$A, $C374), T$1, "")</f>
        <v/>
      </c>
      <c r="U374" s="132" t="str">
        <f>IF(COUNTIF('Art-B'!$A:$A, $C374), U$1, "")</f>
        <v/>
      </c>
      <c r="V374" s="132" t="str">
        <f>IF(COUNTIF('WH-A'!$A:$A, $C374), V$1, "")</f>
        <v/>
      </c>
      <c r="W374" s="132" t="str">
        <f>IF(COUNTIF('WH-B'!$A:$A, $C374), W$1, "")</f>
        <v/>
      </c>
      <c r="X374" s="132" t="str">
        <f>IF(COUNTIF(LETV!$A:$A, $C374), X$1, "")</f>
        <v/>
      </c>
      <c r="Y374" s="132" t="str">
        <f>IF(COUNTIF('Film&amp;Firm-A'!$A:$A, $C374), Y$1, "")</f>
        <v/>
      </c>
      <c r="Z374" s="132" t="str">
        <f>IF(COUNTIF('Film&amp;Firm-B'!$A:$A, $C374), Z$1, "")</f>
        <v/>
      </c>
      <c r="AA374" s="132" t="str">
        <f>IF(COUNTIF(SHRM!$A:$A, $C374), AA$1, "")</f>
        <v/>
      </c>
      <c r="AB374" s="132" t="str">
        <f>IF(COUNTIF('SCM-A'!$A:$A, $C374), AB$1, "")</f>
        <v/>
      </c>
      <c r="AC374" s="132" t="str">
        <f>IF(COUNTIF('SCM-B'!$A:$A, $C374), AC$1, "")</f>
        <v/>
      </c>
      <c r="AD374" s="132" t="str">
        <f>IF(COUNTIF(AIS!$A:$A, $C374), AD$1, "")</f>
        <v/>
      </c>
      <c r="AE374" s="132" t="str">
        <f>IF(COUNTIF(EB!$A:$A, $C374), AE$1, "")</f>
        <v/>
      </c>
      <c r="AF374" s="132" t="str">
        <f>IF(COUNTIF('AIAM-A'!$A:$A, $C374), AF$1, "")</f>
        <v/>
      </c>
      <c r="AG374" s="132" t="str">
        <f>IF(COUNTIF('AIAM-B'!$A:$A, $C374), AG$1, "")</f>
        <v>AI Applications in Marketing (B)</v>
      </c>
      <c r="AH374" s="132" t="str">
        <f>IF(COUNTIF('SA-A'!$A:$A, $C374), AH$1, "")</f>
        <v/>
      </c>
      <c r="AI374" s="132" t="str">
        <f>IF(COUNTIF('SA-B'!$A:$A, $C374), AI$1, "")</f>
        <v>SPORTS ANALYTICS (B)</v>
      </c>
      <c r="AJ374" s="132" t="str">
        <f>IF(COUNTIF(CSM!$A:$A, $C374), AJ$1, "")</f>
        <v/>
      </c>
      <c r="AK374" s="132" t="str">
        <f>IF(COUNTIF(EM!$A:$A, $C374), AK$1, "")</f>
        <v/>
      </c>
      <c r="AL374" s="132" t="str">
        <f>IF(COUNTIF(I4TS!$A:$A, $C374), AL$1, "")</f>
        <v>Industry 4.0 in Transport Sector</v>
      </c>
    </row>
    <row r="375" spans="1:38" ht="13">
      <c r="A375" s="131">
        <v>374</v>
      </c>
      <c r="B375" s="131" t="s">
        <v>1257</v>
      </c>
      <c r="C375" s="141" t="s">
        <v>1391</v>
      </c>
      <c r="D375" s="107" t="s">
        <v>1392</v>
      </c>
      <c r="E375" s="106" t="s">
        <v>1393</v>
      </c>
      <c r="F375" s="131">
        <f t="shared" ca="1" si="1"/>
        <v>5</v>
      </c>
      <c r="G375" s="106" t="str">
        <f ca="1">IFERROR(__xludf.DUMMYFUNCTION("INDEX(FILTER($P375:$AL375, $P375:$AL375 &lt;&gt; """"), 1)"),"Fintech (Digital Transformation in Finance) (A)")</f>
        <v>Fintech (Digital Transformation in Finance) (A)</v>
      </c>
      <c r="H375" s="106" t="str">
        <f ca="1">IFERROR(__xludf.DUMMYFUNCTION("INDEX(FILTER($P375:$AL375, $P375:$AL375 &lt;&gt; """"), 2)"),"Film &amp; the Firm: Visual Culture in Business Contexts (A)")</f>
        <v>Film &amp; the Firm: Visual Culture in Business Contexts (A)</v>
      </c>
      <c r="I375" s="106" t="str">
        <f ca="1">IFERROR(__xludf.DUMMYFUNCTION("INDEX(FILTER($P375:$AL375, $P375:$AL375 &lt;&gt; """"), 3)"),"SPORTS ANALYTICS (A)")</f>
        <v>SPORTS ANALYTICS (A)</v>
      </c>
      <c r="J375" s="106" t="str">
        <f ca="1">IFERROR(__xludf.DUMMYFUNCTION("IFERROR(INDEX(FILTER($P375:$AL375, $P375:$AL375 &lt;&gt; """"), 4),)"),"")</f>
        <v/>
      </c>
      <c r="K375" s="106" t="str">
        <f ca="1">IFERROR(__xludf.DUMMYFUNCTION("IFERROR(INDEX(FILTER($P375:$AL375, $P375:$AL375 &lt;&gt; """"), 5),)"),"")</f>
        <v/>
      </c>
      <c r="L375" s="107"/>
      <c r="M375" s="107"/>
      <c r="N375" s="107"/>
      <c r="O375" s="107"/>
      <c r="P375" s="132" t="str">
        <f>IF(COUNTIF('Fintech-A'!$A:$A, $C375), P$1, "")</f>
        <v>Fintech (Digital Transformation in Finance) (A)</v>
      </c>
      <c r="Q375" s="132" t="str">
        <f>IF(COUNTIF('Fintech-B'!$A:$A, $C375), Q$1, "")</f>
        <v/>
      </c>
      <c r="R375" s="132" t="str">
        <f>IF(COUNTIF('BEDM-A'!$A:$A, $C375), R$1, "")</f>
        <v/>
      </c>
      <c r="S375" s="132" t="str">
        <f>IF(COUNTIF('BEDM-B'!$A:$A, $C375), S$1, "")</f>
        <v/>
      </c>
      <c r="T375" s="132" t="str">
        <f>IF(COUNTIF('Art-A'!$A:$A, $C375), T$1, "")</f>
        <v/>
      </c>
      <c r="U375" s="132" t="str">
        <f>IF(COUNTIF('Art-B'!$A:$A, $C375), U$1, "")</f>
        <v/>
      </c>
      <c r="V375" s="132" t="str">
        <f>IF(COUNTIF('WH-A'!$A:$A, $C375), V$1, "")</f>
        <v/>
      </c>
      <c r="W375" s="132" t="str">
        <f>IF(COUNTIF('WH-B'!$A:$A, $C375), W$1, "")</f>
        <v/>
      </c>
      <c r="X375" s="132" t="str">
        <f>IF(COUNTIF(LETV!$A:$A, $C375), X$1, "")</f>
        <v/>
      </c>
      <c r="Y375" s="132" t="str">
        <f>IF(COUNTIF('Film&amp;Firm-A'!$A:$A, $C375), Y$1, "")</f>
        <v>Film &amp; the Firm: Visual Culture in Business Contexts (A)</v>
      </c>
      <c r="Z375" s="132" t="str">
        <f>IF(COUNTIF('Film&amp;Firm-B'!$A:$A, $C375), Z$1, "")</f>
        <v/>
      </c>
      <c r="AA375" s="132" t="str">
        <f>IF(COUNTIF(SHRM!$A:$A, $C375), AA$1, "")</f>
        <v/>
      </c>
      <c r="AB375" s="132" t="str">
        <f>IF(COUNTIF('SCM-A'!$A:$A, $C375), AB$1, "")</f>
        <v/>
      </c>
      <c r="AC375" s="132" t="str">
        <f>IF(COUNTIF('SCM-B'!$A:$A, $C375), AC$1, "")</f>
        <v/>
      </c>
      <c r="AD375" s="132" t="str">
        <f>IF(COUNTIF(AIS!$A:$A, $C375), AD$1, "")</f>
        <v/>
      </c>
      <c r="AE375" s="132" t="str">
        <f>IF(COUNTIF(EB!$A:$A, $C375), AE$1, "")</f>
        <v/>
      </c>
      <c r="AF375" s="132" t="str">
        <f>IF(COUNTIF('AIAM-A'!$A:$A, $C375), AF$1, "")</f>
        <v/>
      </c>
      <c r="AG375" s="132" t="str">
        <f>IF(COUNTIF('AIAM-B'!$A:$A, $C375), AG$1, "")</f>
        <v/>
      </c>
      <c r="AH375" s="132" t="str">
        <f>IF(COUNTIF('SA-A'!$A:$A, $C375), AH$1, "")</f>
        <v>SPORTS ANALYTICS (A)</v>
      </c>
      <c r="AI375" s="132" t="str">
        <f>IF(COUNTIF('SA-B'!$A:$A, $C375), AI$1, "")</f>
        <v/>
      </c>
      <c r="AJ375" s="132" t="str">
        <f>IF(COUNTIF(CSM!$A:$A, $C375), AJ$1, "")</f>
        <v/>
      </c>
      <c r="AK375" s="132" t="str">
        <f>IF(COUNTIF(EM!$A:$A, $C375), AK$1, "")</f>
        <v/>
      </c>
      <c r="AL375" s="132" t="str">
        <f>IF(COUNTIF(I4TS!$A:$A, $C375), AL$1, "")</f>
        <v/>
      </c>
    </row>
    <row r="376" spans="1:38" ht="13">
      <c r="A376" s="131">
        <v>375</v>
      </c>
      <c r="B376" s="131" t="s">
        <v>1257</v>
      </c>
      <c r="C376" s="131" t="s">
        <v>1394</v>
      </c>
      <c r="D376" s="106" t="s">
        <v>1395</v>
      </c>
      <c r="E376" s="106" t="s">
        <v>1396</v>
      </c>
      <c r="F376" s="131">
        <f t="shared" ca="1" si="1"/>
        <v>5</v>
      </c>
      <c r="G376" s="106" t="str">
        <f ca="1">IFERROR(__xludf.DUMMYFUNCTION("INDEX(FILTER($P376:$AL376, $P376:$AL376 &lt;&gt; """"), 1)"),"Film &amp; the Firm: Visual Culture in Business Contexts (A)")</f>
        <v>Film &amp; the Firm: Visual Culture in Business Contexts (A)</v>
      </c>
      <c r="H376" s="106" t="str">
        <f ca="1">IFERROR(__xludf.DUMMYFUNCTION("INDEX(FILTER($P376:$AL376, $P376:$AL376 &lt;&gt; """"), 2)"),"SPORTS ANALYTICS (B)")</f>
        <v>SPORTS ANALYTICS (B)</v>
      </c>
      <c r="I376" s="106" t="str">
        <f ca="1">IFERROR(__xludf.DUMMYFUNCTION("INDEX(FILTER($P376:$AL376, $P376:$AL376 &lt;&gt; """"), 3)"),"Customer Success Management")</f>
        <v>Customer Success Management</v>
      </c>
      <c r="J376" s="106" t="str">
        <f ca="1">IFERROR(__xludf.DUMMYFUNCTION("IFERROR(INDEX(FILTER($P376:$AL376, $P376:$AL376 &lt;&gt; """"), 4),)"),"")</f>
        <v/>
      </c>
      <c r="K376" s="106" t="str">
        <f ca="1">IFERROR(__xludf.DUMMYFUNCTION("IFERROR(INDEX(FILTER($P376:$AL376, $P376:$AL376 &lt;&gt; """"), 5),)"),"")</f>
        <v/>
      </c>
      <c r="L376" s="107"/>
      <c r="M376" s="107"/>
      <c r="N376" s="107"/>
      <c r="O376" s="107"/>
      <c r="P376" s="132" t="str">
        <f>IF(COUNTIF('Fintech-A'!$A:$A, $C376), P$1, "")</f>
        <v/>
      </c>
      <c r="Q376" s="132" t="str">
        <f>IF(COUNTIF('Fintech-B'!$A:$A, $C376), Q$1, "")</f>
        <v/>
      </c>
      <c r="R376" s="132" t="str">
        <f>IF(COUNTIF('BEDM-A'!$A:$A, $C376), R$1, "")</f>
        <v/>
      </c>
      <c r="S376" s="132" t="str">
        <f>IF(COUNTIF('BEDM-B'!$A:$A, $C376), S$1, "")</f>
        <v/>
      </c>
      <c r="T376" s="132" t="str">
        <f>IF(COUNTIF('Art-A'!$A:$A, $C376), T$1, "")</f>
        <v/>
      </c>
      <c r="U376" s="132" t="str">
        <f>IF(COUNTIF('Art-B'!$A:$A, $C376), U$1, "")</f>
        <v/>
      </c>
      <c r="V376" s="132" t="str">
        <f>IF(COUNTIF('WH-A'!$A:$A, $C376), V$1, "")</f>
        <v/>
      </c>
      <c r="W376" s="132" t="str">
        <f>IF(COUNTIF('WH-B'!$A:$A, $C376), W$1, "")</f>
        <v/>
      </c>
      <c r="X376" s="132" t="str">
        <f>IF(COUNTIF(LETV!$A:$A, $C376), X$1, "")</f>
        <v/>
      </c>
      <c r="Y376" s="132" t="str">
        <f>IF(COUNTIF('Film&amp;Firm-A'!$A:$A, $C376), Y$1, "")</f>
        <v>Film &amp; the Firm: Visual Culture in Business Contexts (A)</v>
      </c>
      <c r="Z376" s="132" t="str">
        <f>IF(COUNTIF('Film&amp;Firm-B'!$A:$A, $C376), Z$1, "")</f>
        <v/>
      </c>
      <c r="AA376" s="132" t="str">
        <f>IF(COUNTIF(SHRM!$A:$A, $C376), AA$1, "")</f>
        <v/>
      </c>
      <c r="AB376" s="132" t="str">
        <f>IF(COUNTIF('SCM-A'!$A:$A, $C376), AB$1, "")</f>
        <v/>
      </c>
      <c r="AC376" s="132" t="str">
        <f>IF(COUNTIF('SCM-B'!$A:$A, $C376), AC$1, "")</f>
        <v/>
      </c>
      <c r="AD376" s="132" t="str">
        <f>IF(COUNTIF(AIS!$A:$A, $C376), AD$1, "")</f>
        <v/>
      </c>
      <c r="AE376" s="132" t="str">
        <f>IF(COUNTIF(EB!$A:$A, $C376), AE$1, "")</f>
        <v/>
      </c>
      <c r="AF376" s="132" t="str">
        <f>IF(COUNTIF('AIAM-A'!$A:$A, $C376), AF$1, "")</f>
        <v/>
      </c>
      <c r="AG376" s="132" t="str">
        <f>IF(COUNTIF('AIAM-B'!$A:$A, $C376), AG$1, "")</f>
        <v/>
      </c>
      <c r="AH376" s="132" t="str">
        <f>IF(COUNTIF('SA-A'!$A:$A, $C376), AH$1, "")</f>
        <v/>
      </c>
      <c r="AI376" s="132" t="str">
        <f>IF(COUNTIF('SA-B'!$A:$A, $C376), AI$1, "")</f>
        <v>SPORTS ANALYTICS (B)</v>
      </c>
      <c r="AJ376" s="132" t="str">
        <f>IF(COUNTIF(CSM!$A:$A, $C376), AJ$1, "")</f>
        <v>Customer Success Management</v>
      </c>
      <c r="AK376" s="132" t="str">
        <f>IF(COUNTIF(EM!$A:$A, $C376), AK$1, "")</f>
        <v/>
      </c>
      <c r="AL376" s="132" t="str">
        <f>IF(COUNTIF(I4TS!$A:$A, $C376), AL$1, "")</f>
        <v/>
      </c>
    </row>
    <row r="377" spans="1:38" ht="14">
      <c r="A377" s="131">
        <v>376</v>
      </c>
      <c r="B377" s="131" t="s">
        <v>1397</v>
      </c>
      <c r="C377" s="142" t="s">
        <v>1398</v>
      </c>
      <c r="D377" s="142" t="s">
        <v>1399</v>
      </c>
      <c r="E377" s="140" t="s">
        <v>1400</v>
      </c>
      <c r="F377" s="131">
        <f t="shared" ca="1" si="1"/>
        <v>5</v>
      </c>
      <c r="G377" s="106" t="str">
        <f ca="1">IFERROR(__xludf.DUMMYFUNCTION("INDEX(FILTER($P377:$AL377, $P377:$AL377 &lt;&gt; """"), 1)"),"Workplace Happiness: Science &amp; Practice (B)")</f>
        <v>Workplace Happiness: Science &amp; Practice (B)</v>
      </c>
      <c r="H377" s="106" t="str">
        <f ca="1">IFERROR(__xludf.DUMMYFUNCTION("INDEX(FILTER($P377:$AL377, $P377:$AL377 &lt;&gt; """"), 2)"),"Leadership Excellence Through Values : Wisdom from the Mahabharata")</f>
        <v>Leadership Excellence Through Values : Wisdom from the Mahabharata</v>
      </c>
      <c r="I377" s="106" t="str">
        <f ca="1">IFERROR(__xludf.DUMMYFUNCTION("INDEX(FILTER($P377:$AL377, $P377:$AL377 &lt;&gt; """"), 3)"),"Film &amp; the Firm: Visual Culture in Business Contexts (B)")</f>
        <v>Film &amp; the Firm: Visual Culture in Business Contexts (B)</v>
      </c>
      <c r="J377" s="106" t="str">
        <f ca="1">IFERROR(__xludf.DUMMYFUNCTION("IFERROR(INDEX(FILTER($P377:$AL377, $P377:$AL377 &lt;&gt; """"), 4),)"),"")</f>
        <v/>
      </c>
      <c r="K377" s="106" t="str">
        <f ca="1">IFERROR(__xludf.DUMMYFUNCTION("IFERROR(INDEX(FILTER($P377:$AL377, $P377:$AL377 &lt;&gt; """"), 5),)"),"")</f>
        <v/>
      </c>
      <c r="L377" s="107"/>
      <c r="M377" s="107"/>
      <c r="N377" s="107"/>
      <c r="O377" s="107"/>
      <c r="P377" s="132" t="str">
        <f>IF(COUNTIF('Fintech-A'!$A:$A, $C377), P$1, "")</f>
        <v/>
      </c>
      <c r="Q377" s="132" t="str">
        <f>IF(COUNTIF('Fintech-B'!$A:$A, $C377), Q$1, "")</f>
        <v/>
      </c>
      <c r="R377" s="132" t="str">
        <f>IF(COUNTIF('BEDM-A'!$A:$A, $C377), R$1, "")</f>
        <v/>
      </c>
      <c r="S377" s="132" t="str">
        <f>IF(COUNTIF('BEDM-B'!$A:$A, $C377), S$1, "")</f>
        <v/>
      </c>
      <c r="T377" s="132" t="str">
        <f>IF(COUNTIF('Art-A'!$A:$A, $C377), T$1, "")</f>
        <v/>
      </c>
      <c r="U377" s="132" t="str">
        <f>IF(COUNTIF('Art-B'!$A:$A, $C377), U$1, "")</f>
        <v/>
      </c>
      <c r="V377" s="132" t="str">
        <f>IF(COUNTIF('WH-A'!$A:$A, $C377), V$1, "")</f>
        <v/>
      </c>
      <c r="W377" s="132" t="str">
        <f>IF(COUNTIF('WH-B'!$A:$A, $C377), W$1, "")</f>
        <v>Workplace Happiness: Science &amp; Practice (B)</v>
      </c>
      <c r="X377" s="132" t="str">
        <f>IF(COUNTIF(LETV!$A:$A, $C377), X$1, "")</f>
        <v>Leadership Excellence Through Values : Wisdom from the Mahabharata</v>
      </c>
      <c r="Y377" s="132" t="str">
        <f>IF(COUNTIF('Film&amp;Firm-A'!$A:$A, $C377), Y$1, "")</f>
        <v/>
      </c>
      <c r="Z377" s="132" t="str">
        <f>IF(COUNTIF('Film&amp;Firm-B'!$A:$A, $C377), Z$1, "")</f>
        <v>Film &amp; the Firm: Visual Culture in Business Contexts (B)</v>
      </c>
      <c r="AA377" s="132" t="str">
        <f>IF(COUNTIF(SHRM!$A:$A, $C377), AA$1, "")</f>
        <v/>
      </c>
      <c r="AB377" s="132" t="str">
        <f>IF(COUNTIF('SCM-A'!$A:$A, $C377), AB$1, "")</f>
        <v/>
      </c>
      <c r="AC377" s="132" t="str">
        <f>IF(COUNTIF('SCM-B'!$A:$A, $C377), AC$1, "")</f>
        <v/>
      </c>
      <c r="AD377" s="132" t="str">
        <f>IF(COUNTIF(AIS!$A:$A, $C377), AD$1, "")</f>
        <v/>
      </c>
      <c r="AE377" s="132" t="str">
        <f>IF(COUNTIF(EB!$A:$A, $C377), AE$1, "")</f>
        <v/>
      </c>
      <c r="AF377" s="132" t="str">
        <f>IF(COUNTIF('AIAM-A'!$A:$A, $C377), AF$1, "")</f>
        <v/>
      </c>
      <c r="AG377" s="132" t="str">
        <f>IF(COUNTIF('AIAM-B'!$A:$A, $C377), AG$1, "")</f>
        <v/>
      </c>
      <c r="AH377" s="132" t="str">
        <f>IF(COUNTIF('SA-A'!$A:$A, $C377), AH$1, "")</f>
        <v/>
      </c>
      <c r="AI377" s="132" t="str">
        <f>IF(COUNTIF('SA-B'!$A:$A, $C377), AI$1, "")</f>
        <v/>
      </c>
      <c r="AJ377" s="132" t="str">
        <f>IF(COUNTIF(CSM!$A:$A, $C377), AJ$1, "")</f>
        <v/>
      </c>
      <c r="AK377" s="132" t="str">
        <f>IF(COUNTIF(EM!$A:$A, $C377), AK$1, "")</f>
        <v/>
      </c>
      <c r="AL377" s="132" t="str">
        <f>IF(COUNTIF(I4TS!$A:$A, $C377), AL$1, "")</f>
        <v/>
      </c>
    </row>
    <row r="378" spans="1:38" ht="14">
      <c r="A378" s="131">
        <v>377</v>
      </c>
      <c r="B378" s="131" t="s">
        <v>1397</v>
      </c>
      <c r="C378" s="142" t="s">
        <v>189</v>
      </c>
      <c r="D378" s="142" t="s">
        <v>1401</v>
      </c>
      <c r="E378" s="140" t="s">
        <v>1402</v>
      </c>
      <c r="F378" s="131">
        <f t="shared" ca="1" si="1"/>
        <v>5</v>
      </c>
      <c r="G378" s="106" t="str">
        <f ca="1">IFERROR(__xludf.DUMMYFUNCTION("INDEX(FILTER($P378:$AL378, $P378:$AL378 &lt;&gt; """"), 1)"),"The Art, Craft, and Science of Management: Learning through Classics and Best Collections (B)")</f>
        <v>The Art, Craft, and Science of Management: Learning through Classics and Best Collections (B)</v>
      </c>
      <c r="H378" s="106" t="str">
        <f ca="1">IFERROR(__xludf.DUMMYFUNCTION("INDEX(FILTER($P378:$AL378, $P378:$AL378 &lt;&gt; """"), 2)"),"Strategic HRM")</f>
        <v>Strategic HRM</v>
      </c>
      <c r="I378" s="106" t="str">
        <f ca="1">IFERROR(__xludf.DUMMYFUNCTION("INDEX(FILTER($P378:$AL378, $P378:$AL378 &lt;&gt; """"), 3)"),"Employer Branding")</f>
        <v>Employer Branding</v>
      </c>
      <c r="J378" s="106" t="str">
        <f ca="1">IFERROR(__xludf.DUMMYFUNCTION("IFERROR(INDEX(FILTER($P378:$AL378, $P378:$AL378 &lt;&gt; """"), 4),)"),"")</f>
        <v/>
      </c>
      <c r="K378" s="106" t="str">
        <f ca="1">IFERROR(__xludf.DUMMYFUNCTION("IFERROR(INDEX(FILTER($P378:$AL378, $P378:$AL378 &lt;&gt; """"), 5),)"),"")</f>
        <v/>
      </c>
      <c r="L378" s="107"/>
      <c r="M378" s="107"/>
      <c r="N378" s="107"/>
      <c r="O378" s="107"/>
      <c r="P378" s="132" t="str">
        <f>IF(COUNTIF('Fintech-A'!$A:$A, $C378), P$1, "")</f>
        <v/>
      </c>
      <c r="Q378" s="132" t="str">
        <f>IF(COUNTIF('Fintech-B'!$A:$A, $C378), Q$1, "")</f>
        <v/>
      </c>
      <c r="R378" s="132" t="str">
        <f>IF(COUNTIF('BEDM-A'!$A:$A, $C378), R$1, "")</f>
        <v/>
      </c>
      <c r="S378" s="132" t="str">
        <f>IF(COUNTIF('BEDM-B'!$A:$A, $C378), S$1, "")</f>
        <v/>
      </c>
      <c r="T378" s="132" t="str">
        <f>IF(COUNTIF('Art-A'!$A:$A, $C378), T$1, "")</f>
        <v/>
      </c>
      <c r="U378" s="132" t="str">
        <f>IF(COUNTIF('Art-B'!$A:$A, $C378), U$1, "")</f>
        <v>The Art, Craft, and Science of Management: Learning through Classics and Best Collections (B)</v>
      </c>
      <c r="V378" s="132" t="str">
        <f>IF(COUNTIF('WH-A'!$A:$A, $C378), V$1, "")</f>
        <v/>
      </c>
      <c r="W378" s="132" t="str">
        <f>IF(COUNTIF('WH-B'!$A:$A, $C378), W$1, "")</f>
        <v/>
      </c>
      <c r="X378" s="132" t="str">
        <f>IF(COUNTIF(LETV!$A:$A, $C378), X$1, "")</f>
        <v/>
      </c>
      <c r="Y378" s="132" t="str">
        <f>IF(COUNTIF('Film&amp;Firm-A'!$A:$A, $C378), Y$1, "")</f>
        <v/>
      </c>
      <c r="Z378" s="132" t="str">
        <f>IF(COUNTIF('Film&amp;Firm-B'!$A:$A, $C378), Z$1, "")</f>
        <v/>
      </c>
      <c r="AA378" s="132" t="str">
        <f>IF(COUNTIF(SHRM!$A:$A, $C378), AA$1, "")</f>
        <v>Strategic HRM</v>
      </c>
      <c r="AB378" s="132" t="str">
        <f>IF(COUNTIF('SCM-A'!$A:$A, $C378), AB$1, "")</f>
        <v/>
      </c>
      <c r="AC378" s="132" t="str">
        <f>IF(COUNTIF('SCM-B'!$A:$A, $C378), AC$1, "")</f>
        <v/>
      </c>
      <c r="AD378" s="132" t="str">
        <f>IF(COUNTIF(AIS!$A:$A, $C378), AD$1, "")</f>
        <v/>
      </c>
      <c r="AE378" s="132" t="str">
        <f>IF(COUNTIF(EB!$A:$A, $C378), AE$1, "")</f>
        <v>Employer Branding</v>
      </c>
      <c r="AF378" s="132" t="str">
        <f>IF(COUNTIF('AIAM-A'!$A:$A, $C378), AF$1, "")</f>
        <v/>
      </c>
      <c r="AG378" s="132" t="str">
        <f>IF(COUNTIF('AIAM-B'!$A:$A, $C378), AG$1, "")</f>
        <v/>
      </c>
      <c r="AH378" s="132" t="str">
        <f>IF(COUNTIF('SA-A'!$A:$A, $C378), AH$1, "")</f>
        <v/>
      </c>
      <c r="AI378" s="132" t="str">
        <f>IF(COUNTIF('SA-B'!$A:$A, $C378), AI$1, "")</f>
        <v/>
      </c>
      <c r="AJ378" s="132" t="str">
        <f>IF(COUNTIF(CSM!$A:$A, $C378), AJ$1, "")</f>
        <v/>
      </c>
      <c r="AK378" s="132" t="str">
        <f>IF(COUNTIF(EM!$A:$A, $C378), AK$1, "")</f>
        <v/>
      </c>
      <c r="AL378" s="132" t="str">
        <f>IF(COUNTIF(I4TS!$A:$A, $C378), AL$1, "")</f>
        <v/>
      </c>
    </row>
    <row r="379" spans="1:38" ht="14">
      <c r="A379" s="131">
        <v>378</v>
      </c>
      <c r="B379" s="131" t="s">
        <v>1397</v>
      </c>
      <c r="C379" s="142" t="s">
        <v>190</v>
      </c>
      <c r="D379" s="142" t="s">
        <v>1403</v>
      </c>
      <c r="E379" s="140" t="s">
        <v>1404</v>
      </c>
      <c r="F379" s="131">
        <f t="shared" ca="1" si="1"/>
        <v>5</v>
      </c>
      <c r="G379" s="106" t="str">
        <f ca="1">IFERROR(__xludf.DUMMYFUNCTION("INDEX(FILTER($P379:$AL379, $P379:$AL379 &lt;&gt; """"), 1)"),"The Art, Craft, and Science of Management: Learning through Classics and Best Collections (A)")</f>
        <v>The Art, Craft, and Science of Management: Learning through Classics and Best Collections (A)</v>
      </c>
      <c r="H379" s="106" t="str">
        <f ca="1">IFERROR(__xludf.DUMMYFUNCTION("INDEX(FILTER($P379:$AL379, $P379:$AL379 &lt;&gt; """"), 2)"),"Film &amp; the Firm: Visual Culture in Business Contexts (A)")</f>
        <v>Film &amp; the Firm: Visual Culture in Business Contexts (A)</v>
      </c>
      <c r="I379" s="106" t="str">
        <f ca="1">IFERROR(__xludf.DUMMYFUNCTION("INDEX(FILTER($P379:$AL379, $P379:$AL379 &lt;&gt; """"), 3)"),"Strategic HRM")</f>
        <v>Strategic HRM</v>
      </c>
      <c r="J379" s="106" t="str">
        <f ca="1">IFERROR(__xludf.DUMMYFUNCTION("IFERROR(INDEX(FILTER($P379:$AL379, $P379:$AL379 &lt;&gt; """"), 4),)"),"")</f>
        <v/>
      </c>
      <c r="K379" s="106" t="str">
        <f ca="1">IFERROR(__xludf.DUMMYFUNCTION("IFERROR(INDEX(FILTER($P379:$AL379, $P379:$AL379 &lt;&gt; """"), 5),)"),"")</f>
        <v/>
      </c>
      <c r="L379" s="107"/>
      <c r="M379" s="107"/>
      <c r="N379" s="107"/>
      <c r="O379" s="107"/>
      <c r="P379" s="132" t="str">
        <f>IF(COUNTIF('Fintech-A'!$A:$A, $C379), P$1, "")</f>
        <v/>
      </c>
      <c r="Q379" s="132" t="str">
        <f>IF(COUNTIF('Fintech-B'!$A:$A, $C379), Q$1, "")</f>
        <v/>
      </c>
      <c r="R379" s="132" t="str">
        <f>IF(COUNTIF('BEDM-A'!$A:$A, $C379), R$1, "")</f>
        <v/>
      </c>
      <c r="S379" s="132" t="str">
        <f>IF(COUNTIF('BEDM-B'!$A:$A, $C379), S$1, "")</f>
        <v/>
      </c>
      <c r="T379" s="132" t="str">
        <f>IF(COUNTIF('Art-A'!$A:$A, $C379), T$1, "")</f>
        <v>The Art, Craft, and Science of Management: Learning through Classics and Best Collections (A)</v>
      </c>
      <c r="U379" s="132" t="str">
        <f>IF(COUNTIF('Art-B'!$A:$A, $C379), U$1, "")</f>
        <v/>
      </c>
      <c r="V379" s="132" t="str">
        <f>IF(COUNTIF('WH-A'!$A:$A, $C379), V$1, "")</f>
        <v/>
      </c>
      <c r="W379" s="132" t="str">
        <f>IF(COUNTIF('WH-B'!$A:$A, $C379), W$1, "")</f>
        <v/>
      </c>
      <c r="X379" s="132" t="str">
        <f>IF(COUNTIF(LETV!$A:$A, $C379), X$1, "")</f>
        <v/>
      </c>
      <c r="Y379" s="132" t="str">
        <f>IF(COUNTIF('Film&amp;Firm-A'!$A:$A, $C379), Y$1, "")</f>
        <v>Film &amp; the Firm: Visual Culture in Business Contexts (A)</v>
      </c>
      <c r="Z379" s="132" t="str">
        <f>IF(COUNTIF('Film&amp;Firm-B'!$A:$A, $C379), Z$1, "")</f>
        <v/>
      </c>
      <c r="AA379" s="132" t="str">
        <f>IF(COUNTIF(SHRM!$A:$A, $C379), AA$1, "")</f>
        <v>Strategic HRM</v>
      </c>
      <c r="AB379" s="132" t="str">
        <f>IF(COUNTIF('SCM-A'!$A:$A, $C379), AB$1, "")</f>
        <v/>
      </c>
      <c r="AC379" s="132" t="str">
        <f>IF(COUNTIF('SCM-B'!$A:$A, $C379), AC$1, "")</f>
        <v/>
      </c>
      <c r="AD379" s="132" t="str">
        <f>IF(COUNTIF(AIS!$A:$A, $C379), AD$1, "")</f>
        <v/>
      </c>
      <c r="AE379" s="132" t="str">
        <f>IF(COUNTIF(EB!$A:$A, $C379), AE$1, "")</f>
        <v/>
      </c>
      <c r="AF379" s="132" t="str">
        <f>IF(COUNTIF('AIAM-A'!$A:$A, $C379), AF$1, "")</f>
        <v/>
      </c>
      <c r="AG379" s="132" t="str">
        <f>IF(COUNTIF('AIAM-B'!$A:$A, $C379), AG$1, "")</f>
        <v/>
      </c>
      <c r="AH379" s="132" t="str">
        <f>IF(COUNTIF('SA-A'!$A:$A, $C379), AH$1, "")</f>
        <v/>
      </c>
      <c r="AI379" s="132" t="str">
        <f>IF(COUNTIF('SA-B'!$A:$A, $C379), AI$1, "")</f>
        <v/>
      </c>
      <c r="AJ379" s="132" t="str">
        <f>IF(COUNTIF(CSM!$A:$A, $C379), AJ$1, "")</f>
        <v/>
      </c>
      <c r="AK379" s="132" t="str">
        <f>IF(COUNTIF(EM!$A:$A, $C379), AK$1, "")</f>
        <v/>
      </c>
      <c r="AL379" s="132" t="str">
        <f>IF(COUNTIF(I4TS!$A:$A, $C379), AL$1, "")</f>
        <v/>
      </c>
    </row>
    <row r="380" spans="1:38" ht="14">
      <c r="A380" s="131">
        <v>379</v>
      </c>
      <c r="B380" s="131" t="s">
        <v>1397</v>
      </c>
      <c r="C380" s="142" t="s">
        <v>1405</v>
      </c>
      <c r="D380" s="142" t="s">
        <v>1406</v>
      </c>
      <c r="E380" s="140" t="s">
        <v>1407</v>
      </c>
      <c r="F380" s="131">
        <f t="shared" ca="1" si="1"/>
        <v>5</v>
      </c>
      <c r="G380" s="106" t="str">
        <f ca="1">IFERROR(__xludf.DUMMYFUNCTION("INDEX(FILTER($P380:$AL380, $P380:$AL380 &lt;&gt; """"), 1)"),"The Art, Craft, and Science of Management: Learning through Classics and Best Collections (B)")</f>
        <v>The Art, Craft, and Science of Management: Learning through Classics and Best Collections (B)</v>
      </c>
      <c r="H380" s="106" t="str">
        <f ca="1">IFERROR(__xludf.DUMMYFUNCTION("INDEX(FILTER($P380:$AL380, $P380:$AL380 &lt;&gt; """"), 2)"),"Strategic HRM")</f>
        <v>Strategic HRM</v>
      </c>
      <c r="I380" s="106" t="str">
        <f ca="1">IFERROR(__xludf.DUMMYFUNCTION("INDEX(FILTER($P380:$AL380, $P380:$AL380 &lt;&gt; """"), 3)"),"Employer Branding")</f>
        <v>Employer Branding</v>
      </c>
      <c r="J380" s="106" t="str">
        <f ca="1">IFERROR(__xludf.DUMMYFUNCTION("IFERROR(INDEX(FILTER($P380:$AL380, $P380:$AL380 &lt;&gt; """"), 4),)"),"")</f>
        <v/>
      </c>
      <c r="K380" s="106" t="str">
        <f ca="1">IFERROR(__xludf.DUMMYFUNCTION("IFERROR(INDEX(FILTER($P380:$AL380, $P380:$AL380 &lt;&gt; """"), 5),)"),"")</f>
        <v/>
      </c>
      <c r="L380" s="107"/>
      <c r="M380" s="107"/>
      <c r="N380" s="107"/>
      <c r="O380" s="107"/>
      <c r="P380" s="132" t="str">
        <f>IF(COUNTIF('Fintech-A'!$A:$A, $C380), P$1, "")</f>
        <v/>
      </c>
      <c r="Q380" s="132" t="str">
        <f>IF(COUNTIF('Fintech-B'!$A:$A, $C380), Q$1, "")</f>
        <v/>
      </c>
      <c r="R380" s="132" t="str">
        <f>IF(COUNTIF('BEDM-A'!$A:$A, $C380), R$1, "")</f>
        <v/>
      </c>
      <c r="S380" s="132" t="str">
        <f>IF(COUNTIF('BEDM-B'!$A:$A, $C380), S$1, "")</f>
        <v/>
      </c>
      <c r="T380" s="132" t="str">
        <f>IF(COUNTIF('Art-A'!$A:$A, $C380), T$1, "")</f>
        <v/>
      </c>
      <c r="U380" s="132" t="str">
        <f>IF(COUNTIF('Art-B'!$A:$A, $C380), U$1, "")</f>
        <v>The Art, Craft, and Science of Management: Learning through Classics and Best Collections (B)</v>
      </c>
      <c r="V380" s="132" t="str">
        <f>IF(COUNTIF('WH-A'!$A:$A, $C380), V$1, "")</f>
        <v/>
      </c>
      <c r="W380" s="132" t="str">
        <f>IF(COUNTIF('WH-B'!$A:$A, $C380), W$1, "")</f>
        <v/>
      </c>
      <c r="X380" s="132" t="str">
        <f>IF(COUNTIF(LETV!$A:$A, $C380), X$1, "")</f>
        <v/>
      </c>
      <c r="Y380" s="132" t="str">
        <f>IF(COUNTIF('Film&amp;Firm-A'!$A:$A, $C380), Y$1, "")</f>
        <v/>
      </c>
      <c r="Z380" s="132" t="str">
        <f>IF(COUNTIF('Film&amp;Firm-B'!$A:$A, $C380), Z$1, "")</f>
        <v/>
      </c>
      <c r="AA380" s="132" t="str">
        <f>IF(COUNTIF(SHRM!$A:$A, $C380), AA$1, "")</f>
        <v>Strategic HRM</v>
      </c>
      <c r="AB380" s="132" t="str">
        <f>IF(COUNTIF('SCM-A'!$A:$A, $C380), AB$1, "")</f>
        <v/>
      </c>
      <c r="AC380" s="132" t="str">
        <f>IF(COUNTIF('SCM-B'!$A:$A, $C380), AC$1, "")</f>
        <v/>
      </c>
      <c r="AD380" s="132" t="str">
        <f>IF(COUNTIF(AIS!$A:$A, $C380), AD$1, "")</f>
        <v/>
      </c>
      <c r="AE380" s="132" t="str">
        <f>IF(COUNTIF(EB!$A:$A, $C380), AE$1, "")</f>
        <v>Employer Branding</v>
      </c>
      <c r="AF380" s="132" t="str">
        <f>IF(COUNTIF('AIAM-A'!$A:$A, $C380), AF$1, "")</f>
        <v/>
      </c>
      <c r="AG380" s="132" t="str">
        <f>IF(COUNTIF('AIAM-B'!$A:$A, $C380), AG$1, "")</f>
        <v/>
      </c>
      <c r="AH380" s="132" t="str">
        <f>IF(COUNTIF('SA-A'!$A:$A, $C380), AH$1, "")</f>
        <v/>
      </c>
      <c r="AI380" s="132" t="str">
        <f>IF(COUNTIF('SA-B'!$A:$A, $C380), AI$1, "")</f>
        <v/>
      </c>
      <c r="AJ380" s="132" t="str">
        <f>IF(COUNTIF(CSM!$A:$A, $C380), AJ$1, "")</f>
        <v/>
      </c>
      <c r="AK380" s="132" t="str">
        <f>IF(COUNTIF(EM!$A:$A, $C380), AK$1, "")</f>
        <v/>
      </c>
      <c r="AL380" s="132" t="str">
        <f>IF(COUNTIF(I4TS!$A:$A, $C380), AL$1, "")</f>
        <v/>
      </c>
    </row>
    <row r="381" spans="1:38" ht="14">
      <c r="A381" s="131">
        <v>380</v>
      </c>
      <c r="B381" s="131" t="s">
        <v>1397</v>
      </c>
      <c r="C381" s="142" t="s">
        <v>1408</v>
      </c>
      <c r="D381" s="142" t="s">
        <v>1409</v>
      </c>
      <c r="E381" s="140" t="s">
        <v>1410</v>
      </c>
      <c r="F381" s="131">
        <f t="shared" ca="1" si="1"/>
        <v>5</v>
      </c>
      <c r="G381" s="106" t="str">
        <f ca="1">IFERROR(__xludf.DUMMYFUNCTION("INDEX(FILTER($P381:$AL381, $P381:$AL381 &lt;&gt; """"), 1)"),"Behavioural Economics and Decision-Making (A)")</f>
        <v>Behavioural Economics and Decision-Making (A)</v>
      </c>
      <c r="H381" s="106" t="str">
        <f ca="1">IFERROR(__xludf.DUMMYFUNCTION("INDEX(FILTER($P381:$AL381, $P381:$AL381 &lt;&gt; """"), 2)"),"Workplace Happiness: Science &amp; Practice (B)")</f>
        <v>Workplace Happiness: Science &amp; Practice (B)</v>
      </c>
      <c r="I381" s="106" t="str">
        <f ca="1">IFERROR(__xludf.DUMMYFUNCTION("INDEX(FILTER($P381:$AL381, $P381:$AL381 &lt;&gt; """"), 3)"),"Film &amp; the Firm: Visual Culture in Business Contexts (A)")</f>
        <v>Film &amp; the Firm: Visual Culture in Business Contexts (A)</v>
      </c>
      <c r="J381" s="106" t="str">
        <f ca="1">IFERROR(__xludf.DUMMYFUNCTION("IFERROR(INDEX(FILTER($P381:$AL381, $P381:$AL381 &lt;&gt; """"), 4),)"),"")</f>
        <v/>
      </c>
      <c r="K381" s="106" t="str">
        <f ca="1">IFERROR(__xludf.DUMMYFUNCTION("IFERROR(INDEX(FILTER($P381:$AL381, $P381:$AL381 &lt;&gt; """"), 5),)"),"")</f>
        <v/>
      </c>
      <c r="L381" s="107"/>
      <c r="M381" s="107"/>
      <c r="N381" s="107"/>
      <c r="O381" s="107"/>
      <c r="P381" s="132" t="str">
        <f>IF(COUNTIF('Fintech-A'!$A:$A, $C381), P$1, "")</f>
        <v/>
      </c>
      <c r="Q381" s="132" t="str">
        <f>IF(COUNTIF('Fintech-B'!$A:$A, $C381), Q$1, "")</f>
        <v/>
      </c>
      <c r="R381" s="132" t="str">
        <f>IF(COUNTIF('BEDM-A'!$A:$A, $C381), R$1, "")</f>
        <v>Behavioural Economics and Decision-Making (A)</v>
      </c>
      <c r="S381" s="132" t="str">
        <f>IF(COUNTIF('BEDM-B'!$A:$A, $C381), S$1, "")</f>
        <v/>
      </c>
      <c r="T381" s="132" t="str">
        <f>IF(COUNTIF('Art-A'!$A:$A, $C381), T$1, "")</f>
        <v/>
      </c>
      <c r="U381" s="132" t="str">
        <f>IF(COUNTIF('Art-B'!$A:$A, $C381), U$1, "")</f>
        <v/>
      </c>
      <c r="V381" s="132" t="str">
        <f>IF(COUNTIF('WH-A'!$A:$A, $C381), V$1, "")</f>
        <v/>
      </c>
      <c r="W381" s="132" t="str">
        <f>IF(COUNTIF('WH-B'!$A:$A, $C381), W$1, "")</f>
        <v>Workplace Happiness: Science &amp; Practice (B)</v>
      </c>
      <c r="X381" s="132" t="str">
        <f>IF(COUNTIF(LETV!$A:$A, $C381), X$1, "")</f>
        <v/>
      </c>
      <c r="Y381" s="132" t="str">
        <f>IF(COUNTIF('Film&amp;Firm-A'!$A:$A, $C381), Y$1, "")</f>
        <v>Film &amp; the Firm: Visual Culture in Business Contexts (A)</v>
      </c>
      <c r="Z381" s="132" t="str">
        <f>IF(COUNTIF('Film&amp;Firm-B'!$A:$A, $C381), Z$1, "")</f>
        <v/>
      </c>
      <c r="AA381" s="132" t="str">
        <f>IF(COUNTIF(SHRM!$A:$A, $C381), AA$1, "")</f>
        <v/>
      </c>
      <c r="AB381" s="132" t="str">
        <f>IF(COUNTIF('SCM-A'!$A:$A, $C381), AB$1, "")</f>
        <v/>
      </c>
      <c r="AC381" s="132" t="str">
        <f>IF(COUNTIF('SCM-B'!$A:$A, $C381), AC$1, "")</f>
        <v/>
      </c>
      <c r="AD381" s="132" t="str">
        <f>IF(COUNTIF(AIS!$A:$A, $C381), AD$1, "")</f>
        <v/>
      </c>
      <c r="AE381" s="132" t="str">
        <f>IF(COUNTIF(EB!$A:$A, $C381), AE$1, "")</f>
        <v/>
      </c>
      <c r="AF381" s="132" t="str">
        <f>IF(COUNTIF('AIAM-A'!$A:$A, $C381), AF$1, "")</f>
        <v/>
      </c>
      <c r="AG381" s="132" t="str">
        <f>IF(COUNTIF('AIAM-B'!$A:$A, $C381), AG$1, "")</f>
        <v/>
      </c>
      <c r="AH381" s="132" t="str">
        <f>IF(COUNTIF('SA-A'!$A:$A, $C381), AH$1, "")</f>
        <v/>
      </c>
      <c r="AI381" s="132" t="str">
        <f>IF(COUNTIF('SA-B'!$A:$A, $C381), AI$1, "")</f>
        <v/>
      </c>
      <c r="AJ381" s="132" t="str">
        <f>IF(COUNTIF(CSM!$A:$A, $C381), AJ$1, "")</f>
        <v/>
      </c>
      <c r="AK381" s="132" t="str">
        <f>IF(COUNTIF(EM!$A:$A, $C381), AK$1, "")</f>
        <v/>
      </c>
      <c r="AL381" s="132" t="str">
        <f>IF(COUNTIF(I4TS!$A:$A, $C381), AL$1, "")</f>
        <v/>
      </c>
    </row>
    <row r="382" spans="1:38" ht="14">
      <c r="A382" s="131">
        <v>381</v>
      </c>
      <c r="B382" s="131" t="s">
        <v>1397</v>
      </c>
      <c r="C382" s="142" t="s">
        <v>1411</v>
      </c>
      <c r="D382" s="142" t="s">
        <v>1412</v>
      </c>
      <c r="E382" s="140" t="s">
        <v>1413</v>
      </c>
      <c r="F382" s="131">
        <f t="shared" ca="1" si="1"/>
        <v>5</v>
      </c>
      <c r="G382" s="106" t="str">
        <f ca="1">IFERROR(__xludf.DUMMYFUNCTION("INDEX(FILTER($P382:$AL382, $P382:$AL382 &lt;&gt; """"), 1)"),"Leadership Excellence Through Values : Wisdom from the Mahabharata")</f>
        <v>Leadership Excellence Through Values : Wisdom from the Mahabharata</v>
      </c>
      <c r="H382" s="106" t="str">
        <f ca="1">IFERROR(__xludf.DUMMYFUNCTION("INDEX(FILTER($P382:$AL382, $P382:$AL382 &lt;&gt; """"), 2)"),"Strategic HRM")</f>
        <v>Strategic HRM</v>
      </c>
      <c r="I382" s="106" t="str">
        <f ca="1">IFERROR(__xludf.DUMMYFUNCTION("INDEX(FILTER($P382:$AL382, $P382:$AL382 &lt;&gt; """"), 3)"),"AI AND  STRATEGY")</f>
        <v>AI AND  STRATEGY</v>
      </c>
      <c r="J382" s="106" t="str">
        <f ca="1">IFERROR(__xludf.DUMMYFUNCTION("IFERROR(INDEX(FILTER($P382:$AL382, $P382:$AL382 &lt;&gt; """"), 4),)"),"")</f>
        <v/>
      </c>
      <c r="K382" s="106" t="str">
        <f ca="1">IFERROR(__xludf.DUMMYFUNCTION("IFERROR(INDEX(FILTER($P382:$AL382, $P382:$AL382 &lt;&gt; """"), 5),)"),"")</f>
        <v/>
      </c>
      <c r="L382" s="107"/>
      <c r="M382" s="107"/>
      <c r="N382" s="107"/>
      <c r="O382" s="107"/>
      <c r="P382" s="132" t="str">
        <f>IF(COUNTIF('Fintech-A'!$A:$A, $C382), P$1, "")</f>
        <v/>
      </c>
      <c r="Q382" s="132" t="str">
        <f>IF(COUNTIF('Fintech-B'!$A:$A, $C382), Q$1, "")</f>
        <v/>
      </c>
      <c r="R382" s="132" t="str">
        <f>IF(COUNTIF('BEDM-A'!$A:$A, $C382), R$1, "")</f>
        <v/>
      </c>
      <c r="S382" s="132" t="str">
        <f>IF(COUNTIF('BEDM-B'!$A:$A, $C382), S$1, "")</f>
        <v/>
      </c>
      <c r="T382" s="132" t="str">
        <f>IF(COUNTIF('Art-A'!$A:$A, $C382), T$1, "")</f>
        <v/>
      </c>
      <c r="U382" s="132" t="str">
        <f>IF(COUNTIF('Art-B'!$A:$A, $C382), U$1, "")</f>
        <v/>
      </c>
      <c r="V382" s="132" t="str">
        <f>IF(COUNTIF('WH-A'!$A:$A, $C382), V$1, "")</f>
        <v/>
      </c>
      <c r="W382" s="132" t="str">
        <f>IF(COUNTIF('WH-B'!$A:$A, $C382), W$1, "")</f>
        <v/>
      </c>
      <c r="X382" s="132" t="str">
        <f>IF(COUNTIF(LETV!$A:$A, $C382), X$1, "")</f>
        <v>Leadership Excellence Through Values : Wisdom from the Mahabharata</v>
      </c>
      <c r="Y382" s="132" t="str">
        <f>IF(COUNTIF('Film&amp;Firm-A'!$A:$A, $C382), Y$1, "")</f>
        <v/>
      </c>
      <c r="Z382" s="132" t="str">
        <f>IF(COUNTIF('Film&amp;Firm-B'!$A:$A, $C382), Z$1, "")</f>
        <v/>
      </c>
      <c r="AA382" s="132" t="str">
        <f>IF(COUNTIF(SHRM!$A:$A, $C382), AA$1, "")</f>
        <v>Strategic HRM</v>
      </c>
      <c r="AB382" s="132" t="str">
        <f>IF(COUNTIF('SCM-A'!$A:$A, $C382), AB$1, "")</f>
        <v/>
      </c>
      <c r="AC382" s="132" t="str">
        <f>IF(COUNTIF('SCM-B'!$A:$A, $C382), AC$1, "")</f>
        <v/>
      </c>
      <c r="AD382" s="132" t="str">
        <f>IF(COUNTIF(AIS!$A:$A, $C382), AD$1, "")</f>
        <v>AI AND  STRATEGY</v>
      </c>
      <c r="AE382" s="132" t="str">
        <f>IF(COUNTIF(EB!$A:$A, $C382), AE$1, "")</f>
        <v/>
      </c>
      <c r="AF382" s="132" t="str">
        <f>IF(COUNTIF('AIAM-A'!$A:$A, $C382), AF$1, "")</f>
        <v/>
      </c>
      <c r="AG382" s="132" t="str">
        <f>IF(COUNTIF('AIAM-B'!$A:$A, $C382), AG$1, "")</f>
        <v/>
      </c>
      <c r="AH382" s="132" t="str">
        <f>IF(COUNTIF('SA-A'!$A:$A, $C382), AH$1, "")</f>
        <v/>
      </c>
      <c r="AI382" s="132" t="str">
        <f>IF(COUNTIF('SA-B'!$A:$A, $C382), AI$1, "")</f>
        <v/>
      </c>
      <c r="AJ382" s="132" t="str">
        <f>IF(COUNTIF(CSM!$A:$A, $C382), AJ$1, "")</f>
        <v/>
      </c>
      <c r="AK382" s="132" t="str">
        <f>IF(COUNTIF(EM!$A:$A, $C382), AK$1, "")</f>
        <v/>
      </c>
      <c r="AL382" s="132" t="str">
        <f>IF(COUNTIF(I4TS!$A:$A, $C382), AL$1, "")</f>
        <v/>
      </c>
    </row>
    <row r="383" spans="1:38" ht="14">
      <c r="A383" s="131">
        <v>382</v>
      </c>
      <c r="B383" s="131" t="s">
        <v>1397</v>
      </c>
      <c r="C383" s="142" t="s">
        <v>1414</v>
      </c>
      <c r="D383" s="142" t="s">
        <v>1415</v>
      </c>
      <c r="E383" s="140" t="s">
        <v>1416</v>
      </c>
      <c r="F383" s="131">
        <f t="shared" ca="1" si="1"/>
        <v>5</v>
      </c>
      <c r="G383" s="106" t="str">
        <f ca="1">IFERROR(__xludf.DUMMYFUNCTION("INDEX(FILTER($P383:$AL383, $P383:$AL383 &lt;&gt; """"), 1)"),"The Art, Craft, and Science of Management: Learning through Classics and Best Collections (B)")</f>
        <v>The Art, Craft, and Science of Management: Learning through Classics and Best Collections (B)</v>
      </c>
      <c r="H383" s="106" t="str">
        <f ca="1">IFERROR(__xludf.DUMMYFUNCTION("INDEX(FILTER($P383:$AL383, $P383:$AL383 &lt;&gt; """"), 2)"),"Strategic HRM")</f>
        <v>Strategic HRM</v>
      </c>
      <c r="I383" s="106" t="str">
        <f ca="1">IFERROR(__xludf.DUMMYFUNCTION("INDEX(FILTER($P383:$AL383, $P383:$AL383 &lt;&gt; """"), 3)"),"Employer Branding")</f>
        <v>Employer Branding</v>
      </c>
      <c r="J383" s="106" t="str">
        <f ca="1">IFERROR(__xludf.DUMMYFUNCTION("IFERROR(INDEX(FILTER($P383:$AL383, $P383:$AL383 &lt;&gt; """"), 4),)"),"")</f>
        <v/>
      </c>
      <c r="K383" s="106" t="str">
        <f ca="1">IFERROR(__xludf.DUMMYFUNCTION("IFERROR(INDEX(FILTER($P383:$AL383, $P383:$AL383 &lt;&gt; """"), 5),)"),"")</f>
        <v/>
      </c>
      <c r="L383" s="107"/>
      <c r="M383" s="107"/>
      <c r="N383" s="107"/>
      <c r="O383" s="107"/>
      <c r="P383" s="132" t="str">
        <f>IF(COUNTIF('Fintech-A'!$A:$A, $C383), P$1, "")</f>
        <v/>
      </c>
      <c r="Q383" s="132" t="str">
        <f>IF(COUNTIF('Fintech-B'!$A:$A, $C383), Q$1, "")</f>
        <v/>
      </c>
      <c r="R383" s="132" t="str">
        <f>IF(COUNTIF('BEDM-A'!$A:$A, $C383), R$1, "")</f>
        <v/>
      </c>
      <c r="S383" s="132" t="str">
        <f>IF(COUNTIF('BEDM-B'!$A:$A, $C383), S$1, "")</f>
        <v/>
      </c>
      <c r="T383" s="132" t="str">
        <f>IF(COUNTIF('Art-A'!$A:$A, $C383), T$1, "")</f>
        <v/>
      </c>
      <c r="U383" s="132" t="str">
        <f>IF(COUNTIF('Art-B'!$A:$A, $C383), U$1, "")</f>
        <v>The Art, Craft, and Science of Management: Learning through Classics and Best Collections (B)</v>
      </c>
      <c r="V383" s="132" t="str">
        <f>IF(COUNTIF('WH-A'!$A:$A, $C383), V$1, "")</f>
        <v/>
      </c>
      <c r="W383" s="132" t="str">
        <f>IF(COUNTIF('WH-B'!$A:$A, $C383), W$1, "")</f>
        <v/>
      </c>
      <c r="X383" s="132" t="str">
        <f>IF(COUNTIF(LETV!$A:$A, $C383), X$1, "")</f>
        <v/>
      </c>
      <c r="Y383" s="132" t="str">
        <f>IF(COUNTIF('Film&amp;Firm-A'!$A:$A, $C383), Y$1, "")</f>
        <v/>
      </c>
      <c r="Z383" s="132" t="str">
        <f>IF(COUNTIF('Film&amp;Firm-B'!$A:$A, $C383), Z$1, "")</f>
        <v/>
      </c>
      <c r="AA383" s="132" t="str">
        <f>IF(COUNTIF(SHRM!$A:$A, $C383), AA$1, "")</f>
        <v>Strategic HRM</v>
      </c>
      <c r="AB383" s="132" t="str">
        <f>IF(COUNTIF('SCM-A'!$A:$A, $C383), AB$1, "")</f>
        <v/>
      </c>
      <c r="AC383" s="132" t="str">
        <f>IF(COUNTIF('SCM-B'!$A:$A, $C383), AC$1, "")</f>
        <v/>
      </c>
      <c r="AD383" s="132" t="str">
        <f>IF(COUNTIF(AIS!$A:$A, $C383), AD$1, "")</f>
        <v/>
      </c>
      <c r="AE383" s="132" t="str">
        <f>IF(COUNTIF(EB!$A:$A, $C383), AE$1, "")</f>
        <v>Employer Branding</v>
      </c>
      <c r="AF383" s="132" t="str">
        <f>IF(COUNTIF('AIAM-A'!$A:$A, $C383), AF$1, "")</f>
        <v/>
      </c>
      <c r="AG383" s="132" t="str">
        <f>IF(COUNTIF('AIAM-B'!$A:$A, $C383), AG$1, "")</f>
        <v/>
      </c>
      <c r="AH383" s="132" t="str">
        <f>IF(COUNTIF('SA-A'!$A:$A, $C383), AH$1, "")</f>
        <v/>
      </c>
      <c r="AI383" s="132" t="str">
        <f>IF(COUNTIF('SA-B'!$A:$A, $C383), AI$1, "")</f>
        <v/>
      </c>
      <c r="AJ383" s="132" t="str">
        <f>IF(COUNTIF(CSM!$A:$A, $C383), AJ$1, "")</f>
        <v/>
      </c>
      <c r="AK383" s="132" t="str">
        <f>IF(COUNTIF(EM!$A:$A, $C383), AK$1, "")</f>
        <v/>
      </c>
      <c r="AL383" s="132" t="str">
        <f>IF(COUNTIF(I4TS!$A:$A, $C383), AL$1, "")</f>
        <v/>
      </c>
    </row>
    <row r="384" spans="1:38" ht="14">
      <c r="A384" s="131">
        <v>383</v>
      </c>
      <c r="B384" s="131" t="s">
        <v>1397</v>
      </c>
      <c r="C384" s="142" t="s">
        <v>1417</v>
      </c>
      <c r="D384" s="142" t="s">
        <v>1418</v>
      </c>
      <c r="E384" s="140" t="s">
        <v>1419</v>
      </c>
      <c r="F384" s="131">
        <f t="shared" ca="1" si="1"/>
        <v>5</v>
      </c>
      <c r="G384" s="106" t="str">
        <f ca="1">IFERROR(__xludf.DUMMYFUNCTION("INDEX(FILTER($P384:$AL384, $P384:$AL384 &lt;&gt; """"), 1)"),"Behavioural Economics and Decision-Making (A)")</f>
        <v>Behavioural Economics and Decision-Making (A)</v>
      </c>
      <c r="H384" s="106" t="str">
        <f ca="1">IFERROR(__xludf.DUMMYFUNCTION("INDEX(FILTER($P384:$AL384, $P384:$AL384 &lt;&gt; """"), 2)"),"Strategic Career Management (A)")</f>
        <v>Strategic Career Management (A)</v>
      </c>
      <c r="I384" s="106" t="str">
        <f ca="1">IFERROR(__xludf.DUMMYFUNCTION("INDEX(FILTER($P384:$AL384, $P384:$AL384 &lt;&gt; """"), 3)"),"SPORTS ANALYTICS (B)")</f>
        <v>SPORTS ANALYTICS (B)</v>
      </c>
      <c r="J384" s="106" t="str">
        <f ca="1">IFERROR(__xludf.DUMMYFUNCTION("IFERROR(INDEX(FILTER($P384:$AL384, $P384:$AL384 &lt;&gt; """"), 4),)"),"")</f>
        <v/>
      </c>
      <c r="K384" s="106" t="str">
        <f ca="1">IFERROR(__xludf.DUMMYFUNCTION("IFERROR(INDEX(FILTER($P384:$AL384, $P384:$AL384 &lt;&gt; """"), 5),)"),"")</f>
        <v/>
      </c>
      <c r="L384" s="107"/>
      <c r="M384" s="107"/>
      <c r="N384" s="107"/>
      <c r="O384" s="107"/>
      <c r="P384" s="132" t="str">
        <f>IF(COUNTIF('Fintech-A'!$A:$A, $C384), P$1, "")</f>
        <v/>
      </c>
      <c r="Q384" s="132" t="str">
        <f>IF(COUNTIF('Fintech-B'!$A:$A, $C384), Q$1, "")</f>
        <v/>
      </c>
      <c r="R384" s="132" t="str">
        <f>IF(COUNTIF('BEDM-A'!$A:$A, $C384), R$1, "")</f>
        <v>Behavioural Economics and Decision-Making (A)</v>
      </c>
      <c r="S384" s="132" t="str">
        <f>IF(COUNTIF('BEDM-B'!$A:$A, $C384), S$1, "")</f>
        <v/>
      </c>
      <c r="T384" s="132" t="str">
        <f>IF(COUNTIF('Art-A'!$A:$A, $C384), T$1, "")</f>
        <v/>
      </c>
      <c r="U384" s="132" t="str">
        <f>IF(COUNTIF('Art-B'!$A:$A, $C384), U$1, "")</f>
        <v/>
      </c>
      <c r="V384" s="132" t="str">
        <f>IF(COUNTIF('WH-A'!$A:$A, $C384), V$1, "")</f>
        <v/>
      </c>
      <c r="W384" s="132" t="str">
        <f>IF(COUNTIF('WH-B'!$A:$A, $C384), W$1, "")</f>
        <v/>
      </c>
      <c r="X384" s="132" t="str">
        <f>IF(COUNTIF(LETV!$A:$A, $C384), X$1, "")</f>
        <v/>
      </c>
      <c r="Y384" s="132" t="str">
        <f>IF(COUNTIF('Film&amp;Firm-A'!$A:$A, $C384), Y$1, "")</f>
        <v/>
      </c>
      <c r="Z384" s="132" t="str">
        <f>IF(COUNTIF('Film&amp;Firm-B'!$A:$A, $C384), Z$1, "")</f>
        <v/>
      </c>
      <c r="AA384" s="132" t="str">
        <f>IF(COUNTIF(SHRM!$A:$A, $C384), AA$1, "")</f>
        <v/>
      </c>
      <c r="AB384" s="132" t="str">
        <f>IF(COUNTIF('SCM-A'!$A:$A, $C384), AB$1, "")</f>
        <v>Strategic Career Management (A)</v>
      </c>
      <c r="AC384" s="132" t="str">
        <f>IF(COUNTIF('SCM-B'!$A:$A, $C384), AC$1, "")</f>
        <v/>
      </c>
      <c r="AD384" s="132" t="str">
        <f>IF(COUNTIF(AIS!$A:$A, $C384), AD$1, "")</f>
        <v/>
      </c>
      <c r="AE384" s="132" t="str">
        <f>IF(COUNTIF(EB!$A:$A, $C384), AE$1, "")</f>
        <v/>
      </c>
      <c r="AF384" s="132" t="str">
        <f>IF(COUNTIF('AIAM-A'!$A:$A, $C384), AF$1, "")</f>
        <v/>
      </c>
      <c r="AG384" s="132" t="str">
        <f>IF(COUNTIF('AIAM-B'!$A:$A, $C384), AG$1, "")</f>
        <v/>
      </c>
      <c r="AH384" s="132" t="str">
        <f>IF(COUNTIF('SA-A'!$A:$A, $C384), AH$1, "")</f>
        <v/>
      </c>
      <c r="AI384" s="132" t="str">
        <f>IF(COUNTIF('SA-B'!$A:$A, $C384), AI$1, "")</f>
        <v>SPORTS ANALYTICS (B)</v>
      </c>
      <c r="AJ384" s="132" t="str">
        <f>IF(COUNTIF(CSM!$A:$A, $C384), AJ$1, "")</f>
        <v/>
      </c>
      <c r="AK384" s="132" t="str">
        <f>IF(COUNTIF(EM!$A:$A, $C384), AK$1, "")</f>
        <v/>
      </c>
      <c r="AL384" s="132" t="str">
        <f>IF(COUNTIF(I4TS!$A:$A, $C384), AL$1, "")</f>
        <v/>
      </c>
    </row>
    <row r="385" spans="1:38" ht="14">
      <c r="A385" s="131">
        <v>384</v>
      </c>
      <c r="B385" s="131" t="s">
        <v>1397</v>
      </c>
      <c r="C385" s="142" t="s">
        <v>1420</v>
      </c>
      <c r="D385" s="142" t="s">
        <v>1421</v>
      </c>
      <c r="E385" s="140" t="s">
        <v>1422</v>
      </c>
      <c r="F385" s="131">
        <f t="shared" ca="1" si="1"/>
        <v>5</v>
      </c>
      <c r="G385" s="106" t="str">
        <f ca="1">IFERROR(__xludf.DUMMYFUNCTION("INDEX(FILTER($P385:$AL385, $P385:$AL385 &lt;&gt; """"), 1)"),"The Art, Craft, and Science of Management: Learning through Classics and Best Collections (B)")</f>
        <v>The Art, Craft, and Science of Management: Learning through Classics and Best Collections (B)</v>
      </c>
      <c r="H385" s="106" t="str">
        <f ca="1">IFERROR(__xludf.DUMMYFUNCTION("INDEX(FILTER($P385:$AL385, $P385:$AL385 &lt;&gt; """"), 2)"),"Strategic HRM")</f>
        <v>Strategic HRM</v>
      </c>
      <c r="I385" s="106" t="str">
        <f ca="1">IFERROR(__xludf.DUMMYFUNCTION("INDEX(FILTER($P385:$AL385, $P385:$AL385 &lt;&gt; """"), 3)"),"Employer Branding")</f>
        <v>Employer Branding</v>
      </c>
      <c r="J385" s="106" t="str">
        <f ca="1">IFERROR(__xludf.DUMMYFUNCTION("IFERROR(INDEX(FILTER($P385:$AL385, $P385:$AL385 &lt;&gt; """"), 4),)"),"")</f>
        <v/>
      </c>
      <c r="K385" s="106" t="str">
        <f ca="1">IFERROR(__xludf.DUMMYFUNCTION("IFERROR(INDEX(FILTER($P385:$AL385, $P385:$AL385 &lt;&gt; """"), 5),)"),"")</f>
        <v/>
      </c>
      <c r="L385" s="107"/>
      <c r="M385" s="107"/>
      <c r="N385" s="107"/>
      <c r="O385" s="107"/>
      <c r="P385" s="132" t="str">
        <f>IF(COUNTIF('Fintech-A'!$A:$A, $C385), P$1, "")</f>
        <v/>
      </c>
      <c r="Q385" s="132" t="str">
        <f>IF(COUNTIF('Fintech-B'!$A:$A, $C385), Q$1, "")</f>
        <v/>
      </c>
      <c r="R385" s="132" t="str">
        <f>IF(COUNTIF('BEDM-A'!$A:$A, $C385), R$1, "")</f>
        <v/>
      </c>
      <c r="S385" s="132" t="str">
        <f>IF(COUNTIF('BEDM-B'!$A:$A, $C385), S$1, "")</f>
        <v/>
      </c>
      <c r="T385" s="132" t="str">
        <f>IF(COUNTIF('Art-A'!$A:$A, $C385), T$1, "")</f>
        <v/>
      </c>
      <c r="U385" s="132" t="str">
        <f>IF(COUNTIF('Art-B'!$A:$A, $C385), U$1, "")</f>
        <v>The Art, Craft, and Science of Management: Learning through Classics and Best Collections (B)</v>
      </c>
      <c r="V385" s="132" t="str">
        <f>IF(COUNTIF('WH-A'!$A:$A, $C385), V$1, "")</f>
        <v/>
      </c>
      <c r="W385" s="132" t="str">
        <f>IF(COUNTIF('WH-B'!$A:$A, $C385), W$1, "")</f>
        <v/>
      </c>
      <c r="X385" s="132" t="str">
        <f>IF(COUNTIF(LETV!$A:$A, $C385), X$1, "")</f>
        <v/>
      </c>
      <c r="Y385" s="132" t="str">
        <f>IF(COUNTIF('Film&amp;Firm-A'!$A:$A, $C385), Y$1, "")</f>
        <v/>
      </c>
      <c r="Z385" s="132" t="str">
        <f>IF(COUNTIF('Film&amp;Firm-B'!$A:$A, $C385), Z$1, "")</f>
        <v/>
      </c>
      <c r="AA385" s="132" t="str">
        <f>IF(COUNTIF(SHRM!$A:$A, $C385), AA$1, "")</f>
        <v>Strategic HRM</v>
      </c>
      <c r="AB385" s="132" t="str">
        <f>IF(COUNTIF('SCM-A'!$A:$A, $C385), AB$1, "")</f>
        <v/>
      </c>
      <c r="AC385" s="132" t="str">
        <f>IF(COUNTIF('SCM-B'!$A:$A, $C385), AC$1, "")</f>
        <v/>
      </c>
      <c r="AD385" s="132" t="str">
        <f>IF(COUNTIF(AIS!$A:$A, $C385), AD$1, "")</f>
        <v/>
      </c>
      <c r="AE385" s="132" t="str">
        <f>IF(COUNTIF(EB!$A:$A, $C385), AE$1, "")</f>
        <v>Employer Branding</v>
      </c>
      <c r="AF385" s="132" t="str">
        <f>IF(COUNTIF('AIAM-A'!$A:$A, $C385), AF$1, "")</f>
        <v/>
      </c>
      <c r="AG385" s="132" t="str">
        <f>IF(COUNTIF('AIAM-B'!$A:$A, $C385), AG$1, "")</f>
        <v/>
      </c>
      <c r="AH385" s="132" t="str">
        <f>IF(COUNTIF('SA-A'!$A:$A, $C385), AH$1, "")</f>
        <v/>
      </c>
      <c r="AI385" s="132" t="str">
        <f>IF(COUNTIF('SA-B'!$A:$A, $C385), AI$1, "")</f>
        <v/>
      </c>
      <c r="AJ385" s="132" t="str">
        <f>IF(COUNTIF(CSM!$A:$A, $C385), AJ$1, "")</f>
        <v/>
      </c>
      <c r="AK385" s="132" t="str">
        <f>IF(COUNTIF(EM!$A:$A, $C385), AK$1, "")</f>
        <v/>
      </c>
      <c r="AL385" s="132" t="str">
        <f>IF(COUNTIF(I4TS!$A:$A, $C385), AL$1, "")</f>
        <v/>
      </c>
    </row>
    <row r="386" spans="1:38" ht="14">
      <c r="A386" s="131">
        <v>385</v>
      </c>
      <c r="B386" s="131" t="s">
        <v>1397</v>
      </c>
      <c r="C386" s="142" t="s">
        <v>1423</v>
      </c>
      <c r="D386" s="142" t="s">
        <v>1424</v>
      </c>
      <c r="E386" s="140" t="s">
        <v>1425</v>
      </c>
      <c r="F386" s="131">
        <f t="shared" ca="1" si="1"/>
        <v>5</v>
      </c>
      <c r="G386" s="106" t="str">
        <f ca="1">IFERROR(__xludf.DUMMYFUNCTION("INDEX(FILTER($P386:$AL386, $P386:$AL386 &lt;&gt; """"), 1)"),"Workplace Happiness: Science &amp; Practice (A)")</f>
        <v>Workplace Happiness: Science &amp; Practice (A)</v>
      </c>
      <c r="H386" s="106" t="str">
        <f ca="1">IFERROR(__xludf.DUMMYFUNCTION("INDEX(FILTER($P386:$AL386, $P386:$AL386 &lt;&gt; """"), 2)"),"Leadership Excellence Through Values : Wisdom from the Mahabharata")</f>
        <v>Leadership Excellence Through Values : Wisdom from the Mahabharata</v>
      </c>
      <c r="I386" s="106" t="str">
        <f ca="1">IFERROR(__xludf.DUMMYFUNCTION("INDEX(FILTER($P386:$AL386, $P386:$AL386 &lt;&gt; """"), 3)"),"Strategic Career Management (B)")</f>
        <v>Strategic Career Management (B)</v>
      </c>
      <c r="J386" s="106" t="str">
        <f ca="1">IFERROR(__xludf.DUMMYFUNCTION("IFERROR(INDEX(FILTER($P386:$AL386, $P386:$AL386 &lt;&gt; """"), 4),)"),"")</f>
        <v/>
      </c>
      <c r="K386" s="106" t="str">
        <f ca="1">IFERROR(__xludf.DUMMYFUNCTION("IFERROR(INDEX(FILTER($P386:$AL386, $P386:$AL386 &lt;&gt; """"), 5),)"),"")</f>
        <v/>
      </c>
      <c r="L386" s="107"/>
      <c r="M386" s="107"/>
      <c r="N386" s="107"/>
      <c r="O386" s="107"/>
      <c r="P386" s="132" t="str">
        <f>IF(COUNTIF('Fintech-A'!$A:$A, $C386), P$1, "")</f>
        <v/>
      </c>
      <c r="Q386" s="132" t="str">
        <f>IF(COUNTIF('Fintech-B'!$A:$A, $C386), Q$1, "")</f>
        <v/>
      </c>
      <c r="R386" s="132" t="str">
        <f>IF(COUNTIF('BEDM-A'!$A:$A, $C386), R$1, "")</f>
        <v/>
      </c>
      <c r="S386" s="132" t="str">
        <f>IF(COUNTIF('BEDM-B'!$A:$A, $C386), S$1, "")</f>
        <v/>
      </c>
      <c r="T386" s="132" t="str">
        <f>IF(COUNTIF('Art-A'!$A:$A, $C386), T$1, "")</f>
        <v/>
      </c>
      <c r="U386" s="132" t="str">
        <f>IF(COUNTIF('Art-B'!$A:$A, $C386), U$1, "")</f>
        <v/>
      </c>
      <c r="V386" s="132" t="str">
        <f>IF(COUNTIF('WH-A'!$A:$A, $C386), V$1, "")</f>
        <v>Workplace Happiness: Science &amp; Practice (A)</v>
      </c>
      <c r="W386" s="132" t="str">
        <f>IF(COUNTIF('WH-B'!$A:$A, $C386), W$1, "")</f>
        <v/>
      </c>
      <c r="X386" s="132" t="str">
        <f>IF(COUNTIF(LETV!$A:$A, $C386), X$1, "")</f>
        <v>Leadership Excellence Through Values : Wisdom from the Mahabharata</v>
      </c>
      <c r="Y386" s="132" t="str">
        <f>IF(COUNTIF('Film&amp;Firm-A'!$A:$A, $C386), Y$1, "")</f>
        <v/>
      </c>
      <c r="Z386" s="132" t="str">
        <f>IF(COUNTIF('Film&amp;Firm-B'!$A:$A, $C386), Z$1, "")</f>
        <v/>
      </c>
      <c r="AA386" s="132" t="str">
        <f>IF(COUNTIF(SHRM!$A:$A, $C386), AA$1, "")</f>
        <v/>
      </c>
      <c r="AB386" s="132" t="str">
        <f>IF(COUNTIF('SCM-A'!$A:$A, $C386), AB$1, "")</f>
        <v/>
      </c>
      <c r="AC386" s="132" t="str">
        <f>IF(COUNTIF('SCM-B'!$A:$A, $C386), AC$1, "")</f>
        <v>Strategic Career Management (B)</v>
      </c>
      <c r="AD386" s="132" t="str">
        <f>IF(COUNTIF(AIS!$A:$A, $C386), AD$1, "")</f>
        <v/>
      </c>
      <c r="AE386" s="132" t="str">
        <f>IF(COUNTIF(EB!$A:$A, $C386), AE$1, "")</f>
        <v/>
      </c>
      <c r="AF386" s="132" t="str">
        <f>IF(COUNTIF('AIAM-A'!$A:$A, $C386), AF$1, "")</f>
        <v/>
      </c>
      <c r="AG386" s="132" t="str">
        <f>IF(COUNTIF('AIAM-B'!$A:$A, $C386), AG$1, "")</f>
        <v/>
      </c>
      <c r="AH386" s="132" t="str">
        <f>IF(COUNTIF('SA-A'!$A:$A, $C386), AH$1, "")</f>
        <v/>
      </c>
      <c r="AI386" s="132" t="str">
        <f>IF(COUNTIF('SA-B'!$A:$A, $C386), AI$1, "")</f>
        <v/>
      </c>
      <c r="AJ386" s="132" t="str">
        <f>IF(COUNTIF(CSM!$A:$A, $C386), AJ$1, "")</f>
        <v/>
      </c>
      <c r="AK386" s="132" t="str">
        <f>IF(COUNTIF(EM!$A:$A, $C386), AK$1, "")</f>
        <v/>
      </c>
      <c r="AL386" s="132" t="str">
        <f>IF(COUNTIF(I4TS!$A:$A, $C386), AL$1, "")</f>
        <v/>
      </c>
    </row>
    <row r="387" spans="1:38" ht="14">
      <c r="A387" s="131">
        <v>386</v>
      </c>
      <c r="B387" s="131" t="s">
        <v>1397</v>
      </c>
      <c r="C387" s="142" t="s">
        <v>191</v>
      </c>
      <c r="D387" s="142" t="s">
        <v>1426</v>
      </c>
      <c r="E387" s="140" t="s">
        <v>1427</v>
      </c>
      <c r="F387" s="131">
        <f t="shared" ca="1" si="1"/>
        <v>5</v>
      </c>
      <c r="G387" s="106" t="str">
        <f ca="1">IFERROR(__xludf.DUMMYFUNCTION("INDEX(FILTER($P387:$AL387, $P387:$AL387 &lt;&gt; """"), 1)"),"Film &amp; the Firm: Visual Culture in Business Contexts (A)")</f>
        <v>Film &amp; the Firm: Visual Culture in Business Contexts (A)</v>
      </c>
      <c r="H387" s="106" t="str">
        <f ca="1">IFERROR(__xludf.DUMMYFUNCTION("INDEX(FILTER($P387:$AL387, $P387:$AL387 &lt;&gt; """"), 2)"),"Strategic HRM")</f>
        <v>Strategic HRM</v>
      </c>
      <c r="I387" s="106" t="str">
        <f ca="1">IFERROR(__xludf.DUMMYFUNCTION("INDEX(FILTER($P387:$AL387, $P387:$AL387 &lt;&gt; """"), 3)"),"Employer Branding")</f>
        <v>Employer Branding</v>
      </c>
      <c r="J387" s="106" t="str">
        <f ca="1">IFERROR(__xludf.DUMMYFUNCTION("IFERROR(INDEX(FILTER($P387:$AL387, $P387:$AL387 &lt;&gt; """"), 4),)"),"")</f>
        <v/>
      </c>
      <c r="K387" s="106" t="str">
        <f ca="1">IFERROR(__xludf.DUMMYFUNCTION("IFERROR(INDEX(FILTER($P387:$AL387, $P387:$AL387 &lt;&gt; """"), 5),)"),"")</f>
        <v/>
      </c>
      <c r="L387" s="107"/>
      <c r="M387" s="107"/>
      <c r="N387" s="107"/>
      <c r="O387" s="107"/>
      <c r="P387" s="132" t="str">
        <f>IF(COUNTIF('Fintech-A'!$A:$A, $C387), P$1, "")</f>
        <v/>
      </c>
      <c r="Q387" s="132" t="str">
        <f>IF(COUNTIF('Fintech-B'!$A:$A, $C387), Q$1, "")</f>
        <v/>
      </c>
      <c r="R387" s="132" t="str">
        <f>IF(COUNTIF('BEDM-A'!$A:$A, $C387), R$1, "")</f>
        <v/>
      </c>
      <c r="S387" s="132" t="str">
        <f>IF(COUNTIF('BEDM-B'!$A:$A, $C387), S$1, "")</f>
        <v/>
      </c>
      <c r="T387" s="132" t="str">
        <f>IF(COUNTIF('Art-A'!$A:$A, $C387), T$1, "")</f>
        <v/>
      </c>
      <c r="U387" s="132" t="str">
        <f>IF(COUNTIF('Art-B'!$A:$A, $C387), U$1, "")</f>
        <v/>
      </c>
      <c r="V387" s="132" t="str">
        <f>IF(COUNTIF('WH-A'!$A:$A, $C387), V$1, "")</f>
        <v/>
      </c>
      <c r="W387" s="132" t="str">
        <f>IF(COUNTIF('WH-B'!$A:$A, $C387), W$1, "")</f>
        <v/>
      </c>
      <c r="X387" s="132" t="str">
        <f>IF(COUNTIF(LETV!$A:$A, $C387), X$1, "")</f>
        <v/>
      </c>
      <c r="Y387" s="132" t="str">
        <f>IF(COUNTIF('Film&amp;Firm-A'!$A:$A, $C387), Y$1, "")</f>
        <v>Film &amp; the Firm: Visual Culture in Business Contexts (A)</v>
      </c>
      <c r="Z387" s="132" t="str">
        <f>IF(COUNTIF('Film&amp;Firm-B'!$A:$A, $C387), Z$1, "")</f>
        <v/>
      </c>
      <c r="AA387" s="132" t="str">
        <f>IF(COUNTIF(SHRM!$A:$A, $C387), AA$1, "")</f>
        <v>Strategic HRM</v>
      </c>
      <c r="AB387" s="132" t="str">
        <f>IF(COUNTIF('SCM-A'!$A:$A, $C387), AB$1, "")</f>
        <v/>
      </c>
      <c r="AC387" s="132" t="str">
        <f>IF(COUNTIF('SCM-B'!$A:$A, $C387), AC$1, "")</f>
        <v/>
      </c>
      <c r="AD387" s="132" t="str">
        <f>IF(COUNTIF(AIS!$A:$A, $C387), AD$1, "")</f>
        <v/>
      </c>
      <c r="AE387" s="132" t="str">
        <f>IF(COUNTIF(EB!$A:$A, $C387), AE$1, "")</f>
        <v>Employer Branding</v>
      </c>
      <c r="AF387" s="132" t="str">
        <f>IF(COUNTIF('AIAM-A'!$A:$A, $C387), AF$1, "")</f>
        <v/>
      </c>
      <c r="AG387" s="132" t="str">
        <f>IF(COUNTIF('AIAM-B'!$A:$A, $C387), AG$1, "")</f>
        <v/>
      </c>
      <c r="AH387" s="132" t="str">
        <f>IF(COUNTIF('SA-A'!$A:$A, $C387), AH$1, "")</f>
        <v/>
      </c>
      <c r="AI387" s="132" t="str">
        <f>IF(COUNTIF('SA-B'!$A:$A, $C387), AI$1, "")</f>
        <v/>
      </c>
      <c r="AJ387" s="132" t="str">
        <f>IF(COUNTIF(CSM!$A:$A, $C387), AJ$1, "")</f>
        <v/>
      </c>
      <c r="AK387" s="132" t="str">
        <f>IF(COUNTIF(EM!$A:$A, $C387), AK$1, "")</f>
        <v/>
      </c>
      <c r="AL387" s="132" t="str">
        <f>IF(COUNTIF(I4TS!$A:$A, $C387), AL$1, "")</f>
        <v/>
      </c>
    </row>
    <row r="388" spans="1:38" ht="14">
      <c r="A388" s="131">
        <v>387</v>
      </c>
      <c r="B388" s="131" t="s">
        <v>1397</v>
      </c>
      <c r="C388" s="142" t="s">
        <v>1428</v>
      </c>
      <c r="D388" s="142" t="s">
        <v>1429</v>
      </c>
      <c r="E388" s="140" t="s">
        <v>1430</v>
      </c>
      <c r="F388" s="131">
        <f t="shared" ca="1" si="1"/>
        <v>5</v>
      </c>
      <c r="G388" s="106" t="str">
        <f ca="1">IFERROR(__xludf.DUMMYFUNCTION("INDEX(FILTER($P388:$AL388, $P388:$AL388 &lt;&gt; """"), 1)"),"Strategic Career Management (A)")</f>
        <v>Strategic Career Management (A)</v>
      </c>
      <c r="H388" s="106" t="str">
        <f ca="1">IFERROR(__xludf.DUMMYFUNCTION("INDEX(FILTER($P388:$AL388, $P388:$AL388 &lt;&gt; """"), 2)"),"Employer Branding")</f>
        <v>Employer Branding</v>
      </c>
      <c r="I388" s="106" t="str">
        <f ca="1">IFERROR(__xludf.DUMMYFUNCTION("INDEX(FILTER($P388:$AL388, $P388:$AL388 &lt;&gt; """"), 3)"),"SPORTS ANALYTICS (B)")</f>
        <v>SPORTS ANALYTICS (B)</v>
      </c>
      <c r="J388" s="106" t="str">
        <f ca="1">IFERROR(__xludf.DUMMYFUNCTION("IFERROR(INDEX(FILTER($P388:$AL388, $P388:$AL388 &lt;&gt; """"), 4),)"),"")</f>
        <v/>
      </c>
      <c r="K388" s="106" t="str">
        <f ca="1">IFERROR(__xludf.DUMMYFUNCTION("IFERROR(INDEX(FILTER($P388:$AL388, $P388:$AL388 &lt;&gt; """"), 5),)"),"")</f>
        <v/>
      </c>
      <c r="L388" s="107"/>
      <c r="M388" s="107"/>
      <c r="N388" s="107"/>
      <c r="O388" s="107"/>
      <c r="P388" s="132" t="str">
        <f>IF(COUNTIF('Fintech-A'!$A:$A, $C388), P$1, "")</f>
        <v/>
      </c>
      <c r="Q388" s="132" t="str">
        <f>IF(COUNTIF('Fintech-B'!$A:$A, $C388), Q$1, "")</f>
        <v/>
      </c>
      <c r="R388" s="132" t="str">
        <f>IF(COUNTIF('BEDM-A'!$A:$A, $C388), R$1, "")</f>
        <v/>
      </c>
      <c r="S388" s="132" t="str">
        <f>IF(COUNTIF('BEDM-B'!$A:$A, $C388), S$1, "")</f>
        <v/>
      </c>
      <c r="T388" s="132" t="str">
        <f>IF(COUNTIF('Art-A'!$A:$A, $C388), T$1, "")</f>
        <v/>
      </c>
      <c r="U388" s="132" t="str">
        <f>IF(COUNTIF('Art-B'!$A:$A, $C388), U$1, "")</f>
        <v/>
      </c>
      <c r="V388" s="132" t="str">
        <f>IF(COUNTIF('WH-A'!$A:$A, $C388), V$1, "")</f>
        <v/>
      </c>
      <c r="W388" s="132" t="str">
        <f>IF(COUNTIF('WH-B'!$A:$A, $C388), W$1, "")</f>
        <v/>
      </c>
      <c r="X388" s="132" t="str">
        <f>IF(COUNTIF(LETV!$A:$A, $C388), X$1, "")</f>
        <v/>
      </c>
      <c r="Y388" s="132" t="str">
        <f>IF(COUNTIF('Film&amp;Firm-A'!$A:$A, $C388), Y$1, "")</f>
        <v/>
      </c>
      <c r="Z388" s="132" t="str">
        <f>IF(COUNTIF('Film&amp;Firm-B'!$A:$A, $C388), Z$1, "")</f>
        <v/>
      </c>
      <c r="AA388" s="132" t="str">
        <f>IF(COUNTIF(SHRM!$A:$A, $C388), AA$1, "")</f>
        <v/>
      </c>
      <c r="AB388" s="132" t="str">
        <f>IF(COUNTIF('SCM-A'!$A:$A, $C388), AB$1, "")</f>
        <v>Strategic Career Management (A)</v>
      </c>
      <c r="AC388" s="132" t="str">
        <f>IF(COUNTIF('SCM-B'!$A:$A, $C388), AC$1, "")</f>
        <v/>
      </c>
      <c r="AD388" s="132" t="str">
        <f>IF(COUNTIF(AIS!$A:$A, $C388), AD$1, "")</f>
        <v/>
      </c>
      <c r="AE388" s="132" t="str">
        <f>IF(COUNTIF(EB!$A:$A, $C388), AE$1, "")</f>
        <v>Employer Branding</v>
      </c>
      <c r="AF388" s="132" t="str">
        <f>IF(COUNTIF('AIAM-A'!$A:$A, $C388), AF$1, "")</f>
        <v/>
      </c>
      <c r="AG388" s="132" t="str">
        <f>IF(COUNTIF('AIAM-B'!$A:$A, $C388), AG$1, "")</f>
        <v/>
      </c>
      <c r="AH388" s="132" t="str">
        <f>IF(COUNTIF('SA-A'!$A:$A, $C388), AH$1, "")</f>
        <v/>
      </c>
      <c r="AI388" s="132" t="str">
        <f>IF(COUNTIF('SA-B'!$A:$A, $C388), AI$1, "")</f>
        <v>SPORTS ANALYTICS (B)</v>
      </c>
      <c r="AJ388" s="132" t="str">
        <f>IF(COUNTIF(CSM!$A:$A, $C388), AJ$1, "")</f>
        <v/>
      </c>
      <c r="AK388" s="132" t="str">
        <f>IF(COUNTIF(EM!$A:$A, $C388), AK$1, "")</f>
        <v/>
      </c>
      <c r="AL388" s="132" t="str">
        <f>IF(COUNTIF(I4TS!$A:$A, $C388), AL$1, "")</f>
        <v/>
      </c>
    </row>
    <row r="389" spans="1:38" ht="14">
      <c r="A389" s="131">
        <v>388</v>
      </c>
      <c r="B389" s="131" t="s">
        <v>1397</v>
      </c>
      <c r="C389" s="142" t="s">
        <v>1431</v>
      </c>
      <c r="D389" s="142" t="s">
        <v>1432</v>
      </c>
      <c r="E389" s="140" t="s">
        <v>1433</v>
      </c>
      <c r="F389" s="131">
        <f t="shared" ca="1" si="1"/>
        <v>5</v>
      </c>
      <c r="G389" s="106" t="str">
        <f ca="1">IFERROR(__xludf.DUMMYFUNCTION("INDEX(FILTER($P389:$AL389, $P389:$AL389 &lt;&gt; """"), 1)"),"The Art, Craft, and Science of Management: Learning through Classics and Best Collections (A)")</f>
        <v>The Art, Craft, and Science of Management: Learning through Classics and Best Collections (A)</v>
      </c>
      <c r="H389" s="106" t="str">
        <f ca="1">IFERROR(__xludf.DUMMYFUNCTION("INDEX(FILTER($P389:$AL389, $P389:$AL389 &lt;&gt; """"), 2)"),"Workplace Happiness: Science &amp; Practice (B)")</f>
        <v>Workplace Happiness: Science &amp; Practice (B)</v>
      </c>
      <c r="I389" s="106" t="str">
        <f ca="1">IFERROR(__xludf.DUMMYFUNCTION("INDEX(FILTER($P389:$AL389, $P389:$AL389 &lt;&gt; """"), 3)"),"Strategic HRM")</f>
        <v>Strategic HRM</v>
      </c>
      <c r="J389" s="106" t="str">
        <f ca="1">IFERROR(__xludf.DUMMYFUNCTION("IFERROR(INDEX(FILTER($P389:$AL389, $P389:$AL389 &lt;&gt; """"), 4),)"),"")</f>
        <v/>
      </c>
      <c r="K389" s="106" t="str">
        <f ca="1">IFERROR(__xludf.DUMMYFUNCTION("IFERROR(INDEX(FILTER($P389:$AL389, $P389:$AL389 &lt;&gt; """"), 5),)"),"")</f>
        <v/>
      </c>
      <c r="L389" s="107"/>
      <c r="M389" s="107"/>
      <c r="N389" s="107"/>
      <c r="O389" s="107"/>
      <c r="P389" s="132" t="str">
        <f>IF(COUNTIF('Fintech-A'!$A:$A, $C389), P$1, "")</f>
        <v/>
      </c>
      <c r="Q389" s="132" t="str">
        <f>IF(COUNTIF('Fintech-B'!$A:$A, $C389), Q$1, "")</f>
        <v/>
      </c>
      <c r="R389" s="132" t="str">
        <f>IF(COUNTIF('BEDM-A'!$A:$A, $C389), R$1, "")</f>
        <v/>
      </c>
      <c r="S389" s="132" t="str">
        <f>IF(COUNTIF('BEDM-B'!$A:$A, $C389), S$1, "")</f>
        <v/>
      </c>
      <c r="T389" s="132" t="str">
        <f>IF(COUNTIF('Art-A'!$A:$A, $C389), T$1, "")</f>
        <v>The Art, Craft, and Science of Management: Learning through Classics and Best Collections (A)</v>
      </c>
      <c r="U389" s="132" t="str">
        <f>IF(COUNTIF('Art-B'!$A:$A, $C389), U$1, "")</f>
        <v/>
      </c>
      <c r="V389" s="132" t="str">
        <f>IF(COUNTIF('WH-A'!$A:$A, $C389), V$1, "")</f>
        <v/>
      </c>
      <c r="W389" s="132" t="str">
        <f>IF(COUNTIF('WH-B'!$A:$A, $C389), W$1, "")</f>
        <v>Workplace Happiness: Science &amp; Practice (B)</v>
      </c>
      <c r="X389" s="132" t="str">
        <f>IF(COUNTIF(LETV!$A:$A, $C389), X$1, "")</f>
        <v/>
      </c>
      <c r="Y389" s="132" t="str">
        <f>IF(COUNTIF('Film&amp;Firm-A'!$A:$A, $C389), Y$1, "")</f>
        <v/>
      </c>
      <c r="Z389" s="132" t="str">
        <f>IF(COUNTIF('Film&amp;Firm-B'!$A:$A, $C389), Z$1, "")</f>
        <v/>
      </c>
      <c r="AA389" s="132" t="str">
        <f>IF(COUNTIF(SHRM!$A:$A, $C389), AA$1, "")</f>
        <v>Strategic HRM</v>
      </c>
      <c r="AB389" s="132" t="str">
        <f>IF(COUNTIF('SCM-A'!$A:$A, $C389), AB$1, "")</f>
        <v/>
      </c>
      <c r="AC389" s="132" t="str">
        <f>IF(COUNTIF('SCM-B'!$A:$A, $C389), AC$1, "")</f>
        <v/>
      </c>
      <c r="AD389" s="132" t="str">
        <f>IF(COUNTIF(AIS!$A:$A, $C389), AD$1, "")</f>
        <v/>
      </c>
      <c r="AE389" s="132" t="str">
        <f>IF(COUNTIF(EB!$A:$A, $C389), AE$1, "")</f>
        <v/>
      </c>
      <c r="AF389" s="132" t="str">
        <f>IF(COUNTIF('AIAM-A'!$A:$A, $C389), AF$1, "")</f>
        <v/>
      </c>
      <c r="AG389" s="132" t="str">
        <f>IF(COUNTIF('AIAM-B'!$A:$A, $C389), AG$1, "")</f>
        <v/>
      </c>
      <c r="AH389" s="132" t="str">
        <f>IF(COUNTIF('SA-A'!$A:$A, $C389), AH$1, "")</f>
        <v/>
      </c>
      <c r="AI389" s="132" t="str">
        <f>IF(COUNTIF('SA-B'!$A:$A, $C389), AI$1, "")</f>
        <v/>
      </c>
      <c r="AJ389" s="132" t="str">
        <f>IF(COUNTIF(CSM!$A:$A, $C389), AJ$1, "")</f>
        <v/>
      </c>
      <c r="AK389" s="132" t="str">
        <f>IF(COUNTIF(EM!$A:$A, $C389), AK$1, "")</f>
        <v/>
      </c>
      <c r="AL389" s="132" t="str">
        <f>IF(COUNTIF(I4TS!$A:$A, $C389), AL$1, "")</f>
        <v/>
      </c>
    </row>
    <row r="390" spans="1:38" ht="14">
      <c r="A390" s="131">
        <v>389</v>
      </c>
      <c r="B390" s="131" t="s">
        <v>1397</v>
      </c>
      <c r="C390" s="142" t="s">
        <v>1434</v>
      </c>
      <c r="D390" s="142" t="s">
        <v>1435</v>
      </c>
      <c r="E390" s="140" t="s">
        <v>1436</v>
      </c>
      <c r="F390" s="131">
        <f t="shared" ca="1" si="1"/>
        <v>5</v>
      </c>
      <c r="G390" s="106" t="str">
        <f ca="1">IFERROR(__xludf.DUMMYFUNCTION("INDEX(FILTER($P390:$AL390, $P390:$AL390 &lt;&gt; """"), 1)"),"Workplace Happiness: Science &amp; Practice (B)")</f>
        <v>Workplace Happiness: Science &amp; Practice (B)</v>
      </c>
      <c r="H390" s="106" t="str">
        <f ca="1">IFERROR(__xludf.DUMMYFUNCTION("INDEX(FILTER($P390:$AL390, $P390:$AL390 &lt;&gt; """"), 2)"),"Leadership Excellence Through Values : Wisdom from the Mahabharata")</f>
        <v>Leadership Excellence Through Values : Wisdom from the Mahabharata</v>
      </c>
      <c r="I390" s="106" t="str">
        <f ca="1">IFERROR(__xludf.DUMMYFUNCTION("INDEX(FILTER($P390:$AL390, $P390:$AL390 &lt;&gt; """"), 3)"),"Film &amp; the Firm: Visual Culture in Business Contexts (B)")</f>
        <v>Film &amp; the Firm: Visual Culture in Business Contexts (B)</v>
      </c>
      <c r="J390" s="106" t="str">
        <f ca="1">IFERROR(__xludf.DUMMYFUNCTION("IFERROR(INDEX(FILTER($P390:$AL390, $P390:$AL390 &lt;&gt; """"), 4),)"),"")</f>
        <v/>
      </c>
      <c r="K390" s="106" t="str">
        <f ca="1">IFERROR(__xludf.DUMMYFUNCTION("IFERROR(INDEX(FILTER($P390:$AL390, $P390:$AL390 &lt;&gt; """"), 5),)"),"")</f>
        <v/>
      </c>
      <c r="L390" s="107"/>
      <c r="M390" s="107"/>
      <c r="N390" s="107"/>
      <c r="O390" s="107"/>
      <c r="P390" s="132" t="str">
        <f>IF(COUNTIF('Fintech-A'!$A:$A, $C390), P$1, "")</f>
        <v/>
      </c>
      <c r="Q390" s="132" t="str">
        <f>IF(COUNTIF('Fintech-B'!$A:$A, $C390), Q$1, "")</f>
        <v/>
      </c>
      <c r="R390" s="132" t="str">
        <f>IF(COUNTIF('BEDM-A'!$A:$A, $C390), R$1, "")</f>
        <v/>
      </c>
      <c r="S390" s="132" t="str">
        <f>IF(COUNTIF('BEDM-B'!$A:$A, $C390), S$1, "")</f>
        <v/>
      </c>
      <c r="T390" s="132" t="str">
        <f>IF(COUNTIF('Art-A'!$A:$A, $C390), T$1, "")</f>
        <v/>
      </c>
      <c r="U390" s="132" t="str">
        <f>IF(COUNTIF('Art-B'!$A:$A, $C390), U$1, "")</f>
        <v/>
      </c>
      <c r="V390" s="132" t="str">
        <f>IF(COUNTIF('WH-A'!$A:$A, $C390), V$1, "")</f>
        <v/>
      </c>
      <c r="W390" s="132" t="str">
        <f>IF(COUNTIF('WH-B'!$A:$A, $C390), W$1, "")</f>
        <v>Workplace Happiness: Science &amp; Practice (B)</v>
      </c>
      <c r="X390" s="132" t="str">
        <f>IF(COUNTIF(LETV!$A:$A, $C390), X$1, "")</f>
        <v>Leadership Excellence Through Values : Wisdom from the Mahabharata</v>
      </c>
      <c r="Y390" s="132" t="str">
        <f>IF(COUNTIF('Film&amp;Firm-A'!$A:$A, $C390), Y$1, "")</f>
        <v/>
      </c>
      <c r="Z390" s="132" t="str">
        <f>IF(COUNTIF('Film&amp;Firm-B'!$A:$A, $C390), Z$1, "")</f>
        <v>Film &amp; the Firm: Visual Culture in Business Contexts (B)</v>
      </c>
      <c r="AA390" s="132" t="str">
        <f>IF(COUNTIF(SHRM!$A:$A, $C390), AA$1, "")</f>
        <v/>
      </c>
      <c r="AB390" s="132" t="str">
        <f>IF(COUNTIF('SCM-A'!$A:$A, $C390), AB$1, "")</f>
        <v/>
      </c>
      <c r="AC390" s="132" t="str">
        <f>IF(COUNTIF('SCM-B'!$A:$A, $C390), AC$1, "")</f>
        <v/>
      </c>
      <c r="AD390" s="132" t="str">
        <f>IF(COUNTIF(AIS!$A:$A, $C390), AD$1, "")</f>
        <v/>
      </c>
      <c r="AE390" s="132" t="str">
        <f>IF(COUNTIF(EB!$A:$A, $C390), AE$1, "")</f>
        <v/>
      </c>
      <c r="AF390" s="132" t="str">
        <f>IF(COUNTIF('AIAM-A'!$A:$A, $C390), AF$1, "")</f>
        <v/>
      </c>
      <c r="AG390" s="132" t="str">
        <f>IF(COUNTIF('AIAM-B'!$A:$A, $C390), AG$1, "")</f>
        <v/>
      </c>
      <c r="AH390" s="132" t="str">
        <f>IF(COUNTIF('SA-A'!$A:$A, $C390), AH$1, "")</f>
        <v/>
      </c>
      <c r="AI390" s="132" t="str">
        <f>IF(COUNTIF('SA-B'!$A:$A, $C390), AI$1, "")</f>
        <v/>
      </c>
      <c r="AJ390" s="132" t="str">
        <f>IF(COUNTIF(CSM!$A:$A, $C390), AJ$1, "")</f>
        <v/>
      </c>
      <c r="AK390" s="132" t="str">
        <f>IF(COUNTIF(EM!$A:$A, $C390), AK$1, "")</f>
        <v/>
      </c>
      <c r="AL390" s="132" t="str">
        <f>IF(COUNTIF(I4TS!$A:$A, $C390), AL$1, "")</f>
        <v/>
      </c>
    </row>
    <row r="391" spans="1:38" ht="14">
      <c r="A391" s="131">
        <v>390</v>
      </c>
      <c r="B391" s="131" t="s">
        <v>1397</v>
      </c>
      <c r="C391" s="142" t="s">
        <v>1437</v>
      </c>
      <c r="D391" s="142" t="s">
        <v>1438</v>
      </c>
      <c r="E391" s="140" t="s">
        <v>1439</v>
      </c>
      <c r="F391" s="131">
        <f t="shared" ca="1" si="1"/>
        <v>5</v>
      </c>
      <c r="G391" s="106" t="str">
        <f ca="1">IFERROR(__xludf.DUMMYFUNCTION("INDEX(FILTER($P391:$AL391, $P391:$AL391 &lt;&gt; """"), 1)"),"The Art, Craft, and Science of Management: Learning through Classics and Best Collections (A)")</f>
        <v>The Art, Craft, and Science of Management: Learning through Classics and Best Collections (A)</v>
      </c>
      <c r="H391" s="106" t="str">
        <f ca="1">IFERROR(__xludf.DUMMYFUNCTION("INDEX(FILTER($P391:$AL391, $P391:$AL391 &lt;&gt; """"), 2)"),"Strategic HRM")</f>
        <v>Strategic HRM</v>
      </c>
      <c r="I391" s="106" t="str">
        <f ca="1">IFERROR(__xludf.DUMMYFUNCTION("INDEX(FILTER($P391:$AL391, $P391:$AL391 &lt;&gt; """"), 3)"),"AI AND  STRATEGY")</f>
        <v>AI AND  STRATEGY</v>
      </c>
      <c r="J391" s="106" t="str">
        <f ca="1">IFERROR(__xludf.DUMMYFUNCTION("IFERROR(INDEX(FILTER($P391:$AL391, $P391:$AL391 &lt;&gt; """"), 4),)"),"")</f>
        <v/>
      </c>
      <c r="K391" s="106" t="str">
        <f ca="1">IFERROR(__xludf.DUMMYFUNCTION("IFERROR(INDEX(FILTER($P391:$AL391, $P391:$AL391 &lt;&gt; """"), 5),)"),"")</f>
        <v/>
      </c>
      <c r="L391" s="107"/>
      <c r="M391" s="107"/>
      <c r="N391" s="107"/>
      <c r="O391" s="107"/>
      <c r="P391" s="132" t="str">
        <f>IF(COUNTIF('Fintech-A'!$A:$A, $C391), P$1, "")</f>
        <v/>
      </c>
      <c r="Q391" s="132" t="str">
        <f>IF(COUNTIF('Fintech-B'!$A:$A, $C391), Q$1, "")</f>
        <v/>
      </c>
      <c r="R391" s="132" t="str">
        <f>IF(COUNTIF('BEDM-A'!$A:$A, $C391), R$1, "")</f>
        <v/>
      </c>
      <c r="S391" s="132" t="str">
        <f>IF(COUNTIF('BEDM-B'!$A:$A, $C391), S$1, "")</f>
        <v/>
      </c>
      <c r="T391" s="132" t="str">
        <f>IF(COUNTIF('Art-A'!$A:$A, $C391), T$1, "")</f>
        <v>The Art, Craft, and Science of Management: Learning through Classics and Best Collections (A)</v>
      </c>
      <c r="U391" s="132" t="str">
        <f>IF(COUNTIF('Art-B'!$A:$A, $C391), U$1, "")</f>
        <v/>
      </c>
      <c r="V391" s="132" t="str">
        <f>IF(COUNTIF('WH-A'!$A:$A, $C391), V$1, "")</f>
        <v/>
      </c>
      <c r="W391" s="132" t="str">
        <f>IF(COUNTIF('WH-B'!$A:$A, $C391), W$1, "")</f>
        <v/>
      </c>
      <c r="X391" s="132" t="str">
        <f>IF(COUNTIF(LETV!$A:$A, $C391), X$1, "")</f>
        <v/>
      </c>
      <c r="Y391" s="132" t="str">
        <f>IF(COUNTIF('Film&amp;Firm-A'!$A:$A, $C391), Y$1, "")</f>
        <v/>
      </c>
      <c r="Z391" s="132" t="str">
        <f>IF(COUNTIF('Film&amp;Firm-B'!$A:$A, $C391), Z$1, "")</f>
        <v/>
      </c>
      <c r="AA391" s="132" t="str">
        <f>IF(COUNTIF(SHRM!$A:$A, $C391), AA$1, "")</f>
        <v>Strategic HRM</v>
      </c>
      <c r="AB391" s="132" t="str">
        <f>IF(COUNTIF('SCM-A'!$A:$A, $C391), AB$1, "")</f>
        <v/>
      </c>
      <c r="AC391" s="132" t="str">
        <f>IF(COUNTIF('SCM-B'!$A:$A, $C391), AC$1, "")</f>
        <v/>
      </c>
      <c r="AD391" s="132" t="str">
        <f>IF(COUNTIF(AIS!$A:$A, $C391), AD$1, "")</f>
        <v>AI AND  STRATEGY</v>
      </c>
      <c r="AE391" s="132" t="str">
        <f>IF(COUNTIF(EB!$A:$A, $C391), AE$1, "")</f>
        <v/>
      </c>
      <c r="AF391" s="132" t="str">
        <f>IF(COUNTIF('AIAM-A'!$A:$A, $C391), AF$1, "")</f>
        <v/>
      </c>
      <c r="AG391" s="132" t="str">
        <f>IF(COUNTIF('AIAM-B'!$A:$A, $C391), AG$1, "")</f>
        <v/>
      </c>
      <c r="AH391" s="132" t="str">
        <f>IF(COUNTIF('SA-A'!$A:$A, $C391), AH$1, "")</f>
        <v/>
      </c>
      <c r="AI391" s="132" t="str">
        <f>IF(COUNTIF('SA-B'!$A:$A, $C391), AI$1, "")</f>
        <v/>
      </c>
      <c r="AJ391" s="132" t="str">
        <f>IF(COUNTIF(CSM!$A:$A, $C391), AJ$1, "")</f>
        <v/>
      </c>
      <c r="AK391" s="132" t="str">
        <f>IF(COUNTIF(EM!$A:$A, $C391), AK$1, "")</f>
        <v/>
      </c>
      <c r="AL391" s="132" t="str">
        <f>IF(COUNTIF(I4TS!$A:$A, $C391), AL$1, "")</f>
        <v/>
      </c>
    </row>
    <row r="392" spans="1:38" ht="14">
      <c r="A392" s="131">
        <v>391</v>
      </c>
      <c r="B392" s="131" t="s">
        <v>1397</v>
      </c>
      <c r="C392" s="142" t="s">
        <v>192</v>
      </c>
      <c r="D392" s="142" t="s">
        <v>1440</v>
      </c>
      <c r="E392" s="140" t="s">
        <v>1441</v>
      </c>
      <c r="F392" s="131">
        <f t="shared" ca="1" si="1"/>
        <v>5</v>
      </c>
      <c r="G392" s="106" t="str">
        <f ca="1">IFERROR(__xludf.DUMMYFUNCTION("INDEX(FILTER($P392:$AL392, $P392:$AL392 &lt;&gt; """"), 1)"),"The Art, Craft, and Science of Management: Learning through Classics and Best Collections (A)")</f>
        <v>The Art, Craft, and Science of Management: Learning through Classics and Best Collections (A)</v>
      </c>
      <c r="H392" s="106" t="str">
        <f ca="1">IFERROR(__xludf.DUMMYFUNCTION("INDEX(FILTER($P392:$AL392, $P392:$AL392 &lt;&gt; """"), 2)"),"Film &amp; the Firm: Visual Culture in Business Contexts (A)")</f>
        <v>Film &amp; the Firm: Visual Culture in Business Contexts (A)</v>
      </c>
      <c r="I392" s="106" t="str">
        <f ca="1">IFERROR(__xludf.DUMMYFUNCTION("INDEX(FILTER($P392:$AL392, $P392:$AL392 &lt;&gt; """"), 3)"),"Strategic HRM")</f>
        <v>Strategic HRM</v>
      </c>
      <c r="J392" s="106" t="str">
        <f ca="1">IFERROR(__xludf.DUMMYFUNCTION("IFERROR(INDEX(FILTER($P392:$AL392, $P392:$AL392 &lt;&gt; """"), 4),)"),"")</f>
        <v/>
      </c>
      <c r="K392" s="106" t="str">
        <f ca="1">IFERROR(__xludf.DUMMYFUNCTION("IFERROR(INDEX(FILTER($P392:$AL392, $P392:$AL392 &lt;&gt; """"), 5),)"),"")</f>
        <v/>
      </c>
      <c r="L392" s="107"/>
      <c r="M392" s="107"/>
      <c r="N392" s="107"/>
      <c r="O392" s="107"/>
      <c r="P392" s="132" t="str">
        <f>IF(COUNTIF('Fintech-A'!$A:$A, $C392), P$1, "")</f>
        <v/>
      </c>
      <c r="Q392" s="132" t="str">
        <f>IF(COUNTIF('Fintech-B'!$A:$A, $C392), Q$1, "")</f>
        <v/>
      </c>
      <c r="R392" s="132" t="str">
        <f>IF(COUNTIF('BEDM-A'!$A:$A, $C392), R$1, "")</f>
        <v/>
      </c>
      <c r="S392" s="132" t="str">
        <f>IF(COUNTIF('BEDM-B'!$A:$A, $C392), S$1, "")</f>
        <v/>
      </c>
      <c r="T392" s="132" t="str">
        <f>IF(COUNTIF('Art-A'!$A:$A, $C392), T$1, "")</f>
        <v>The Art, Craft, and Science of Management: Learning through Classics and Best Collections (A)</v>
      </c>
      <c r="U392" s="132" t="str">
        <f>IF(COUNTIF('Art-B'!$A:$A, $C392), U$1, "")</f>
        <v/>
      </c>
      <c r="V392" s="132" t="str">
        <f>IF(COUNTIF('WH-A'!$A:$A, $C392), V$1, "")</f>
        <v/>
      </c>
      <c r="W392" s="132" t="str">
        <f>IF(COUNTIF('WH-B'!$A:$A, $C392), W$1, "")</f>
        <v/>
      </c>
      <c r="X392" s="132" t="str">
        <f>IF(COUNTIF(LETV!$A:$A, $C392), X$1, "")</f>
        <v/>
      </c>
      <c r="Y392" s="132" t="str">
        <f>IF(COUNTIF('Film&amp;Firm-A'!$A:$A, $C392), Y$1, "")</f>
        <v>Film &amp; the Firm: Visual Culture in Business Contexts (A)</v>
      </c>
      <c r="Z392" s="132" t="str">
        <f>IF(COUNTIF('Film&amp;Firm-B'!$A:$A, $C392), Z$1, "")</f>
        <v/>
      </c>
      <c r="AA392" s="132" t="str">
        <f>IF(COUNTIF(SHRM!$A:$A, $C392), AA$1, "")</f>
        <v>Strategic HRM</v>
      </c>
      <c r="AB392" s="132" t="str">
        <f>IF(COUNTIF('SCM-A'!$A:$A, $C392), AB$1, "")</f>
        <v/>
      </c>
      <c r="AC392" s="132" t="str">
        <f>IF(COUNTIF('SCM-B'!$A:$A, $C392), AC$1, "")</f>
        <v/>
      </c>
      <c r="AD392" s="132" t="str">
        <f>IF(COUNTIF(AIS!$A:$A, $C392), AD$1, "")</f>
        <v/>
      </c>
      <c r="AE392" s="132" t="str">
        <f>IF(COUNTIF(EB!$A:$A, $C392), AE$1, "")</f>
        <v/>
      </c>
      <c r="AF392" s="132" t="str">
        <f>IF(COUNTIF('AIAM-A'!$A:$A, $C392), AF$1, "")</f>
        <v/>
      </c>
      <c r="AG392" s="132" t="str">
        <f>IF(COUNTIF('AIAM-B'!$A:$A, $C392), AG$1, "")</f>
        <v/>
      </c>
      <c r="AH392" s="132" t="str">
        <f>IF(COUNTIF('SA-A'!$A:$A, $C392), AH$1, "")</f>
        <v/>
      </c>
      <c r="AI392" s="132" t="str">
        <f>IF(COUNTIF('SA-B'!$A:$A, $C392), AI$1, "")</f>
        <v/>
      </c>
      <c r="AJ392" s="132" t="str">
        <f>IF(COUNTIF(CSM!$A:$A, $C392), AJ$1, "")</f>
        <v/>
      </c>
      <c r="AK392" s="132" t="str">
        <f>IF(COUNTIF(EM!$A:$A, $C392), AK$1, "")</f>
        <v/>
      </c>
      <c r="AL392" s="132" t="str">
        <f>IF(COUNTIF(I4TS!$A:$A, $C392), AL$1, "")</f>
        <v/>
      </c>
    </row>
    <row r="393" spans="1:38" ht="14">
      <c r="A393" s="131">
        <v>392</v>
      </c>
      <c r="B393" s="131" t="s">
        <v>1397</v>
      </c>
      <c r="C393" s="142" t="s">
        <v>1442</v>
      </c>
      <c r="D393" s="142" t="s">
        <v>1443</v>
      </c>
      <c r="E393" s="140" t="s">
        <v>1444</v>
      </c>
      <c r="F393" s="131">
        <f t="shared" ca="1" si="1"/>
        <v>5</v>
      </c>
      <c r="G393" s="106" t="str">
        <f ca="1">IFERROR(__xludf.DUMMYFUNCTION("INDEX(FILTER($P393:$AL393, $P393:$AL393 &lt;&gt; """"), 1)"),"Workplace Happiness: Science &amp; Practice (A)")</f>
        <v>Workplace Happiness: Science &amp; Practice (A)</v>
      </c>
      <c r="H393" s="106" t="str">
        <f ca="1">IFERROR(__xludf.DUMMYFUNCTION("INDEX(FILTER($P393:$AL393, $P393:$AL393 &lt;&gt; """"), 2)"),"Strategic Career Management (A)")</f>
        <v>Strategic Career Management (A)</v>
      </c>
      <c r="I393" s="106" t="str">
        <f ca="1">IFERROR(__xludf.DUMMYFUNCTION("INDEX(FILTER($P393:$AL393, $P393:$AL393 &lt;&gt; """"), 3)"),"Employer Branding")</f>
        <v>Employer Branding</v>
      </c>
      <c r="J393" s="106" t="str">
        <f ca="1">IFERROR(__xludf.DUMMYFUNCTION("IFERROR(INDEX(FILTER($P393:$AL393, $P393:$AL393 &lt;&gt; """"), 4),)"),"")</f>
        <v/>
      </c>
      <c r="K393" s="106" t="str">
        <f ca="1">IFERROR(__xludf.DUMMYFUNCTION("IFERROR(INDEX(FILTER($P393:$AL393, $P393:$AL393 &lt;&gt; """"), 5),)"),"")</f>
        <v/>
      </c>
      <c r="L393" s="107"/>
      <c r="M393" s="107"/>
      <c r="N393" s="107"/>
      <c r="O393" s="107"/>
      <c r="P393" s="132" t="str">
        <f>IF(COUNTIF('Fintech-A'!$A:$A, $C393), P$1, "")</f>
        <v/>
      </c>
      <c r="Q393" s="132" t="str">
        <f>IF(COUNTIF('Fintech-B'!$A:$A, $C393), Q$1, "")</f>
        <v/>
      </c>
      <c r="R393" s="132" t="str">
        <f>IF(COUNTIF('BEDM-A'!$A:$A, $C393), R$1, "")</f>
        <v/>
      </c>
      <c r="S393" s="132" t="str">
        <f>IF(COUNTIF('BEDM-B'!$A:$A, $C393), S$1, "")</f>
        <v/>
      </c>
      <c r="T393" s="132" t="str">
        <f>IF(COUNTIF('Art-A'!$A:$A, $C393), T$1, "")</f>
        <v/>
      </c>
      <c r="U393" s="132" t="str">
        <f>IF(COUNTIF('Art-B'!$A:$A, $C393), U$1, "")</f>
        <v/>
      </c>
      <c r="V393" s="132" t="str">
        <f>IF(COUNTIF('WH-A'!$A:$A, $C393), V$1, "")</f>
        <v>Workplace Happiness: Science &amp; Practice (A)</v>
      </c>
      <c r="W393" s="132" t="str">
        <f>IF(COUNTIF('WH-B'!$A:$A, $C393), W$1, "")</f>
        <v/>
      </c>
      <c r="X393" s="132" t="str">
        <f>IF(COUNTIF(LETV!$A:$A, $C393), X$1, "")</f>
        <v/>
      </c>
      <c r="Y393" s="132" t="str">
        <f>IF(COUNTIF('Film&amp;Firm-A'!$A:$A, $C393), Y$1, "")</f>
        <v/>
      </c>
      <c r="Z393" s="132" t="str">
        <f>IF(COUNTIF('Film&amp;Firm-B'!$A:$A, $C393), Z$1, "")</f>
        <v/>
      </c>
      <c r="AA393" s="132" t="str">
        <f>IF(COUNTIF(SHRM!$A:$A, $C393), AA$1, "")</f>
        <v/>
      </c>
      <c r="AB393" s="132" t="str">
        <f>IF(COUNTIF('SCM-A'!$A:$A, $C393), AB$1, "")</f>
        <v>Strategic Career Management (A)</v>
      </c>
      <c r="AC393" s="132" t="str">
        <f>IF(COUNTIF('SCM-B'!$A:$A, $C393), AC$1, "")</f>
        <v/>
      </c>
      <c r="AD393" s="132" t="str">
        <f>IF(COUNTIF(AIS!$A:$A, $C393), AD$1, "")</f>
        <v/>
      </c>
      <c r="AE393" s="132" t="str">
        <f>IF(COUNTIF(EB!$A:$A, $C393), AE$1, "")</f>
        <v>Employer Branding</v>
      </c>
      <c r="AF393" s="132" t="str">
        <f>IF(COUNTIF('AIAM-A'!$A:$A, $C393), AF$1, "")</f>
        <v/>
      </c>
      <c r="AG393" s="132" t="str">
        <f>IF(COUNTIF('AIAM-B'!$A:$A, $C393), AG$1, "")</f>
        <v/>
      </c>
      <c r="AH393" s="132" t="str">
        <f>IF(COUNTIF('SA-A'!$A:$A, $C393), AH$1, "")</f>
        <v/>
      </c>
      <c r="AI393" s="132" t="str">
        <f>IF(COUNTIF('SA-B'!$A:$A, $C393), AI$1, "")</f>
        <v/>
      </c>
      <c r="AJ393" s="132" t="str">
        <f>IF(COUNTIF(CSM!$A:$A, $C393), AJ$1, "")</f>
        <v/>
      </c>
      <c r="AK393" s="132" t="str">
        <f>IF(COUNTIF(EM!$A:$A, $C393), AK$1, "")</f>
        <v/>
      </c>
      <c r="AL393" s="132" t="str">
        <f>IF(COUNTIF(I4TS!$A:$A, $C393), AL$1, "")</f>
        <v/>
      </c>
    </row>
    <row r="394" spans="1:38" ht="14">
      <c r="A394" s="131">
        <v>393</v>
      </c>
      <c r="B394" s="131" t="s">
        <v>1397</v>
      </c>
      <c r="C394" s="142" t="s">
        <v>1445</v>
      </c>
      <c r="D394" s="142" t="s">
        <v>1446</v>
      </c>
      <c r="E394" s="140" t="s">
        <v>1447</v>
      </c>
      <c r="F394" s="131">
        <f t="shared" ca="1" si="1"/>
        <v>5</v>
      </c>
      <c r="G394" s="106" t="str">
        <f ca="1">IFERROR(__xludf.DUMMYFUNCTION("INDEX(FILTER($P394:$AL394, $P394:$AL394 &lt;&gt; """"), 1)"),"Workplace Happiness: Science &amp; Practice (A)")</f>
        <v>Workplace Happiness: Science &amp; Practice (A)</v>
      </c>
      <c r="H394" s="106" t="str">
        <f ca="1">IFERROR(__xludf.DUMMYFUNCTION("INDEX(FILTER($P394:$AL394, $P394:$AL394 &lt;&gt; """"), 2)"),"Strategic Career Management (A)")</f>
        <v>Strategic Career Management (A)</v>
      </c>
      <c r="I394" s="106" t="str">
        <f ca="1">IFERROR(__xludf.DUMMYFUNCTION("INDEX(FILTER($P394:$AL394, $P394:$AL394 &lt;&gt; """"), 3)"),"Employer Branding")</f>
        <v>Employer Branding</v>
      </c>
      <c r="J394" s="106" t="str">
        <f ca="1">IFERROR(__xludf.DUMMYFUNCTION("IFERROR(INDEX(FILTER($P394:$AL394, $P394:$AL394 &lt;&gt; """"), 4),)"),"")</f>
        <v/>
      </c>
      <c r="K394" s="106" t="str">
        <f ca="1">IFERROR(__xludf.DUMMYFUNCTION("IFERROR(INDEX(FILTER($P394:$AL394, $P394:$AL394 &lt;&gt; """"), 5),)"),"")</f>
        <v/>
      </c>
      <c r="L394" s="107"/>
      <c r="M394" s="107"/>
      <c r="N394" s="107"/>
      <c r="O394" s="107"/>
      <c r="P394" s="132" t="str">
        <f>IF(COUNTIF('Fintech-A'!$A:$A, $C394), P$1, "")</f>
        <v/>
      </c>
      <c r="Q394" s="132" t="str">
        <f>IF(COUNTIF('Fintech-B'!$A:$A, $C394), Q$1, "")</f>
        <v/>
      </c>
      <c r="R394" s="132" t="str">
        <f>IF(COUNTIF('BEDM-A'!$A:$A, $C394), R$1, "")</f>
        <v/>
      </c>
      <c r="S394" s="132" t="str">
        <f>IF(COUNTIF('BEDM-B'!$A:$A, $C394), S$1, "")</f>
        <v/>
      </c>
      <c r="T394" s="132" t="str">
        <f>IF(COUNTIF('Art-A'!$A:$A, $C394), T$1, "")</f>
        <v/>
      </c>
      <c r="U394" s="132" t="str">
        <f>IF(COUNTIF('Art-B'!$A:$A, $C394), U$1, "")</f>
        <v/>
      </c>
      <c r="V394" s="132" t="str">
        <f>IF(COUNTIF('WH-A'!$A:$A, $C394), V$1, "")</f>
        <v>Workplace Happiness: Science &amp; Practice (A)</v>
      </c>
      <c r="W394" s="132" t="str">
        <f>IF(COUNTIF('WH-B'!$A:$A, $C394), W$1, "")</f>
        <v/>
      </c>
      <c r="X394" s="132" t="str">
        <f>IF(COUNTIF(LETV!$A:$A, $C394), X$1, "")</f>
        <v/>
      </c>
      <c r="Y394" s="132" t="str">
        <f>IF(COUNTIF('Film&amp;Firm-A'!$A:$A, $C394), Y$1, "")</f>
        <v/>
      </c>
      <c r="Z394" s="132" t="str">
        <f>IF(COUNTIF('Film&amp;Firm-B'!$A:$A, $C394), Z$1, "")</f>
        <v/>
      </c>
      <c r="AA394" s="132" t="str">
        <f>IF(COUNTIF(SHRM!$A:$A, $C394), AA$1, "")</f>
        <v/>
      </c>
      <c r="AB394" s="132" t="str">
        <f>IF(COUNTIF('SCM-A'!$A:$A, $C394), AB$1, "")</f>
        <v>Strategic Career Management (A)</v>
      </c>
      <c r="AC394" s="132" t="str">
        <f>IF(COUNTIF('SCM-B'!$A:$A, $C394), AC$1, "")</f>
        <v/>
      </c>
      <c r="AD394" s="132" t="str">
        <f>IF(COUNTIF(AIS!$A:$A, $C394), AD$1, "")</f>
        <v/>
      </c>
      <c r="AE394" s="132" t="str">
        <f>IF(COUNTIF(EB!$A:$A, $C394), AE$1, "")</f>
        <v>Employer Branding</v>
      </c>
      <c r="AF394" s="132" t="str">
        <f>IF(COUNTIF('AIAM-A'!$A:$A, $C394), AF$1, "")</f>
        <v/>
      </c>
      <c r="AG394" s="132" t="str">
        <f>IF(COUNTIF('AIAM-B'!$A:$A, $C394), AG$1, "")</f>
        <v/>
      </c>
      <c r="AH394" s="132" t="str">
        <f>IF(COUNTIF('SA-A'!$A:$A, $C394), AH$1, "")</f>
        <v/>
      </c>
      <c r="AI394" s="132" t="str">
        <f>IF(COUNTIF('SA-B'!$A:$A, $C394), AI$1, "")</f>
        <v/>
      </c>
      <c r="AJ394" s="132" t="str">
        <f>IF(COUNTIF(CSM!$A:$A, $C394), AJ$1, "")</f>
        <v/>
      </c>
      <c r="AK394" s="132" t="str">
        <f>IF(COUNTIF(EM!$A:$A, $C394), AK$1, "")</f>
        <v/>
      </c>
      <c r="AL394" s="132" t="str">
        <f>IF(COUNTIF(I4TS!$A:$A, $C394), AL$1, "")</f>
        <v/>
      </c>
    </row>
    <row r="395" spans="1:38" ht="14">
      <c r="A395" s="131">
        <v>394</v>
      </c>
      <c r="B395" s="131" t="s">
        <v>1397</v>
      </c>
      <c r="C395" s="142" t="s">
        <v>193</v>
      </c>
      <c r="D395" s="142" t="s">
        <v>1448</v>
      </c>
      <c r="E395" s="140" t="s">
        <v>1449</v>
      </c>
      <c r="F395" s="131">
        <f t="shared" ca="1" si="1"/>
        <v>5</v>
      </c>
      <c r="G395" s="106" t="str">
        <f ca="1">IFERROR(__xludf.DUMMYFUNCTION("INDEX(FILTER($P395:$AL395, $P395:$AL395 &lt;&gt; """"), 1)"),"Leadership Excellence Through Values : Wisdom from the Mahabharata")</f>
        <v>Leadership Excellence Through Values : Wisdom from the Mahabharata</v>
      </c>
      <c r="H395" s="106" t="str">
        <f ca="1">IFERROR(__xludf.DUMMYFUNCTION("INDEX(FILTER($P395:$AL395, $P395:$AL395 &lt;&gt; """"), 2)"),"Strategic Career Management (B)")</f>
        <v>Strategic Career Management (B)</v>
      </c>
      <c r="I395" s="106" t="str">
        <f ca="1">IFERROR(__xludf.DUMMYFUNCTION("INDEX(FILTER($P395:$AL395, $P395:$AL395 &lt;&gt; """"), 3)"),"Employer Branding")</f>
        <v>Employer Branding</v>
      </c>
      <c r="J395" s="106" t="str">
        <f ca="1">IFERROR(__xludf.DUMMYFUNCTION("IFERROR(INDEX(FILTER($P395:$AL395, $P395:$AL395 &lt;&gt; """"), 4),)"),"")</f>
        <v/>
      </c>
      <c r="K395" s="106" t="str">
        <f ca="1">IFERROR(__xludf.DUMMYFUNCTION("IFERROR(INDEX(FILTER($P395:$AL395, $P395:$AL395 &lt;&gt; """"), 5),)"),"")</f>
        <v/>
      </c>
      <c r="L395" s="107"/>
      <c r="M395" s="107"/>
      <c r="N395" s="107"/>
      <c r="O395" s="107"/>
      <c r="P395" s="132" t="str">
        <f>IF(COUNTIF('Fintech-A'!$A:$A, $C395), P$1, "")</f>
        <v/>
      </c>
      <c r="Q395" s="132" t="str">
        <f>IF(COUNTIF('Fintech-B'!$A:$A, $C395), Q$1, "")</f>
        <v/>
      </c>
      <c r="R395" s="132" t="str">
        <f>IF(COUNTIF('BEDM-A'!$A:$A, $C395), R$1, "")</f>
        <v/>
      </c>
      <c r="S395" s="132" t="str">
        <f>IF(COUNTIF('BEDM-B'!$A:$A, $C395), S$1, "")</f>
        <v/>
      </c>
      <c r="T395" s="132" t="str">
        <f>IF(COUNTIF('Art-A'!$A:$A, $C395), T$1, "")</f>
        <v/>
      </c>
      <c r="U395" s="132" t="str">
        <f>IF(COUNTIF('Art-B'!$A:$A, $C395), U$1, "")</f>
        <v/>
      </c>
      <c r="V395" s="132" t="str">
        <f>IF(COUNTIF('WH-A'!$A:$A, $C395), V$1, "")</f>
        <v/>
      </c>
      <c r="W395" s="132" t="str">
        <f>IF(COUNTIF('WH-B'!$A:$A, $C395), W$1, "")</f>
        <v/>
      </c>
      <c r="X395" s="132" t="str">
        <f>IF(COUNTIF(LETV!$A:$A, $C395), X$1, "")</f>
        <v>Leadership Excellence Through Values : Wisdom from the Mahabharata</v>
      </c>
      <c r="Y395" s="132" t="str">
        <f>IF(COUNTIF('Film&amp;Firm-A'!$A:$A, $C395), Y$1, "")</f>
        <v/>
      </c>
      <c r="Z395" s="132" t="str">
        <f>IF(COUNTIF('Film&amp;Firm-B'!$A:$A, $C395), Z$1, "")</f>
        <v/>
      </c>
      <c r="AA395" s="132" t="str">
        <f>IF(COUNTIF(SHRM!$A:$A, $C395), AA$1, "")</f>
        <v/>
      </c>
      <c r="AB395" s="132" t="str">
        <f>IF(COUNTIF('SCM-A'!$A:$A, $C395), AB$1, "")</f>
        <v/>
      </c>
      <c r="AC395" s="132" t="str">
        <f>IF(COUNTIF('SCM-B'!$A:$A, $C395), AC$1, "")</f>
        <v>Strategic Career Management (B)</v>
      </c>
      <c r="AD395" s="132" t="str">
        <f>IF(COUNTIF(AIS!$A:$A, $C395), AD$1, "")</f>
        <v/>
      </c>
      <c r="AE395" s="132" t="str">
        <f>IF(COUNTIF(EB!$A:$A, $C395), AE$1, "")</f>
        <v>Employer Branding</v>
      </c>
      <c r="AF395" s="132" t="str">
        <f>IF(COUNTIF('AIAM-A'!$A:$A, $C395), AF$1, "")</f>
        <v/>
      </c>
      <c r="AG395" s="132" t="str">
        <f>IF(COUNTIF('AIAM-B'!$A:$A, $C395), AG$1, "")</f>
        <v/>
      </c>
      <c r="AH395" s="132" t="str">
        <f>IF(COUNTIF('SA-A'!$A:$A, $C395), AH$1, "")</f>
        <v/>
      </c>
      <c r="AI395" s="132" t="str">
        <f>IF(COUNTIF('SA-B'!$A:$A, $C395), AI$1, "")</f>
        <v/>
      </c>
      <c r="AJ395" s="132" t="str">
        <f>IF(COUNTIF(CSM!$A:$A, $C395), AJ$1, "")</f>
        <v/>
      </c>
      <c r="AK395" s="132" t="str">
        <f>IF(COUNTIF(EM!$A:$A, $C395), AK$1, "")</f>
        <v/>
      </c>
      <c r="AL395" s="132" t="str">
        <f>IF(COUNTIF(I4TS!$A:$A, $C395), AL$1, "")</f>
        <v/>
      </c>
    </row>
    <row r="396" spans="1:38" ht="14">
      <c r="A396" s="131">
        <v>395</v>
      </c>
      <c r="B396" s="131" t="s">
        <v>1397</v>
      </c>
      <c r="C396" s="142" t="s">
        <v>1450</v>
      </c>
      <c r="D396" s="142" t="s">
        <v>1451</v>
      </c>
      <c r="E396" s="140" t="s">
        <v>1452</v>
      </c>
      <c r="F396" s="131">
        <f t="shared" ca="1" si="1"/>
        <v>5</v>
      </c>
      <c r="G396" s="106" t="str">
        <f ca="1">IFERROR(__xludf.DUMMYFUNCTION("INDEX(FILTER($P396:$AL396, $P396:$AL396 &lt;&gt; """"), 1)"),"The Art, Craft, and Science of Management: Learning through Classics and Best Collections (A)")</f>
        <v>The Art, Craft, and Science of Management: Learning through Classics and Best Collections (A)</v>
      </c>
      <c r="H396" s="106" t="str">
        <f ca="1">IFERROR(__xludf.DUMMYFUNCTION("INDEX(FILTER($P396:$AL396, $P396:$AL396 &lt;&gt; """"), 2)"),"Film &amp; the Firm: Visual Culture in Business Contexts (A)")</f>
        <v>Film &amp; the Firm: Visual Culture in Business Contexts (A)</v>
      </c>
      <c r="I396" s="106" t="str">
        <f ca="1">IFERROR(__xludf.DUMMYFUNCTION("INDEX(FILTER($P396:$AL396, $P396:$AL396 &lt;&gt; """"), 3)"),"Employer Branding")</f>
        <v>Employer Branding</v>
      </c>
      <c r="J396" s="106" t="str">
        <f ca="1">IFERROR(__xludf.DUMMYFUNCTION("IFERROR(INDEX(FILTER($P396:$AL396, $P396:$AL396 &lt;&gt; """"), 4),)"),"")</f>
        <v/>
      </c>
      <c r="K396" s="106" t="str">
        <f ca="1">IFERROR(__xludf.DUMMYFUNCTION("IFERROR(INDEX(FILTER($P396:$AL396, $P396:$AL396 &lt;&gt; """"), 5),)"),"")</f>
        <v/>
      </c>
      <c r="L396" s="107"/>
      <c r="M396" s="107"/>
      <c r="N396" s="107"/>
      <c r="O396" s="107"/>
      <c r="P396" s="132" t="str">
        <f>IF(COUNTIF('Fintech-A'!$A:$A, $C396), P$1, "")</f>
        <v/>
      </c>
      <c r="Q396" s="132" t="str">
        <f>IF(COUNTIF('Fintech-B'!$A:$A, $C396), Q$1, "")</f>
        <v/>
      </c>
      <c r="R396" s="132" t="str">
        <f>IF(COUNTIF('BEDM-A'!$A:$A, $C396), R$1, "")</f>
        <v/>
      </c>
      <c r="S396" s="132" t="str">
        <f>IF(COUNTIF('BEDM-B'!$A:$A, $C396), S$1, "")</f>
        <v/>
      </c>
      <c r="T396" s="132" t="str">
        <f>IF(COUNTIF('Art-A'!$A:$A, $C396), T$1, "")</f>
        <v>The Art, Craft, and Science of Management: Learning through Classics and Best Collections (A)</v>
      </c>
      <c r="U396" s="132" t="str">
        <f>IF(COUNTIF('Art-B'!$A:$A, $C396), U$1, "")</f>
        <v/>
      </c>
      <c r="V396" s="132" t="str">
        <f>IF(COUNTIF('WH-A'!$A:$A, $C396), V$1, "")</f>
        <v/>
      </c>
      <c r="W396" s="132" t="str">
        <f>IF(COUNTIF('WH-B'!$A:$A, $C396), W$1, "")</f>
        <v/>
      </c>
      <c r="X396" s="132" t="str">
        <f>IF(COUNTIF(LETV!$A:$A, $C396), X$1, "")</f>
        <v/>
      </c>
      <c r="Y396" s="132" t="str">
        <f>IF(COUNTIF('Film&amp;Firm-A'!$A:$A, $C396), Y$1, "")</f>
        <v>Film &amp; the Firm: Visual Culture in Business Contexts (A)</v>
      </c>
      <c r="Z396" s="132" t="str">
        <f>IF(COUNTIF('Film&amp;Firm-B'!$A:$A, $C396), Z$1, "")</f>
        <v/>
      </c>
      <c r="AA396" s="132" t="str">
        <f>IF(COUNTIF(SHRM!$A:$A, $C396), AA$1, "")</f>
        <v/>
      </c>
      <c r="AB396" s="132" t="str">
        <f>IF(COUNTIF('SCM-A'!$A:$A, $C396), AB$1, "")</f>
        <v/>
      </c>
      <c r="AC396" s="132" t="str">
        <f>IF(COUNTIF('SCM-B'!$A:$A, $C396), AC$1, "")</f>
        <v/>
      </c>
      <c r="AD396" s="132" t="str">
        <f>IF(COUNTIF(AIS!$A:$A, $C396), AD$1, "")</f>
        <v/>
      </c>
      <c r="AE396" s="132" t="str">
        <f>IF(COUNTIF(EB!$A:$A, $C396), AE$1, "")</f>
        <v>Employer Branding</v>
      </c>
      <c r="AF396" s="132" t="str">
        <f>IF(COUNTIF('AIAM-A'!$A:$A, $C396), AF$1, "")</f>
        <v/>
      </c>
      <c r="AG396" s="132" t="str">
        <f>IF(COUNTIF('AIAM-B'!$A:$A, $C396), AG$1, "")</f>
        <v/>
      </c>
      <c r="AH396" s="132" t="str">
        <f>IF(COUNTIF('SA-A'!$A:$A, $C396), AH$1, "")</f>
        <v/>
      </c>
      <c r="AI396" s="132" t="str">
        <f>IF(COUNTIF('SA-B'!$A:$A, $C396), AI$1, "")</f>
        <v/>
      </c>
      <c r="AJ396" s="132" t="str">
        <f>IF(COUNTIF(CSM!$A:$A, $C396), AJ$1, "")</f>
        <v/>
      </c>
      <c r="AK396" s="132" t="str">
        <f>IF(COUNTIF(EM!$A:$A, $C396), AK$1, "")</f>
        <v/>
      </c>
      <c r="AL396" s="132" t="str">
        <f>IF(COUNTIF(I4TS!$A:$A, $C396), AL$1, "")</f>
        <v/>
      </c>
    </row>
    <row r="397" spans="1:38" ht="14">
      <c r="A397" s="131">
        <v>396</v>
      </c>
      <c r="B397" s="131" t="s">
        <v>1397</v>
      </c>
      <c r="C397" s="142" t="s">
        <v>1453</v>
      </c>
      <c r="D397" s="142" t="s">
        <v>1454</v>
      </c>
      <c r="E397" s="140" t="s">
        <v>1455</v>
      </c>
      <c r="F397" s="131">
        <f t="shared" ca="1" si="1"/>
        <v>5</v>
      </c>
      <c r="G397" s="106" t="str">
        <f ca="1">IFERROR(__xludf.DUMMYFUNCTION("INDEX(FILTER($P397:$AL397, $P397:$AL397 &lt;&gt; """"), 1)"),"The Art, Craft, and Science of Management: Learning through Classics and Best Collections (B)")</f>
        <v>The Art, Craft, and Science of Management: Learning through Classics and Best Collections (B)</v>
      </c>
      <c r="H397" s="106" t="str">
        <f ca="1">IFERROR(__xludf.DUMMYFUNCTION("INDEX(FILTER($P397:$AL397, $P397:$AL397 &lt;&gt; """"), 2)"),"Strategic HRM")</f>
        <v>Strategic HRM</v>
      </c>
      <c r="I397" s="106" t="str">
        <f ca="1">IFERROR(__xludf.DUMMYFUNCTION("INDEX(FILTER($P397:$AL397, $P397:$AL397 &lt;&gt; """"), 3)"),"Employer Branding")</f>
        <v>Employer Branding</v>
      </c>
      <c r="J397" s="106" t="str">
        <f ca="1">IFERROR(__xludf.DUMMYFUNCTION("IFERROR(INDEX(FILTER($P397:$AL397, $P397:$AL397 &lt;&gt; """"), 4),)"),"")</f>
        <v/>
      </c>
      <c r="K397" s="106" t="str">
        <f ca="1">IFERROR(__xludf.DUMMYFUNCTION("IFERROR(INDEX(FILTER($P397:$AL397, $P397:$AL397 &lt;&gt; """"), 5),)"),"")</f>
        <v/>
      </c>
      <c r="L397" s="107"/>
      <c r="M397" s="107"/>
      <c r="N397" s="107"/>
      <c r="O397" s="107"/>
      <c r="P397" s="132" t="str">
        <f>IF(COUNTIF('Fintech-A'!$A:$A, $C397), P$1, "")</f>
        <v/>
      </c>
      <c r="Q397" s="132" t="str">
        <f>IF(COUNTIF('Fintech-B'!$A:$A, $C397), Q$1, "")</f>
        <v/>
      </c>
      <c r="R397" s="132" t="str">
        <f>IF(COUNTIF('BEDM-A'!$A:$A, $C397), R$1, "")</f>
        <v/>
      </c>
      <c r="S397" s="132" t="str">
        <f>IF(COUNTIF('BEDM-B'!$A:$A, $C397), S$1, "")</f>
        <v/>
      </c>
      <c r="T397" s="132" t="str">
        <f>IF(COUNTIF('Art-A'!$A:$A, $C397), T$1, "")</f>
        <v/>
      </c>
      <c r="U397" s="132" t="str">
        <f>IF(COUNTIF('Art-B'!$A:$A, $C397), U$1, "")</f>
        <v>The Art, Craft, and Science of Management: Learning through Classics and Best Collections (B)</v>
      </c>
      <c r="V397" s="132" t="str">
        <f>IF(COUNTIF('WH-A'!$A:$A, $C397), V$1, "")</f>
        <v/>
      </c>
      <c r="W397" s="132" t="str">
        <f>IF(COUNTIF('WH-B'!$A:$A, $C397), W$1, "")</f>
        <v/>
      </c>
      <c r="X397" s="132" t="str">
        <f>IF(COUNTIF(LETV!$A:$A, $C397), X$1, "")</f>
        <v/>
      </c>
      <c r="Y397" s="132" t="str">
        <f>IF(COUNTIF('Film&amp;Firm-A'!$A:$A, $C397), Y$1, "")</f>
        <v/>
      </c>
      <c r="Z397" s="132" t="str">
        <f>IF(COUNTIF('Film&amp;Firm-B'!$A:$A, $C397), Z$1, "")</f>
        <v/>
      </c>
      <c r="AA397" s="132" t="str">
        <f>IF(COUNTIF(SHRM!$A:$A, $C397), AA$1, "")</f>
        <v>Strategic HRM</v>
      </c>
      <c r="AB397" s="132" t="str">
        <f>IF(COUNTIF('SCM-A'!$A:$A, $C397), AB$1, "")</f>
        <v/>
      </c>
      <c r="AC397" s="132" t="str">
        <f>IF(COUNTIF('SCM-B'!$A:$A, $C397), AC$1, "")</f>
        <v/>
      </c>
      <c r="AD397" s="132" t="str">
        <f>IF(COUNTIF(AIS!$A:$A, $C397), AD$1, "")</f>
        <v/>
      </c>
      <c r="AE397" s="132" t="str">
        <f>IF(COUNTIF(EB!$A:$A, $C397), AE$1, "")</f>
        <v>Employer Branding</v>
      </c>
      <c r="AF397" s="132" t="str">
        <f>IF(COUNTIF('AIAM-A'!$A:$A, $C397), AF$1, "")</f>
        <v/>
      </c>
      <c r="AG397" s="132" t="str">
        <f>IF(COUNTIF('AIAM-B'!$A:$A, $C397), AG$1, "")</f>
        <v/>
      </c>
      <c r="AH397" s="132" t="str">
        <f>IF(COUNTIF('SA-A'!$A:$A, $C397), AH$1, "")</f>
        <v/>
      </c>
      <c r="AI397" s="132" t="str">
        <f>IF(COUNTIF('SA-B'!$A:$A, $C397), AI$1, "")</f>
        <v/>
      </c>
      <c r="AJ397" s="132" t="str">
        <f>IF(COUNTIF(CSM!$A:$A, $C397), AJ$1, "")</f>
        <v/>
      </c>
      <c r="AK397" s="132" t="str">
        <f>IF(COUNTIF(EM!$A:$A, $C397), AK$1, "")</f>
        <v/>
      </c>
      <c r="AL397" s="132" t="str">
        <f>IF(COUNTIF(I4TS!$A:$A, $C397), AL$1, "")</f>
        <v/>
      </c>
    </row>
    <row r="398" spans="1:38" ht="14">
      <c r="A398" s="131">
        <v>397</v>
      </c>
      <c r="B398" s="131" t="s">
        <v>1397</v>
      </c>
      <c r="C398" s="142" t="s">
        <v>1456</v>
      </c>
      <c r="D398" s="142" t="s">
        <v>1457</v>
      </c>
      <c r="E398" s="140" t="s">
        <v>1458</v>
      </c>
      <c r="F398" s="131">
        <f t="shared" ca="1" si="1"/>
        <v>5</v>
      </c>
      <c r="G398" s="106" t="str">
        <f ca="1">IFERROR(__xludf.DUMMYFUNCTION("INDEX(FILTER($P398:$AL398, $P398:$AL398 &lt;&gt; """"), 1)"),"Workplace Happiness: Science &amp; Practice (B)")</f>
        <v>Workplace Happiness: Science &amp; Practice (B)</v>
      </c>
      <c r="H398" s="106" t="str">
        <f ca="1">IFERROR(__xludf.DUMMYFUNCTION("INDEX(FILTER($P398:$AL398, $P398:$AL398 &lt;&gt; """"), 2)"),"Leadership Excellence Through Values : Wisdom from the Mahabharata")</f>
        <v>Leadership Excellence Through Values : Wisdom from the Mahabharata</v>
      </c>
      <c r="I398" s="106" t="str">
        <f ca="1">IFERROR(__xludf.DUMMYFUNCTION("INDEX(FILTER($P398:$AL398, $P398:$AL398 &lt;&gt; """"), 3)"),"Film &amp; the Firm: Visual Culture in Business Contexts (B)")</f>
        <v>Film &amp; the Firm: Visual Culture in Business Contexts (B)</v>
      </c>
      <c r="J398" s="106" t="str">
        <f ca="1">IFERROR(__xludf.DUMMYFUNCTION("IFERROR(INDEX(FILTER($P398:$AL398, $P398:$AL398 &lt;&gt; """"), 4),)"),"")</f>
        <v/>
      </c>
      <c r="K398" s="106" t="str">
        <f ca="1">IFERROR(__xludf.DUMMYFUNCTION("IFERROR(INDEX(FILTER($P398:$AL398, $P398:$AL398 &lt;&gt; """"), 5),)"),"")</f>
        <v/>
      </c>
      <c r="L398" s="107"/>
      <c r="M398" s="107"/>
      <c r="N398" s="107"/>
      <c r="O398" s="107"/>
      <c r="P398" s="132" t="str">
        <f>IF(COUNTIF('Fintech-A'!$A:$A, $C398), P$1, "")</f>
        <v/>
      </c>
      <c r="Q398" s="132" t="str">
        <f>IF(COUNTIF('Fintech-B'!$A:$A, $C398), Q$1, "")</f>
        <v/>
      </c>
      <c r="R398" s="132" t="str">
        <f>IF(COUNTIF('BEDM-A'!$A:$A, $C398), R$1, "")</f>
        <v/>
      </c>
      <c r="S398" s="132" t="str">
        <f>IF(COUNTIF('BEDM-B'!$A:$A, $C398), S$1, "")</f>
        <v/>
      </c>
      <c r="T398" s="132" t="str">
        <f>IF(COUNTIF('Art-A'!$A:$A, $C398), T$1, "")</f>
        <v/>
      </c>
      <c r="U398" s="132" t="str">
        <f>IF(COUNTIF('Art-B'!$A:$A, $C398), U$1, "")</f>
        <v/>
      </c>
      <c r="V398" s="132" t="str">
        <f>IF(COUNTIF('WH-A'!$A:$A, $C398), V$1, "")</f>
        <v/>
      </c>
      <c r="W398" s="132" t="str">
        <f>IF(COUNTIF('WH-B'!$A:$A, $C398), W$1, "")</f>
        <v>Workplace Happiness: Science &amp; Practice (B)</v>
      </c>
      <c r="X398" s="132" t="str">
        <f>IF(COUNTIF(LETV!$A:$A, $C398), X$1, "")</f>
        <v>Leadership Excellence Through Values : Wisdom from the Mahabharata</v>
      </c>
      <c r="Y398" s="132" t="str">
        <f>IF(COUNTIF('Film&amp;Firm-A'!$A:$A, $C398), Y$1, "")</f>
        <v/>
      </c>
      <c r="Z398" s="132" t="str">
        <f>IF(COUNTIF('Film&amp;Firm-B'!$A:$A, $C398), Z$1, "")</f>
        <v>Film &amp; the Firm: Visual Culture in Business Contexts (B)</v>
      </c>
      <c r="AA398" s="132" t="str">
        <f>IF(COUNTIF(SHRM!$A:$A, $C398), AA$1, "")</f>
        <v/>
      </c>
      <c r="AB398" s="132" t="str">
        <f>IF(COUNTIF('SCM-A'!$A:$A, $C398), AB$1, "")</f>
        <v/>
      </c>
      <c r="AC398" s="132" t="str">
        <f>IF(COUNTIF('SCM-B'!$A:$A, $C398), AC$1, "")</f>
        <v/>
      </c>
      <c r="AD398" s="132" t="str">
        <f>IF(COUNTIF(AIS!$A:$A, $C398), AD$1, "")</f>
        <v/>
      </c>
      <c r="AE398" s="132" t="str">
        <f>IF(COUNTIF(EB!$A:$A, $C398), AE$1, "")</f>
        <v/>
      </c>
      <c r="AF398" s="132" t="str">
        <f>IF(COUNTIF('AIAM-A'!$A:$A, $C398), AF$1, "")</f>
        <v/>
      </c>
      <c r="AG398" s="132" t="str">
        <f>IF(COUNTIF('AIAM-B'!$A:$A, $C398), AG$1, "")</f>
        <v/>
      </c>
      <c r="AH398" s="132" t="str">
        <f>IF(COUNTIF('SA-A'!$A:$A, $C398), AH$1, "")</f>
        <v/>
      </c>
      <c r="AI398" s="132" t="str">
        <f>IF(COUNTIF('SA-B'!$A:$A, $C398), AI$1, "")</f>
        <v/>
      </c>
      <c r="AJ398" s="132" t="str">
        <f>IF(COUNTIF(CSM!$A:$A, $C398), AJ$1, "")</f>
        <v/>
      </c>
      <c r="AK398" s="132" t="str">
        <f>IF(COUNTIF(EM!$A:$A, $C398), AK$1, "")</f>
        <v/>
      </c>
      <c r="AL398" s="132" t="str">
        <f>IF(COUNTIF(I4TS!$A:$A, $C398), AL$1, "")</f>
        <v/>
      </c>
    </row>
    <row r="399" spans="1:38" ht="14">
      <c r="A399" s="131">
        <v>398</v>
      </c>
      <c r="B399" s="131" t="s">
        <v>1397</v>
      </c>
      <c r="C399" s="142" t="s">
        <v>1459</v>
      </c>
      <c r="D399" s="142" t="s">
        <v>1460</v>
      </c>
      <c r="E399" s="140" t="s">
        <v>1461</v>
      </c>
      <c r="F399" s="131">
        <f t="shared" ca="1" si="1"/>
        <v>5</v>
      </c>
      <c r="G399" s="106" t="str">
        <f ca="1">IFERROR(__xludf.DUMMYFUNCTION("INDEX(FILTER($P399:$AL399, $P399:$AL399 &lt;&gt; """"), 1)"),"The Art, Craft, and Science of Management: Learning through Classics and Best Collections (B)")</f>
        <v>The Art, Craft, and Science of Management: Learning through Classics and Best Collections (B)</v>
      </c>
      <c r="H399" s="106" t="str">
        <f ca="1">IFERROR(__xludf.DUMMYFUNCTION("INDEX(FILTER($P399:$AL399, $P399:$AL399 &lt;&gt; """"), 2)"),"Strategic HRM")</f>
        <v>Strategic HRM</v>
      </c>
      <c r="I399" s="106" t="str">
        <f ca="1">IFERROR(__xludf.DUMMYFUNCTION("INDEX(FILTER($P399:$AL399, $P399:$AL399 &lt;&gt; """"), 3)"),"Employer Branding")</f>
        <v>Employer Branding</v>
      </c>
      <c r="J399" s="106" t="str">
        <f ca="1">IFERROR(__xludf.DUMMYFUNCTION("IFERROR(INDEX(FILTER($P399:$AL399, $P399:$AL399 &lt;&gt; """"), 4),)"),"")</f>
        <v/>
      </c>
      <c r="K399" s="106" t="str">
        <f ca="1">IFERROR(__xludf.DUMMYFUNCTION("IFERROR(INDEX(FILTER($P399:$AL399, $P399:$AL399 &lt;&gt; """"), 5),)"),"")</f>
        <v/>
      </c>
      <c r="L399" s="107"/>
      <c r="M399" s="107"/>
      <c r="N399" s="107"/>
      <c r="O399" s="107"/>
      <c r="P399" s="132" t="str">
        <f>IF(COUNTIF('Fintech-A'!$A:$A, $C399), P$1, "")</f>
        <v/>
      </c>
      <c r="Q399" s="132" t="str">
        <f>IF(COUNTIF('Fintech-B'!$A:$A, $C399), Q$1, "")</f>
        <v/>
      </c>
      <c r="R399" s="132" t="str">
        <f>IF(COUNTIF('BEDM-A'!$A:$A, $C399), R$1, "")</f>
        <v/>
      </c>
      <c r="S399" s="132" t="str">
        <f>IF(COUNTIF('BEDM-B'!$A:$A, $C399), S$1, "")</f>
        <v/>
      </c>
      <c r="T399" s="132" t="str">
        <f>IF(COUNTIF('Art-A'!$A:$A, $C399), T$1, "")</f>
        <v/>
      </c>
      <c r="U399" s="132" t="str">
        <f>IF(COUNTIF('Art-B'!$A:$A, $C399), U$1, "")</f>
        <v>The Art, Craft, and Science of Management: Learning through Classics and Best Collections (B)</v>
      </c>
      <c r="V399" s="132" t="str">
        <f>IF(COUNTIF('WH-A'!$A:$A, $C399), V$1, "")</f>
        <v/>
      </c>
      <c r="W399" s="132" t="str">
        <f>IF(COUNTIF('WH-B'!$A:$A, $C399), W$1, "")</f>
        <v/>
      </c>
      <c r="X399" s="132" t="str">
        <f>IF(COUNTIF(LETV!$A:$A, $C399), X$1, "")</f>
        <v/>
      </c>
      <c r="Y399" s="132" t="str">
        <f>IF(COUNTIF('Film&amp;Firm-A'!$A:$A, $C399), Y$1, "")</f>
        <v/>
      </c>
      <c r="Z399" s="132" t="str">
        <f>IF(COUNTIF('Film&amp;Firm-B'!$A:$A, $C399), Z$1, "")</f>
        <v/>
      </c>
      <c r="AA399" s="132" t="str">
        <f>IF(COUNTIF(SHRM!$A:$A, $C399), AA$1, "")</f>
        <v>Strategic HRM</v>
      </c>
      <c r="AB399" s="132" t="str">
        <f>IF(COUNTIF('SCM-A'!$A:$A, $C399), AB$1, "")</f>
        <v/>
      </c>
      <c r="AC399" s="132" t="str">
        <f>IF(COUNTIF('SCM-B'!$A:$A, $C399), AC$1, "")</f>
        <v/>
      </c>
      <c r="AD399" s="132" t="str">
        <f>IF(COUNTIF(AIS!$A:$A, $C399), AD$1, "")</f>
        <v/>
      </c>
      <c r="AE399" s="132" t="str">
        <f>IF(COUNTIF(EB!$A:$A, $C399), AE$1, "")</f>
        <v>Employer Branding</v>
      </c>
      <c r="AF399" s="132" t="str">
        <f>IF(COUNTIF('AIAM-A'!$A:$A, $C399), AF$1, "")</f>
        <v/>
      </c>
      <c r="AG399" s="132" t="str">
        <f>IF(COUNTIF('AIAM-B'!$A:$A, $C399), AG$1, "")</f>
        <v/>
      </c>
      <c r="AH399" s="132" t="str">
        <f>IF(COUNTIF('SA-A'!$A:$A, $C399), AH$1, "")</f>
        <v/>
      </c>
      <c r="AI399" s="132" t="str">
        <f>IF(COUNTIF('SA-B'!$A:$A, $C399), AI$1, "")</f>
        <v/>
      </c>
      <c r="AJ399" s="132" t="str">
        <f>IF(COUNTIF(CSM!$A:$A, $C399), AJ$1, "")</f>
        <v/>
      </c>
      <c r="AK399" s="132" t="str">
        <f>IF(COUNTIF(EM!$A:$A, $C399), AK$1, "")</f>
        <v/>
      </c>
      <c r="AL399" s="132" t="str">
        <f>IF(COUNTIF(I4TS!$A:$A, $C399), AL$1, "")</f>
        <v/>
      </c>
    </row>
    <row r="400" spans="1:38" ht="14">
      <c r="A400" s="131">
        <v>399</v>
      </c>
      <c r="B400" s="131" t="s">
        <v>1397</v>
      </c>
      <c r="C400" s="142" t="s">
        <v>1462</v>
      </c>
      <c r="D400" s="142" t="s">
        <v>1463</v>
      </c>
      <c r="E400" s="140" t="s">
        <v>1464</v>
      </c>
      <c r="F400" s="131">
        <f t="shared" ca="1" si="1"/>
        <v>5</v>
      </c>
      <c r="G400" s="106" t="str">
        <f ca="1">IFERROR(__xludf.DUMMYFUNCTION("INDEX(FILTER($P400:$AL400, $P400:$AL400 &lt;&gt; """"), 1)"),"Workplace Happiness: Science &amp; Practice (B)")</f>
        <v>Workplace Happiness: Science &amp; Practice (B)</v>
      </c>
      <c r="H400" s="106" t="str">
        <f ca="1">IFERROR(__xludf.DUMMYFUNCTION("INDEX(FILTER($P400:$AL400, $P400:$AL400 &lt;&gt; """"), 2)"),"Leadership Excellence Through Values : Wisdom from the Mahabharata")</f>
        <v>Leadership Excellence Through Values : Wisdom from the Mahabharata</v>
      </c>
      <c r="I400" s="106" t="str">
        <f ca="1">IFERROR(__xludf.DUMMYFUNCTION("INDEX(FILTER($P400:$AL400, $P400:$AL400 &lt;&gt; """"), 3)"),"Strategic Career Management (A)")</f>
        <v>Strategic Career Management (A)</v>
      </c>
      <c r="J400" s="106" t="str">
        <f ca="1">IFERROR(__xludf.DUMMYFUNCTION("IFERROR(INDEX(FILTER($P400:$AL400, $P400:$AL400 &lt;&gt; """"), 4),)"),"")</f>
        <v/>
      </c>
      <c r="K400" s="106" t="str">
        <f ca="1">IFERROR(__xludf.DUMMYFUNCTION("IFERROR(INDEX(FILTER($P400:$AL400, $P400:$AL400 &lt;&gt; """"), 5),)"),"")</f>
        <v/>
      </c>
      <c r="L400" s="107"/>
      <c r="M400" s="107"/>
      <c r="N400" s="107"/>
      <c r="O400" s="107"/>
      <c r="P400" s="132" t="str">
        <f>IF(COUNTIF('Fintech-A'!$A:$A, $C400), P$1, "")</f>
        <v/>
      </c>
      <c r="Q400" s="132" t="str">
        <f>IF(COUNTIF('Fintech-B'!$A:$A, $C400), Q$1, "")</f>
        <v/>
      </c>
      <c r="R400" s="132" t="str">
        <f>IF(COUNTIF('BEDM-A'!$A:$A, $C400), R$1, "")</f>
        <v/>
      </c>
      <c r="S400" s="132" t="str">
        <f>IF(COUNTIF('BEDM-B'!$A:$A, $C400), S$1, "")</f>
        <v/>
      </c>
      <c r="T400" s="132" t="str">
        <f>IF(COUNTIF('Art-A'!$A:$A, $C400), T$1, "")</f>
        <v/>
      </c>
      <c r="U400" s="132" t="str">
        <f>IF(COUNTIF('Art-B'!$A:$A, $C400), U$1, "")</f>
        <v/>
      </c>
      <c r="V400" s="132" t="str">
        <f>IF(COUNTIF('WH-A'!$A:$A, $C400), V$1, "")</f>
        <v/>
      </c>
      <c r="W400" s="132" t="str">
        <f>IF(COUNTIF('WH-B'!$A:$A, $C400), W$1, "")</f>
        <v>Workplace Happiness: Science &amp; Practice (B)</v>
      </c>
      <c r="X400" s="132" t="str">
        <f>IF(COUNTIF(LETV!$A:$A, $C400), X$1, "")</f>
        <v>Leadership Excellence Through Values : Wisdom from the Mahabharata</v>
      </c>
      <c r="Y400" s="132" t="str">
        <f>IF(COUNTIF('Film&amp;Firm-A'!$A:$A, $C400), Y$1, "")</f>
        <v/>
      </c>
      <c r="Z400" s="132" t="str">
        <f>IF(COUNTIF('Film&amp;Firm-B'!$A:$A, $C400), Z$1, "")</f>
        <v/>
      </c>
      <c r="AA400" s="132" t="str">
        <f>IF(COUNTIF(SHRM!$A:$A, $C400), AA$1, "")</f>
        <v/>
      </c>
      <c r="AB400" s="132" t="str">
        <f>IF(COUNTIF('SCM-A'!$A:$A, $C400), AB$1, "")</f>
        <v>Strategic Career Management (A)</v>
      </c>
      <c r="AC400" s="132" t="str">
        <f>IF(COUNTIF('SCM-B'!$A:$A, $C400), AC$1, "")</f>
        <v/>
      </c>
      <c r="AD400" s="132" t="str">
        <f>IF(COUNTIF(AIS!$A:$A, $C400), AD$1, "")</f>
        <v/>
      </c>
      <c r="AE400" s="132" t="str">
        <f>IF(COUNTIF(EB!$A:$A, $C400), AE$1, "")</f>
        <v/>
      </c>
      <c r="AF400" s="132" t="str">
        <f>IF(COUNTIF('AIAM-A'!$A:$A, $C400), AF$1, "")</f>
        <v/>
      </c>
      <c r="AG400" s="132" t="str">
        <f>IF(COUNTIF('AIAM-B'!$A:$A, $C400), AG$1, "")</f>
        <v/>
      </c>
      <c r="AH400" s="132" t="str">
        <f>IF(COUNTIF('SA-A'!$A:$A, $C400), AH$1, "")</f>
        <v/>
      </c>
      <c r="AI400" s="132" t="str">
        <f>IF(COUNTIF('SA-B'!$A:$A, $C400), AI$1, "")</f>
        <v/>
      </c>
      <c r="AJ400" s="132" t="str">
        <f>IF(COUNTIF(CSM!$A:$A, $C400), AJ$1, "")</f>
        <v/>
      </c>
      <c r="AK400" s="132" t="str">
        <f>IF(COUNTIF(EM!$A:$A, $C400), AK$1, "")</f>
        <v/>
      </c>
      <c r="AL400" s="132" t="str">
        <f>IF(COUNTIF(I4TS!$A:$A, $C400), AL$1, "")</f>
        <v/>
      </c>
    </row>
    <row r="401" spans="1:38" ht="14">
      <c r="A401" s="131">
        <v>400</v>
      </c>
      <c r="B401" s="131" t="s">
        <v>1397</v>
      </c>
      <c r="C401" s="142" t="s">
        <v>1465</v>
      </c>
      <c r="D401" s="142" t="s">
        <v>1466</v>
      </c>
      <c r="E401" s="140" t="s">
        <v>1467</v>
      </c>
      <c r="F401" s="131">
        <f t="shared" ca="1" si="1"/>
        <v>5</v>
      </c>
      <c r="G401" s="106" t="str">
        <f ca="1">IFERROR(__xludf.DUMMYFUNCTION("INDEX(FILTER($P401:$AL401, $P401:$AL401 &lt;&gt; """"), 1)"),"The Art, Craft, and Science of Management: Learning through Classics and Best Collections (B)")</f>
        <v>The Art, Craft, and Science of Management: Learning through Classics and Best Collections (B)</v>
      </c>
      <c r="H401" s="106" t="str">
        <f ca="1">IFERROR(__xludf.DUMMYFUNCTION("INDEX(FILTER($P401:$AL401, $P401:$AL401 &lt;&gt; """"), 2)"),"Workplace Happiness: Science &amp; Practice (B)")</f>
        <v>Workplace Happiness: Science &amp; Practice (B)</v>
      </c>
      <c r="I401" s="106" t="str">
        <f ca="1">IFERROR(__xludf.DUMMYFUNCTION("INDEX(FILTER($P401:$AL401, $P401:$AL401 &lt;&gt; """"), 3)"),"Strategic HRM")</f>
        <v>Strategic HRM</v>
      </c>
      <c r="J401" s="106" t="str">
        <f ca="1">IFERROR(__xludf.DUMMYFUNCTION("IFERROR(INDEX(FILTER($P401:$AL401, $P401:$AL401 &lt;&gt; """"), 4),)"),"")</f>
        <v/>
      </c>
      <c r="K401" s="106" t="str">
        <f ca="1">IFERROR(__xludf.DUMMYFUNCTION("IFERROR(INDEX(FILTER($P401:$AL401, $P401:$AL401 &lt;&gt; """"), 5),)"),"")</f>
        <v/>
      </c>
      <c r="L401" s="107"/>
      <c r="M401" s="107"/>
      <c r="N401" s="107"/>
      <c r="O401" s="107"/>
      <c r="P401" s="132" t="str">
        <f>IF(COUNTIF('Fintech-A'!$A:$A, $C401), P$1, "")</f>
        <v/>
      </c>
      <c r="Q401" s="132" t="str">
        <f>IF(COUNTIF('Fintech-B'!$A:$A, $C401), Q$1, "")</f>
        <v/>
      </c>
      <c r="R401" s="132" t="str">
        <f>IF(COUNTIF('BEDM-A'!$A:$A, $C401), R$1, "")</f>
        <v/>
      </c>
      <c r="S401" s="132" t="str">
        <f>IF(COUNTIF('BEDM-B'!$A:$A, $C401), S$1, "")</f>
        <v/>
      </c>
      <c r="T401" s="132" t="str">
        <f>IF(COUNTIF('Art-A'!$A:$A, $C401), T$1, "")</f>
        <v/>
      </c>
      <c r="U401" s="132" t="str">
        <f>IF(COUNTIF('Art-B'!$A:$A, $C401), U$1, "")</f>
        <v>The Art, Craft, and Science of Management: Learning through Classics and Best Collections (B)</v>
      </c>
      <c r="V401" s="132" t="str">
        <f>IF(COUNTIF('WH-A'!$A:$A, $C401), V$1, "")</f>
        <v/>
      </c>
      <c r="W401" s="132" t="str">
        <f>IF(COUNTIF('WH-B'!$A:$A, $C401), W$1, "")</f>
        <v>Workplace Happiness: Science &amp; Practice (B)</v>
      </c>
      <c r="X401" s="132" t="str">
        <f>IF(COUNTIF(LETV!$A:$A, $C401), X$1, "")</f>
        <v/>
      </c>
      <c r="Y401" s="132" t="str">
        <f>IF(COUNTIF('Film&amp;Firm-A'!$A:$A, $C401), Y$1, "")</f>
        <v/>
      </c>
      <c r="Z401" s="132" t="str">
        <f>IF(COUNTIF('Film&amp;Firm-B'!$A:$A, $C401), Z$1, "")</f>
        <v/>
      </c>
      <c r="AA401" s="132" t="str">
        <f>IF(COUNTIF(SHRM!$A:$A, $C401), AA$1, "")</f>
        <v>Strategic HRM</v>
      </c>
      <c r="AB401" s="132" t="str">
        <f>IF(COUNTIF('SCM-A'!$A:$A, $C401), AB$1, "")</f>
        <v/>
      </c>
      <c r="AC401" s="132" t="str">
        <f>IF(COUNTIF('SCM-B'!$A:$A, $C401), AC$1, "")</f>
        <v/>
      </c>
      <c r="AD401" s="132" t="str">
        <f>IF(COUNTIF(AIS!$A:$A, $C401), AD$1, "")</f>
        <v/>
      </c>
      <c r="AE401" s="132" t="str">
        <f>IF(COUNTIF(EB!$A:$A, $C401), AE$1, "")</f>
        <v/>
      </c>
      <c r="AF401" s="132" t="str">
        <f>IF(COUNTIF('AIAM-A'!$A:$A, $C401), AF$1, "")</f>
        <v/>
      </c>
      <c r="AG401" s="132" t="str">
        <f>IF(COUNTIF('AIAM-B'!$A:$A, $C401), AG$1, "")</f>
        <v/>
      </c>
      <c r="AH401" s="132" t="str">
        <f>IF(COUNTIF('SA-A'!$A:$A, $C401), AH$1, "")</f>
        <v/>
      </c>
      <c r="AI401" s="132" t="str">
        <f>IF(COUNTIF('SA-B'!$A:$A, $C401), AI$1, "")</f>
        <v/>
      </c>
      <c r="AJ401" s="132" t="str">
        <f>IF(COUNTIF(CSM!$A:$A, $C401), AJ$1, "")</f>
        <v/>
      </c>
      <c r="AK401" s="132" t="str">
        <f>IF(COUNTIF(EM!$A:$A, $C401), AK$1, "")</f>
        <v/>
      </c>
      <c r="AL401" s="132" t="str">
        <f>IF(COUNTIF(I4TS!$A:$A, $C401), AL$1, "")</f>
        <v/>
      </c>
    </row>
    <row r="402" spans="1:38" ht="14">
      <c r="A402" s="131">
        <v>401</v>
      </c>
      <c r="B402" s="131" t="s">
        <v>1397</v>
      </c>
      <c r="C402" s="142" t="s">
        <v>1468</v>
      </c>
      <c r="D402" s="142" t="s">
        <v>1469</v>
      </c>
      <c r="E402" s="140" t="s">
        <v>1470</v>
      </c>
      <c r="F402" s="131">
        <f t="shared" ca="1" si="1"/>
        <v>5</v>
      </c>
      <c r="G402" s="106" t="str">
        <f ca="1">IFERROR(__xludf.DUMMYFUNCTION("INDEX(FILTER($P402:$AL402, $P402:$AL402 &lt;&gt; """"), 1)"),"Workplace Happiness: Science &amp; Practice (B)")</f>
        <v>Workplace Happiness: Science &amp; Practice (B)</v>
      </c>
      <c r="H402" s="106" t="str">
        <f ca="1">IFERROR(__xludf.DUMMYFUNCTION("INDEX(FILTER($P402:$AL402, $P402:$AL402 &lt;&gt; """"), 2)"),"Strategic HRM")</f>
        <v>Strategic HRM</v>
      </c>
      <c r="I402" s="106" t="str">
        <f ca="1">IFERROR(__xludf.DUMMYFUNCTION("INDEX(FILTER($P402:$AL402, $P402:$AL402 &lt;&gt; """"), 3)"),"Employer Branding")</f>
        <v>Employer Branding</v>
      </c>
      <c r="J402" s="106" t="str">
        <f ca="1">IFERROR(__xludf.DUMMYFUNCTION("IFERROR(INDEX(FILTER($P402:$AL402, $P402:$AL402 &lt;&gt; """"), 4),)"),"")</f>
        <v/>
      </c>
      <c r="K402" s="106" t="str">
        <f ca="1">IFERROR(__xludf.DUMMYFUNCTION("IFERROR(INDEX(FILTER($P402:$AL402, $P402:$AL402 &lt;&gt; """"), 5),)"),"")</f>
        <v/>
      </c>
      <c r="L402" s="107"/>
      <c r="M402" s="107"/>
      <c r="N402" s="107"/>
      <c r="O402" s="107"/>
      <c r="P402" s="132" t="str">
        <f>IF(COUNTIF('Fintech-A'!$A:$A, $C402), P$1, "")</f>
        <v/>
      </c>
      <c r="Q402" s="132" t="str">
        <f>IF(COUNTIF('Fintech-B'!$A:$A, $C402), Q$1, "")</f>
        <v/>
      </c>
      <c r="R402" s="132" t="str">
        <f>IF(COUNTIF('BEDM-A'!$A:$A, $C402), R$1, "")</f>
        <v/>
      </c>
      <c r="S402" s="132" t="str">
        <f>IF(COUNTIF('BEDM-B'!$A:$A, $C402), S$1, "")</f>
        <v/>
      </c>
      <c r="T402" s="132" t="str">
        <f>IF(COUNTIF('Art-A'!$A:$A, $C402), T$1, "")</f>
        <v/>
      </c>
      <c r="U402" s="132" t="str">
        <f>IF(COUNTIF('Art-B'!$A:$A, $C402), U$1, "")</f>
        <v/>
      </c>
      <c r="V402" s="132" t="str">
        <f>IF(COUNTIF('WH-A'!$A:$A, $C402), V$1, "")</f>
        <v/>
      </c>
      <c r="W402" s="132" t="str">
        <f>IF(COUNTIF('WH-B'!$A:$A, $C402), W$1, "")</f>
        <v>Workplace Happiness: Science &amp; Practice (B)</v>
      </c>
      <c r="X402" s="132" t="str">
        <f>IF(COUNTIF(LETV!$A:$A, $C402), X$1, "")</f>
        <v/>
      </c>
      <c r="Y402" s="132" t="str">
        <f>IF(COUNTIF('Film&amp;Firm-A'!$A:$A, $C402), Y$1, "")</f>
        <v/>
      </c>
      <c r="Z402" s="132" t="str">
        <f>IF(COUNTIF('Film&amp;Firm-B'!$A:$A, $C402), Z$1, "")</f>
        <v/>
      </c>
      <c r="AA402" s="132" t="str">
        <f>IF(COUNTIF(SHRM!$A:$A, $C402), AA$1, "")</f>
        <v>Strategic HRM</v>
      </c>
      <c r="AB402" s="132" t="str">
        <f>IF(COUNTIF('SCM-A'!$A:$A, $C402), AB$1, "")</f>
        <v/>
      </c>
      <c r="AC402" s="132" t="str">
        <f>IF(COUNTIF('SCM-B'!$A:$A, $C402), AC$1, "")</f>
        <v/>
      </c>
      <c r="AD402" s="132" t="str">
        <f>IF(COUNTIF(AIS!$A:$A, $C402), AD$1, "")</f>
        <v/>
      </c>
      <c r="AE402" s="132" t="str">
        <f>IF(COUNTIF(EB!$A:$A, $C402), AE$1, "")</f>
        <v>Employer Branding</v>
      </c>
      <c r="AF402" s="132" t="str">
        <f>IF(COUNTIF('AIAM-A'!$A:$A, $C402), AF$1, "")</f>
        <v/>
      </c>
      <c r="AG402" s="132" t="str">
        <f>IF(COUNTIF('AIAM-B'!$A:$A, $C402), AG$1, "")</f>
        <v/>
      </c>
      <c r="AH402" s="132" t="str">
        <f>IF(COUNTIF('SA-A'!$A:$A, $C402), AH$1, "")</f>
        <v/>
      </c>
      <c r="AI402" s="132" t="str">
        <f>IF(COUNTIF('SA-B'!$A:$A, $C402), AI$1, "")</f>
        <v/>
      </c>
      <c r="AJ402" s="132" t="str">
        <f>IF(COUNTIF(CSM!$A:$A, $C402), AJ$1, "")</f>
        <v/>
      </c>
      <c r="AK402" s="132" t="str">
        <f>IF(COUNTIF(EM!$A:$A, $C402), AK$1, "")</f>
        <v/>
      </c>
      <c r="AL402" s="132" t="str">
        <f>IF(COUNTIF(I4TS!$A:$A, $C402), AL$1, "")</f>
        <v/>
      </c>
    </row>
    <row r="403" spans="1:38" ht="14">
      <c r="A403" s="131">
        <v>402</v>
      </c>
      <c r="B403" s="131" t="s">
        <v>1397</v>
      </c>
      <c r="C403" s="142" t="s">
        <v>194</v>
      </c>
      <c r="D403" s="142" t="s">
        <v>1471</v>
      </c>
      <c r="E403" s="140" t="s">
        <v>1472</v>
      </c>
      <c r="F403" s="131">
        <f t="shared" ca="1" si="1"/>
        <v>5</v>
      </c>
      <c r="G403" s="106" t="str">
        <f ca="1">IFERROR(__xludf.DUMMYFUNCTION("INDEX(FILTER($P403:$AL403, $P403:$AL403 &lt;&gt; """"), 1)"),"The Art, Craft, and Science of Management: Learning through Classics and Best Collections (B)")</f>
        <v>The Art, Craft, and Science of Management: Learning through Classics and Best Collections (B)</v>
      </c>
      <c r="H403" s="106" t="str">
        <f ca="1">IFERROR(__xludf.DUMMYFUNCTION("INDEX(FILTER($P403:$AL403, $P403:$AL403 &lt;&gt; """"), 2)"),"Strategic HRM")</f>
        <v>Strategic HRM</v>
      </c>
      <c r="I403" s="106" t="str">
        <f ca="1">IFERROR(__xludf.DUMMYFUNCTION("INDEX(FILTER($P403:$AL403, $P403:$AL403 &lt;&gt; """"), 3)"),"Strategic Career Management (A)")</f>
        <v>Strategic Career Management (A)</v>
      </c>
      <c r="J403" s="106" t="str">
        <f ca="1">IFERROR(__xludf.DUMMYFUNCTION("IFERROR(INDEX(FILTER($P403:$AL403, $P403:$AL403 &lt;&gt; """"), 4),)"),"")</f>
        <v/>
      </c>
      <c r="K403" s="106" t="str">
        <f ca="1">IFERROR(__xludf.DUMMYFUNCTION("IFERROR(INDEX(FILTER($P403:$AL403, $P403:$AL403 &lt;&gt; """"), 5),)"),"")</f>
        <v/>
      </c>
      <c r="L403" s="107"/>
      <c r="M403" s="107"/>
      <c r="N403" s="107"/>
      <c r="O403" s="107"/>
      <c r="P403" s="132" t="str">
        <f>IF(COUNTIF('Fintech-A'!$A:$A, $C403), P$1, "")</f>
        <v/>
      </c>
      <c r="Q403" s="132" t="str">
        <f>IF(COUNTIF('Fintech-B'!$A:$A, $C403), Q$1, "")</f>
        <v/>
      </c>
      <c r="R403" s="132" t="str">
        <f>IF(COUNTIF('BEDM-A'!$A:$A, $C403), R$1, "")</f>
        <v/>
      </c>
      <c r="S403" s="132" t="str">
        <f>IF(COUNTIF('BEDM-B'!$A:$A, $C403), S$1, "")</f>
        <v/>
      </c>
      <c r="T403" s="132" t="str">
        <f>IF(COUNTIF('Art-A'!$A:$A, $C403), T$1, "")</f>
        <v/>
      </c>
      <c r="U403" s="132" t="str">
        <f>IF(COUNTIF('Art-B'!$A:$A, $C403), U$1, "")</f>
        <v>The Art, Craft, and Science of Management: Learning through Classics and Best Collections (B)</v>
      </c>
      <c r="V403" s="132" t="str">
        <f>IF(COUNTIF('WH-A'!$A:$A, $C403), V$1, "")</f>
        <v/>
      </c>
      <c r="W403" s="132" t="str">
        <f>IF(COUNTIF('WH-B'!$A:$A, $C403), W$1, "")</f>
        <v/>
      </c>
      <c r="X403" s="132" t="str">
        <f>IF(COUNTIF(LETV!$A:$A, $C403), X$1, "")</f>
        <v/>
      </c>
      <c r="Y403" s="132" t="str">
        <f>IF(COUNTIF('Film&amp;Firm-A'!$A:$A, $C403), Y$1, "")</f>
        <v/>
      </c>
      <c r="Z403" s="132" t="str">
        <f>IF(COUNTIF('Film&amp;Firm-B'!$A:$A, $C403), Z$1, "")</f>
        <v/>
      </c>
      <c r="AA403" s="132" t="str">
        <f>IF(COUNTIF(SHRM!$A:$A, $C403), AA$1, "")</f>
        <v>Strategic HRM</v>
      </c>
      <c r="AB403" s="132" t="str">
        <f>IF(COUNTIF('SCM-A'!$A:$A, $C403), AB$1, "")</f>
        <v>Strategic Career Management (A)</v>
      </c>
      <c r="AC403" s="132" t="str">
        <f>IF(COUNTIF('SCM-B'!$A:$A, $C403), AC$1, "")</f>
        <v/>
      </c>
      <c r="AD403" s="132" t="str">
        <f>IF(COUNTIF(AIS!$A:$A, $C403), AD$1, "")</f>
        <v/>
      </c>
      <c r="AE403" s="132" t="str">
        <f>IF(COUNTIF(EB!$A:$A, $C403), AE$1, "")</f>
        <v/>
      </c>
      <c r="AF403" s="132" t="str">
        <f>IF(COUNTIF('AIAM-A'!$A:$A, $C403), AF$1, "")</f>
        <v/>
      </c>
      <c r="AG403" s="132" t="str">
        <f>IF(COUNTIF('AIAM-B'!$A:$A, $C403), AG$1, "")</f>
        <v/>
      </c>
      <c r="AH403" s="132" t="str">
        <f>IF(COUNTIF('SA-A'!$A:$A, $C403), AH$1, "")</f>
        <v/>
      </c>
      <c r="AI403" s="132" t="str">
        <f>IF(COUNTIF('SA-B'!$A:$A, $C403), AI$1, "")</f>
        <v/>
      </c>
      <c r="AJ403" s="132" t="str">
        <f>IF(COUNTIF(CSM!$A:$A, $C403), AJ$1, "")</f>
        <v/>
      </c>
      <c r="AK403" s="132" t="str">
        <f>IF(COUNTIF(EM!$A:$A, $C403), AK$1, "")</f>
        <v/>
      </c>
      <c r="AL403" s="132" t="str">
        <f>IF(COUNTIF(I4TS!$A:$A, $C403), AL$1, "")</f>
        <v/>
      </c>
    </row>
    <row r="404" spans="1:38" ht="14">
      <c r="A404" s="131">
        <v>403</v>
      </c>
      <c r="B404" s="131" t="s">
        <v>1397</v>
      </c>
      <c r="C404" s="142" t="s">
        <v>1473</v>
      </c>
      <c r="D404" s="142" t="s">
        <v>1474</v>
      </c>
      <c r="E404" s="140" t="s">
        <v>1475</v>
      </c>
      <c r="F404" s="131">
        <f t="shared" ca="1" si="1"/>
        <v>5</v>
      </c>
      <c r="G404" s="106" t="str">
        <f ca="1">IFERROR(__xludf.DUMMYFUNCTION("INDEX(FILTER($P404:$AL404, $P404:$AL404 &lt;&gt; """"), 1)"),"Behavioural Economics and Decision-Making (A)")</f>
        <v>Behavioural Economics and Decision-Making (A)</v>
      </c>
      <c r="H404" s="106" t="str">
        <f ca="1">IFERROR(__xludf.DUMMYFUNCTION("INDEX(FILTER($P404:$AL404, $P404:$AL404 &lt;&gt; """"), 2)"),"Workplace Happiness: Science &amp; Practice (A)")</f>
        <v>Workplace Happiness: Science &amp; Practice (A)</v>
      </c>
      <c r="I404" s="106" t="str">
        <f ca="1">IFERROR(__xludf.DUMMYFUNCTION("INDEX(FILTER($P404:$AL404, $P404:$AL404 &lt;&gt; """"), 3)"),"Customer Success Management")</f>
        <v>Customer Success Management</v>
      </c>
      <c r="J404" s="106" t="str">
        <f ca="1">IFERROR(__xludf.DUMMYFUNCTION("IFERROR(INDEX(FILTER($P404:$AL404, $P404:$AL404 &lt;&gt; """"), 4),)"),"")</f>
        <v/>
      </c>
      <c r="K404" s="106" t="str">
        <f ca="1">IFERROR(__xludf.DUMMYFUNCTION("IFERROR(INDEX(FILTER($P404:$AL404, $P404:$AL404 &lt;&gt; """"), 5),)"),"")</f>
        <v/>
      </c>
      <c r="L404" s="107"/>
      <c r="M404" s="107"/>
      <c r="N404" s="107"/>
      <c r="O404" s="107"/>
      <c r="P404" s="132" t="str">
        <f>IF(COUNTIF('Fintech-A'!$A:$A, $C404), P$1, "")</f>
        <v/>
      </c>
      <c r="Q404" s="132" t="str">
        <f>IF(COUNTIF('Fintech-B'!$A:$A, $C404), Q$1, "")</f>
        <v/>
      </c>
      <c r="R404" s="132" t="str">
        <f>IF(COUNTIF('BEDM-A'!$A:$A, $C404), R$1, "")</f>
        <v>Behavioural Economics and Decision-Making (A)</v>
      </c>
      <c r="S404" s="132" t="str">
        <f>IF(COUNTIF('BEDM-B'!$A:$A, $C404), S$1, "")</f>
        <v/>
      </c>
      <c r="T404" s="132" t="str">
        <f>IF(COUNTIF('Art-A'!$A:$A, $C404), T$1, "")</f>
        <v/>
      </c>
      <c r="U404" s="132" t="str">
        <f>IF(COUNTIF('Art-B'!$A:$A, $C404), U$1, "")</f>
        <v/>
      </c>
      <c r="V404" s="132" t="str">
        <f>IF(COUNTIF('WH-A'!$A:$A, $C404), V$1, "")</f>
        <v>Workplace Happiness: Science &amp; Practice (A)</v>
      </c>
      <c r="W404" s="132" t="str">
        <f>IF(COUNTIF('WH-B'!$A:$A, $C404), W$1, "")</f>
        <v/>
      </c>
      <c r="X404" s="132" t="str">
        <f>IF(COUNTIF(LETV!$A:$A, $C404), X$1, "")</f>
        <v/>
      </c>
      <c r="Y404" s="132" t="str">
        <f>IF(COUNTIF('Film&amp;Firm-A'!$A:$A, $C404), Y$1, "")</f>
        <v/>
      </c>
      <c r="Z404" s="132" t="str">
        <f>IF(COUNTIF('Film&amp;Firm-B'!$A:$A, $C404), Z$1, "")</f>
        <v/>
      </c>
      <c r="AA404" s="132" t="str">
        <f>IF(COUNTIF(SHRM!$A:$A, $C404), AA$1, "")</f>
        <v/>
      </c>
      <c r="AB404" s="132" t="str">
        <f>IF(COUNTIF('SCM-A'!$A:$A, $C404), AB$1, "")</f>
        <v/>
      </c>
      <c r="AC404" s="132" t="str">
        <f>IF(COUNTIF('SCM-B'!$A:$A, $C404), AC$1, "")</f>
        <v/>
      </c>
      <c r="AD404" s="132" t="str">
        <f>IF(COUNTIF(AIS!$A:$A, $C404), AD$1, "")</f>
        <v/>
      </c>
      <c r="AE404" s="132" t="str">
        <f>IF(COUNTIF(EB!$A:$A, $C404), AE$1, "")</f>
        <v/>
      </c>
      <c r="AF404" s="132" t="str">
        <f>IF(COUNTIF('AIAM-A'!$A:$A, $C404), AF$1, "")</f>
        <v/>
      </c>
      <c r="AG404" s="132" t="str">
        <f>IF(COUNTIF('AIAM-B'!$A:$A, $C404), AG$1, "")</f>
        <v/>
      </c>
      <c r="AH404" s="132" t="str">
        <f>IF(COUNTIF('SA-A'!$A:$A, $C404), AH$1, "")</f>
        <v/>
      </c>
      <c r="AI404" s="132" t="str">
        <f>IF(COUNTIF('SA-B'!$A:$A, $C404), AI$1, "")</f>
        <v/>
      </c>
      <c r="AJ404" s="132" t="str">
        <f>IF(COUNTIF(CSM!$A:$A, $C404), AJ$1, "")</f>
        <v>Customer Success Management</v>
      </c>
      <c r="AK404" s="132" t="str">
        <f>IF(COUNTIF(EM!$A:$A, $C404), AK$1, "")</f>
        <v/>
      </c>
      <c r="AL404" s="132" t="str">
        <f>IF(COUNTIF(I4TS!$A:$A, $C404), AL$1, "")</f>
        <v/>
      </c>
    </row>
    <row r="405" spans="1:38" ht="14">
      <c r="A405" s="131">
        <v>404</v>
      </c>
      <c r="B405" s="131" t="s">
        <v>1397</v>
      </c>
      <c r="C405" s="142" t="s">
        <v>1476</v>
      </c>
      <c r="D405" s="142" t="s">
        <v>1477</v>
      </c>
      <c r="E405" s="140" t="s">
        <v>1478</v>
      </c>
      <c r="F405" s="131">
        <f t="shared" ca="1" si="1"/>
        <v>5</v>
      </c>
      <c r="G405" s="106" t="str">
        <f ca="1">IFERROR(__xludf.DUMMYFUNCTION("INDEX(FILTER($P405:$AL405, $P405:$AL405 &lt;&gt; """"), 1)"),"The Art, Craft, and Science of Management: Learning through Classics and Best Collections (A)")</f>
        <v>The Art, Craft, and Science of Management: Learning through Classics and Best Collections (A)</v>
      </c>
      <c r="H405" s="106" t="str">
        <f ca="1">IFERROR(__xludf.DUMMYFUNCTION("INDEX(FILTER($P405:$AL405, $P405:$AL405 &lt;&gt; """"), 2)"),"Film &amp; the Firm: Visual Culture in Business Contexts (B)")</f>
        <v>Film &amp; the Firm: Visual Culture in Business Contexts (B)</v>
      </c>
      <c r="I405" s="106" t="str">
        <f ca="1">IFERROR(__xludf.DUMMYFUNCTION("INDEX(FILTER($P405:$AL405, $P405:$AL405 &lt;&gt; """"), 3)"),"Strategic HRM")</f>
        <v>Strategic HRM</v>
      </c>
      <c r="J405" s="106" t="str">
        <f ca="1">IFERROR(__xludf.DUMMYFUNCTION("IFERROR(INDEX(FILTER($P405:$AL405, $P405:$AL405 &lt;&gt; """"), 4),)"),"")</f>
        <v/>
      </c>
      <c r="K405" s="106" t="str">
        <f ca="1">IFERROR(__xludf.DUMMYFUNCTION("IFERROR(INDEX(FILTER($P405:$AL405, $P405:$AL405 &lt;&gt; """"), 5),)"),"")</f>
        <v/>
      </c>
      <c r="L405" s="107"/>
      <c r="M405" s="107"/>
      <c r="N405" s="107"/>
      <c r="O405" s="107"/>
      <c r="P405" s="132" t="str">
        <f>IF(COUNTIF('Fintech-A'!$A:$A, $C405), P$1, "")</f>
        <v/>
      </c>
      <c r="Q405" s="132" t="str">
        <f>IF(COUNTIF('Fintech-B'!$A:$A, $C405), Q$1, "")</f>
        <v/>
      </c>
      <c r="R405" s="132" t="str">
        <f>IF(COUNTIF('BEDM-A'!$A:$A, $C405), R$1, "")</f>
        <v/>
      </c>
      <c r="S405" s="132" t="str">
        <f>IF(COUNTIF('BEDM-B'!$A:$A, $C405), S$1, "")</f>
        <v/>
      </c>
      <c r="T405" s="132" t="str">
        <f>IF(COUNTIF('Art-A'!$A:$A, $C405), T$1, "")</f>
        <v>The Art, Craft, and Science of Management: Learning through Classics and Best Collections (A)</v>
      </c>
      <c r="U405" s="132" t="str">
        <f>IF(COUNTIF('Art-B'!$A:$A, $C405), U$1, "")</f>
        <v/>
      </c>
      <c r="V405" s="132" t="str">
        <f>IF(COUNTIF('WH-A'!$A:$A, $C405), V$1, "")</f>
        <v/>
      </c>
      <c r="W405" s="132" t="str">
        <f>IF(COUNTIF('WH-B'!$A:$A, $C405), W$1, "")</f>
        <v/>
      </c>
      <c r="X405" s="132" t="str">
        <f>IF(COUNTIF(LETV!$A:$A, $C405), X$1, "")</f>
        <v/>
      </c>
      <c r="Y405" s="132" t="str">
        <f>IF(COUNTIF('Film&amp;Firm-A'!$A:$A, $C405), Y$1, "")</f>
        <v/>
      </c>
      <c r="Z405" s="132" t="str">
        <f>IF(COUNTIF('Film&amp;Firm-B'!$A:$A, $C405), Z$1, "")</f>
        <v>Film &amp; the Firm: Visual Culture in Business Contexts (B)</v>
      </c>
      <c r="AA405" s="132" t="str">
        <f>IF(COUNTIF(SHRM!$A:$A, $C405), AA$1, "")</f>
        <v>Strategic HRM</v>
      </c>
      <c r="AB405" s="132" t="str">
        <f>IF(COUNTIF('SCM-A'!$A:$A, $C405), AB$1, "")</f>
        <v/>
      </c>
      <c r="AC405" s="132" t="str">
        <f>IF(COUNTIF('SCM-B'!$A:$A, $C405), AC$1, "")</f>
        <v/>
      </c>
      <c r="AD405" s="132" t="str">
        <f>IF(COUNTIF(AIS!$A:$A, $C405), AD$1, "")</f>
        <v/>
      </c>
      <c r="AE405" s="132" t="str">
        <f>IF(COUNTIF(EB!$A:$A, $C405), AE$1, "")</f>
        <v/>
      </c>
      <c r="AF405" s="132" t="str">
        <f>IF(COUNTIF('AIAM-A'!$A:$A, $C405), AF$1, "")</f>
        <v/>
      </c>
      <c r="AG405" s="132" t="str">
        <f>IF(COUNTIF('AIAM-B'!$A:$A, $C405), AG$1, "")</f>
        <v/>
      </c>
      <c r="AH405" s="132" t="str">
        <f>IF(COUNTIF('SA-A'!$A:$A, $C405), AH$1, "")</f>
        <v/>
      </c>
      <c r="AI405" s="132" t="str">
        <f>IF(COUNTIF('SA-B'!$A:$A, $C405), AI$1, "")</f>
        <v/>
      </c>
      <c r="AJ405" s="132" t="str">
        <f>IF(COUNTIF(CSM!$A:$A, $C405), AJ$1, "")</f>
        <v/>
      </c>
      <c r="AK405" s="132" t="str">
        <f>IF(COUNTIF(EM!$A:$A, $C405), AK$1, "")</f>
        <v/>
      </c>
      <c r="AL405" s="132" t="str">
        <f>IF(COUNTIF(I4TS!$A:$A, $C405), AL$1, "")</f>
        <v/>
      </c>
    </row>
    <row r="406" spans="1:38" ht="14">
      <c r="A406" s="131">
        <v>405</v>
      </c>
      <c r="B406" s="131" t="s">
        <v>1397</v>
      </c>
      <c r="C406" s="142" t="s">
        <v>195</v>
      </c>
      <c r="D406" s="142" t="s">
        <v>1479</v>
      </c>
      <c r="E406" s="140" t="s">
        <v>1480</v>
      </c>
      <c r="F406" s="131">
        <f t="shared" ca="1" si="1"/>
        <v>5</v>
      </c>
      <c r="G406" s="106" t="str">
        <f ca="1">IFERROR(__xludf.DUMMYFUNCTION("INDEX(FILTER($P406:$AL406, $P406:$AL406 &lt;&gt; """"), 1)"),"The Art, Craft, and Science of Management: Learning through Classics and Best Collections (A)")</f>
        <v>The Art, Craft, and Science of Management: Learning through Classics and Best Collections (A)</v>
      </c>
      <c r="H406" s="106" t="str">
        <f ca="1">IFERROR(__xludf.DUMMYFUNCTION("INDEX(FILTER($P406:$AL406, $P406:$AL406 &lt;&gt; """"), 2)"),"Strategic HRM")</f>
        <v>Strategic HRM</v>
      </c>
      <c r="I406" s="106" t="str">
        <f ca="1">IFERROR(__xludf.DUMMYFUNCTION("INDEX(FILTER($P406:$AL406, $P406:$AL406 &lt;&gt; """"), 3)"),"Strategic Career Management (B)")</f>
        <v>Strategic Career Management (B)</v>
      </c>
      <c r="J406" s="106" t="str">
        <f ca="1">IFERROR(__xludf.DUMMYFUNCTION("IFERROR(INDEX(FILTER($P406:$AL406, $P406:$AL406 &lt;&gt; """"), 4),)"),"")</f>
        <v/>
      </c>
      <c r="K406" s="106" t="str">
        <f ca="1">IFERROR(__xludf.DUMMYFUNCTION("IFERROR(INDEX(FILTER($P406:$AL406, $P406:$AL406 &lt;&gt; """"), 5),)"),"")</f>
        <v/>
      </c>
      <c r="L406" s="107"/>
      <c r="M406" s="107"/>
      <c r="N406" s="107"/>
      <c r="O406" s="107"/>
      <c r="P406" s="132" t="str">
        <f>IF(COUNTIF('Fintech-A'!$A:$A, $C406), P$1, "")</f>
        <v/>
      </c>
      <c r="Q406" s="132" t="str">
        <f>IF(COUNTIF('Fintech-B'!$A:$A, $C406), Q$1, "")</f>
        <v/>
      </c>
      <c r="R406" s="132" t="str">
        <f>IF(COUNTIF('BEDM-A'!$A:$A, $C406), R$1, "")</f>
        <v/>
      </c>
      <c r="S406" s="132" t="str">
        <f>IF(COUNTIF('BEDM-B'!$A:$A, $C406), S$1, "")</f>
        <v/>
      </c>
      <c r="T406" s="132" t="str">
        <f>IF(COUNTIF('Art-A'!$A:$A, $C406), T$1, "")</f>
        <v>The Art, Craft, and Science of Management: Learning through Classics and Best Collections (A)</v>
      </c>
      <c r="U406" s="132" t="str">
        <f>IF(COUNTIF('Art-B'!$A:$A, $C406), U$1, "")</f>
        <v/>
      </c>
      <c r="V406" s="132" t="str">
        <f>IF(COUNTIF('WH-A'!$A:$A, $C406), V$1, "")</f>
        <v/>
      </c>
      <c r="W406" s="132" t="str">
        <f>IF(COUNTIF('WH-B'!$A:$A, $C406), W$1, "")</f>
        <v/>
      </c>
      <c r="X406" s="132" t="str">
        <f>IF(COUNTIF(LETV!$A:$A, $C406), X$1, "")</f>
        <v/>
      </c>
      <c r="Y406" s="132" t="str">
        <f>IF(COUNTIF('Film&amp;Firm-A'!$A:$A, $C406), Y$1, "")</f>
        <v/>
      </c>
      <c r="Z406" s="132" t="str">
        <f>IF(COUNTIF('Film&amp;Firm-B'!$A:$A, $C406), Z$1, "")</f>
        <v/>
      </c>
      <c r="AA406" s="132" t="str">
        <f>IF(COUNTIF(SHRM!$A:$A, $C406), AA$1, "")</f>
        <v>Strategic HRM</v>
      </c>
      <c r="AB406" s="132" t="str">
        <f>IF(COUNTIF('SCM-A'!$A:$A, $C406), AB$1, "")</f>
        <v/>
      </c>
      <c r="AC406" s="132" t="str">
        <f>IF(COUNTIF('SCM-B'!$A:$A, $C406), AC$1, "")</f>
        <v>Strategic Career Management (B)</v>
      </c>
      <c r="AD406" s="132" t="str">
        <f>IF(COUNTIF(AIS!$A:$A, $C406), AD$1, "")</f>
        <v/>
      </c>
      <c r="AE406" s="132" t="str">
        <f>IF(COUNTIF(EB!$A:$A, $C406), AE$1, "")</f>
        <v/>
      </c>
      <c r="AF406" s="132" t="str">
        <f>IF(COUNTIF('AIAM-A'!$A:$A, $C406), AF$1, "")</f>
        <v/>
      </c>
      <c r="AG406" s="132" t="str">
        <f>IF(COUNTIF('AIAM-B'!$A:$A, $C406), AG$1, "")</f>
        <v/>
      </c>
      <c r="AH406" s="132" t="str">
        <f>IF(COUNTIF('SA-A'!$A:$A, $C406), AH$1, "")</f>
        <v/>
      </c>
      <c r="AI406" s="132" t="str">
        <f>IF(COUNTIF('SA-B'!$A:$A, $C406), AI$1, "")</f>
        <v/>
      </c>
      <c r="AJ406" s="132" t="str">
        <f>IF(COUNTIF(CSM!$A:$A, $C406), AJ$1, "")</f>
        <v/>
      </c>
      <c r="AK406" s="132" t="str">
        <f>IF(COUNTIF(EM!$A:$A, $C406), AK$1, "")</f>
        <v/>
      </c>
      <c r="AL406" s="132" t="str">
        <f>IF(COUNTIF(I4TS!$A:$A, $C406), AL$1, "")</f>
        <v/>
      </c>
    </row>
    <row r="407" spans="1:38" ht="14">
      <c r="A407" s="131">
        <v>406</v>
      </c>
      <c r="B407" s="131" t="s">
        <v>1397</v>
      </c>
      <c r="C407" s="142" t="s">
        <v>1481</v>
      </c>
      <c r="D407" s="142" t="s">
        <v>1482</v>
      </c>
      <c r="E407" s="140" t="s">
        <v>1483</v>
      </c>
      <c r="F407" s="131">
        <f t="shared" ca="1" si="1"/>
        <v>5</v>
      </c>
      <c r="G407" s="106" t="str">
        <f ca="1">IFERROR(__xludf.DUMMYFUNCTION("INDEX(FILTER($P407:$AL407, $P407:$AL407 &lt;&gt; """"), 1)"),"Strategic Career Management (B)")</f>
        <v>Strategic Career Management (B)</v>
      </c>
      <c r="H407" s="106" t="str">
        <f ca="1">IFERROR(__xludf.DUMMYFUNCTION("INDEX(FILTER($P407:$AL407, $P407:$AL407 &lt;&gt; """"), 2)"),"Employer Branding")</f>
        <v>Employer Branding</v>
      </c>
      <c r="I407" s="106" t="str">
        <f ca="1">IFERROR(__xludf.DUMMYFUNCTION("INDEX(FILTER($P407:$AL407, $P407:$AL407 &lt;&gt; """"), 3)"),"SPORTS ANALYTICS (B)")</f>
        <v>SPORTS ANALYTICS (B)</v>
      </c>
      <c r="J407" s="106" t="str">
        <f ca="1">IFERROR(__xludf.DUMMYFUNCTION("IFERROR(INDEX(FILTER($P407:$AL407, $P407:$AL407 &lt;&gt; """"), 4),)"),"")</f>
        <v/>
      </c>
      <c r="K407" s="106" t="str">
        <f ca="1">IFERROR(__xludf.DUMMYFUNCTION("IFERROR(INDEX(FILTER($P407:$AL407, $P407:$AL407 &lt;&gt; """"), 5),)"),"")</f>
        <v/>
      </c>
      <c r="L407" s="107"/>
      <c r="M407" s="107"/>
      <c r="N407" s="107"/>
      <c r="O407" s="107"/>
      <c r="P407" s="132" t="str">
        <f>IF(COUNTIF('Fintech-A'!$A:$A, $C407), P$1, "")</f>
        <v/>
      </c>
      <c r="Q407" s="132" t="str">
        <f>IF(COUNTIF('Fintech-B'!$A:$A, $C407), Q$1, "")</f>
        <v/>
      </c>
      <c r="R407" s="132" t="str">
        <f>IF(COUNTIF('BEDM-A'!$A:$A, $C407), R$1, "")</f>
        <v/>
      </c>
      <c r="S407" s="132" t="str">
        <f>IF(COUNTIF('BEDM-B'!$A:$A, $C407), S$1, "")</f>
        <v/>
      </c>
      <c r="T407" s="132" t="str">
        <f>IF(COUNTIF('Art-A'!$A:$A, $C407), T$1, "")</f>
        <v/>
      </c>
      <c r="U407" s="132" t="str">
        <f>IF(COUNTIF('Art-B'!$A:$A, $C407), U$1, "")</f>
        <v/>
      </c>
      <c r="V407" s="132" t="str">
        <f>IF(COUNTIF('WH-A'!$A:$A, $C407), V$1, "")</f>
        <v/>
      </c>
      <c r="W407" s="132" t="str">
        <f>IF(COUNTIF('WH-B'!$A:$A, $C407), W$1, "")</f>
        <v/>
      </c>
      <c r="X407" s="132" t="str">
        <f>IF(COUNTIF(LETV!$A:$A, $C407), X$1, "")</f>
        <v/>
      </c>
      <c r="Y407" s="132" t="str">
        <f>IF(COUNTIF('Film&amp;Firm-A'!$A:$A, $C407), Y$1, "")</f>
        <v/>
      </c>
      <c r="Z407" s="132" t="str">
        <f>IF(COUNTIF('Film&amp;Firm-B'!$A:$A, $C407), Z$1, "")</f>
        <v/>
      </c>
      <c r="AA407" s="132" t="str">
        <f>IF(COUNTIF(SHRM!$A:$A, $C407), AA$1, "")</f>
        <v/>
      </c>
      <c r="AB407" s="132" t="str">
        <f>IF(COUNTIF('SCM-A'!$A:$A, $C407), AB$1, "")</f>
        <v/>
      </c>
      <c r="AC407" s="132" t="str">
        <f>IF(COUNTIF('SCM-B'!$A:$A, $C407), AC$1, "")</f>
        <v>Strategic Career Management (B)</v>
      </c>
      <c r="AD407" s="132" t="str">
        <f>IF(COUNTIF(AIS!$A:$A, $C407), AD$1, "")</f>
        <v/>
      </c>
      <c r="AE407" s="132" t="str">
        <f>IF(COUNTIF(EB!$A:$A, $C407), AE$1, "")</f>
        <v>Employer Branding</v>
      </c>
      <c r="AF407" s="132" t="str">
        <f>IF(COUNTIF('AIAM-A'!$A:$A, $C407), AF$1, "")</f>
        <v/>
      </c>
      <c r="AG407" s="132" t="str">
        <f>IF(COUNTIF('AIAM-B'!$A:$A, $C407), AG$1, "")</f>
        <v/>
      </c>
      <c r="AH407" s="132" t="str">
        <f>IF(COUNTIF('SA-A'!$A:$A, $C407), AH$1, "")</f>
        <v/>
      </c>
      <c r="AI407" s="132" t="str">
        <f>IF(COUNTIF('SA-B'!$A:$A, $C407), AI$1, "")</f>
        <v>SPORTS ANALYTICS (B)</v>
      </c>
      <c r="AJ407" s="132" t="str">
        <f>IF(COUNTIF(CSM!$A:$A, $C407), AJ$1, "")</f>
        <v/>
      </c>
      <c r="AK407" s="132" t="str">
        <f>IF(COUNTIF(EM!$A:$A, $C407), AK$1, "")</f>
        <v/>
      </c>
      <c r="AL407" s="132" t="str">
        <f>IF(COUNTIF(I4TS!$A:$A, $C407), AL$1, "")</f>
        <v/>
      </c>
    </row>
    <row r="408" spans="1:38" ht="14">
      <c r="A408" s="131">
        <v>407</v>
      </c>
      <c r="B408" s="131" t="s">
        <v>1397</v>
      </c>
      <c r="C408" s="142" t="s">
        <v>1484</v>
      </c>
      <c r="D408" s="142" t="s">
        <v>1485</v>
      </c>
      <c r="E408" s="140" t="s">
        <v>1486</v>
      </c>
      <c r="F408" s="131">
        <f t="shared" ca="1" si="1"/>
        <v>5</v>
      </c>
      <c r="G408" s="106" t="str">
        <f ca="1">IFERROR(__xludf.DUMMYFUNCTION("INDEX(FILTER($P408:$AL408, $P408:$AL408 &lt;&gt; """"), 1)"),"Workplace Happiness: Science &amp; Practice (A)")</f>
        <v>Workplace Happiness: Science &amp; Practice (A)</v>
      </c>
      <c r="H408" s="106" t="str">
        <f ca="1">IFERROR(__xludf.DUMMYFUNCTION("INDEX(FILTER($P408:$AL408, $P408:$AL408 &lt;&gt; """"), 2)"),"Strategic HRM")</f>
        <v>Strategic HRM</v>
      </c>
      <c r="I408" s="106" t="str">
        <f ca="1">IFERROR(__xludf.DUMMYFUNCTION("INDEX(FILTER($P408:$AL408, $P408:$AL408 &lt;&gt; """"), 3)"),"Employer Branding")</f>
        <v>Employer Branding</v>
      </c>
      <c r="J408" s="106" t="str">
        <f ca="1">IFERROR(__xludf.DUMMYFUNCTION("IFERROR(INDEX(FILTER($P408:$AL408, $P408:$AL408 &lt;&gt; """"), 4),)"),"")</f>
        <v/>
      </c>
      <c r="K408" s="106" t="str">
        <f ca="1">IFERROR(__xludf.DUMMYFUNCTION("IFERROR(INDEX(FILTER($P408:$AL408, $P408:$AL408 &lt;&gt; """"), 5),)"),"")</f>
        <v/>
      </c>
      <c r="L408" s="107"/>
      <c r="M408" s="107"/>
      <c r="N408" s="107"/>
      <c r="O408" s="107"/>
      <c r="P408" s="132" t="str">
        <f>IF(COUNTIF('Fintech-A'!$A:$A, $C408), P$1, "")</f>
        <v/>
      </c>
      <c r="Q408" s="132" t="str">
        <f>IF(COUNTIF('Fintech-B'!$A:$A, $C408), Q$1, "")</f>
        <v/>
      </c>
      <c r="R408" s="132" t="str">
        <f>IF(COUNTIF('BEDM-A'!$A:$A, $C408), R$1, "")</f>
        <v/>
      </c>
      <c r="S408" s="132" t="str">
        <f>IF(COUNTIF('BEDM-B'!$A:$A, $C408), S$1, "")</f>
        <v/>
      </c>
      <c r="T408" s="132" t="str">
        <f>IF(COUNTIF('Art-A'!$A:$A, $C408), T$1, "")</f>
        <v/>
      </c>
      <c r="U408" s="132" t="str">
        <f>IF(COUNTIF('Art-B'!$A:$A, $C408), U$1, "")</f>
        <v/>
      </c>
      <c r="V408" s="132" t="str">
        <f>IF(COUNTIF('WH-A'!$A:$A, $C408), V$1, "")</f>
        <v>Workplace Happiness: Science &amp; Practice (A)</v>
      </c>
      <c r="W408" s="132" t="str">
        <f>IF(COUNTIF('WH-B'!$A:$A, $C408), W$1, "")</f>
        <v/>
      </c>
      <c r="X408" s="132" t="str">
        <f>IF(COUNTIF(LETV!$A:$A, $C408), X$1, "")</f>
        <v/>
      </c>
      <c r="Y408" s="132" t="str">
        <f>IF(COUNTIF('Film&amp;Firm-A'!$A:$A, $C408), Y$1, "")</f>
        <v/>
      </c>
      <c r="Z408" s="132" t="str">
        <f>IF(COUNTIF('Film&amp;Firm-B'!$A:$A, $C408), Z$1, "")</f>
        <v/>
      </c>
      <c r="AA408" s="132" t="str">
        <f>IF(COUNTIF(SHRM!$A:$A, $C408), AA$1, "")</f>
        <v>Strategic HRM</v>
      </c>
      <c r="AB408" s="132" t="str">
        <f>IF(COUNTIF('SCM-A'!$A:$A, $C408), AB$1, "")</f>
        <v/>
      </c>
      <c r="AC408" s="132" t="str">
        <f>IF(COUNTIF('SCM-B'!$A:$A, $C408), AC$1, "")</f>
        <v/>
      </c>
      <c r="AD408" s="132" t="str">
        <f>IF(COUNTIF(AIS!$A:$A, $C408), AD$1, "")</f>
        <v/>
      </c>
      <c r="AE408" s="132" t="str">
        <f>IF(COUNTIF(EB!$A:$A, $C408), AE$1, "")</f>
        <v>Employer Branding</v>
      </c>
      <c r="AF408" s="132" t="str">
        <f>IF(COUNTIF('AIAM-A'!$A:$A, $C408), AF$1, "")</f>
        <v/>
      </c>
      <c r="AG408" s="132" t="str">
        <f>IF(COUNTIF('AIAM-B'!$A:$A, $C408), AG$1, "")</f>
        <v/>
      </c>
      <c r="AH408" s="132" t="str">
        <f>IF(COUNTIF('SA-A'!$A:$A, $C408), AH$1, "")</f>
        <v/>
      </c>
      <c r="AI408" s="132" t="str">
        <f>IF(COUNTIF('SA-B'!$A:$A, $C408), AI$1, "")</f>
        <v/>
      </c>
      <c r="AJ408" s="132" t="str">
        <f>IF(COUNTIF(CSM!$A:$A, $C408), AJ$1, "")</f>
        <v/>
      </c>
      <c r="AK408" s="132" t="str">
        <f>IF(COUNTIF(EM!$A:$A, $C408), AK$1, "")</f>
        <v/>
      </c>
      <c r="AL408" s="132" t="str">
        <f>IF(COUNTIF(I4TS!$A:$A, $C408), AL$1, "")</f>
        <v/>
      </c>
    </row>
    <row r="409" spans="1:38" ht="14">
      <c r="A409" s="131">
        <v>408</v>
      </c>
      <c r="B409" s="131" t="s">
        <v>1397</v>
      </c>
      <c r="C409" s="142" t="s">
        <v>196</v>
      </c>
      <c r="D409" s="142" t="s">
        <v>1487</v>
      </c>
      <c r="E409" s="140" t="s">
        <v>1488</v>
      </c>
      <c r="F409" s="131">
        <f t="shared" ca="1" si="1"/>
        <v>5</v>
      </c>
      <c r="G409" s="106" t="str">
        <f ca="1">IFERROR(__xludf.DUMMYFUNCTION("INDEX(FILTER($P409:$AL409, $P409:$AL409 &lt;&gt; """"), 1)"),"Leadership Excellence Through Values : Wisdom from the Mahabharata")</f>
        <v>Leadership Excellence Through Values : Wisdom from the Mahabharata</v>
      </c>
      <c r="H409" s="106" t="str">
        <f ca="1">IFERROR(__xludf.DUMMYFUNCTION("INDEX(FILTER($P409:$AL409, $P409:$AL409 &lt;&gt; """"), 2)"),"Film &amp; the Firm: Visual Culture in Business Contexts (A)")</f>
        <v>Film &amp; the Firm: Visual Culture in Business Contexts (A)</v>
      </c>
      <c r="I409" s="106" t="str">
        <f ca="1">IFERROR(__xludf.DUMMYFUNCTION("INDEX(FILTER($P409:$AL409, $P409:$AL409 &lt;&gt; """"), 3)"),"SPORTS ANALYTICS (B)")</f>
        <v>SPORTS ANALYTICS (B)</v>
      </c>
      <c r="J409" s="106" t="str">
        <f ca="1">IFERROR(__xludf.DUMMYFUNCTION("IFERROR(INDEX(FILTER($P409:$AL409, $P409:$AL409 &lt;&gt; """"), 4),)"),"")</f>
        <v/>
      </c>
      <c r="K409" s="106" t="str">
        <f ca="1">IFERROR(__xludf.DUMMYFUNCTION("IFERROR(INDEX(FILTER($P409:$AL409, $P409:$AL409 &lt;&gt; """"), 5),)"),"")</f>
        <v/>
      </c>
      <c r="L409" s="107"/>
      <c r="M409" s="107"/>
      <c r="N409" s="107"/>
      <c r="O409" s="107"/>
      <c r="P409" s="132" t="str">
        <f>IF(COUNTIF('Fintech-A'!$A:$A, $C409), P$1, "")</f>
        <v/>
      </c>
      <c r="Q409" s="132" t="str">
        <f>IF(COUNTIF('Fintech-B'!$A:$A, $C409), Q$1, "")</f>
        <v/>
      </c>
      <c r="R409" s="132" t="str">
        <f>IF(COUNTIF('BEDM-A'!$A:$A, $C409), R$1, "")</f>
        <v/>
      </c>
      <c r="S409" s="132" t="str">
        <f>IF(COUNTIF('BEDM-B'!$A:$A, $C409), S$1, "")</f>
        <v/>
      </c>
      <c r="T409" s="132" t="str">
        <f>IF(COUNTIF('Art-A'!$A:$A, $C409), T$1, "")</f>
        <v/>
      </c>
      <c r="U409" s="132" t="str">
        <f>IF(COUNTIF('Art-B'!$A:$A, $C409), U$1, "")</f>
        <v/>
      </c>
      <c r="V409" s="132" t="str">
        <f>IF(COUNTIF('WH-A'!$A:$A, $C409), V$1, "")</f>
        <v/>
      </c>
      <c r="W409" s="132" t="str">
        <f>IF(COUNTIF('WH-B'!$A:$A, $C409), W$1, "")</f>
        <v/>
      </c>
      <c r="X409" s="132" t="str">
        <f>IF(COUNTIF(LETV!$A:$A, $C409), X$1, "")</f>
        <v>Leadership Excellence Through Values : Wisdom from the Mahabharata</v>
      </c>
      <c r="Y409" s="132" t="str">
        <f>IF(COUNTIF('Film&amp;Firm-A'!$A:$A, $C409), Y$1, "")</f>
        <v>Film &amp; the Firm: Visual Culture in Business Contexts (A)</v>
      </c>
      <c r="Z409" s="132" t="str">
        <f>IF(COUNTIF('Film&amp;Firm-B'!$A:$A, $C409), Z$1, "")</f>
        <v/>
      </c>
      <c r="AA409" s="132" t="str">
        <f>IF(COUNTIF(SHRM!$A:$A, $C409), AA$1, "")</f>
        <v/>
      </c>
      <c r="AB409" s="132" t="str">
        <f>IF(COUNTIF('SCM-A'!$A:$A, $C409), AB$1, "")</f>
        <v/>
      </c>
      <c r="AC409" s="132" t="str">
        <f>IF(COUNTIF('SCM-B'!$A:$A, $C409), AC$1, "")</f>
        <v/>
      </c>
      <c r="AD409" s="132" t="str">
        <f>IF(COUNTIF(AIS!$A:$A, $C409), AD$1, "")</f>
        <v/>
      </c>
      <c r="AE409" s="132" t="str">
        <f>IF(COUNTIF(EB!$A:$A, $C409), AE$1, "")</f>
        <v/>
      </c>
      <c r="AF409" s="132" t="str">
        <f>IF(COUNTIF('AIAM-A'!$A:$A, $C409), AF$1, "")</f>
        <v/>
      </c>
      <c r="AG409" s="132" t="str">
        <f>IF(COUNTIF('AIAM-B'!$A:$A, $C409), AG$1, "")</f>
        <v/>
      </c>
      <c r="AH409" s="132" t="str">
        <f>IF(COUNTIF('SA-A'!$A:$A, $C409), AH$1, "")</f>
        <v/>
      </c>
      <c r="AI409" s="132" t="str">
        <f>IF(COUNTIF('SA-B'!$A:$A, $C409), AI$1, "")</f>
        <v>SPORTS ANALYTICS (B)</v>
      </c>
      <c r="AJ409" s="132" t="str">
        <f>IF(COUNTIF(CSM!$A:$A, $C409), AJ$1, "")</f>
        <v/>
      </c>
      <c r="AK409" s="132" t="str">
        <f>IF(COUNTIF(EM!$A:$A, $C409), AK$1, "")</f>
        <v/>
      </c>
      <c r="AL409" s="132" t="str">
        <f>IF(COUNTIF(I4TS!$A:$A, $C409), AL$1, "")</f>
        <v/>
      </c>
    </row>
    <row r="410" spans="1:38" ht="14">
      <c r="A410" s="131">
        <v>409</v>
      </c>
      <c r="B410" s="131" t="s">
        <v>1397</v>
      </c>
      <c r="C410" s="142" t="s">
        <v>1489</v>
      </c>
      <c r="D410" s="142" t="s">
        <v>1490</v>
      </c>
      <c r="E410" s="140" t="s">
        <v>1491</v>
      </c>
      <c r="F410" s="131">
        <f t="shared" ca="1" si="1"/>
        <v>5</v>
      </c>
      <c r="G410" s="106" t="str">
        <f ca="1">IFERROR(__xludf.DUMMYFUNCTION("INDEX(FILTER($P410:$AL410, $P410:$AL410 &lt;&gt; """"), 1)"),"Workplace Happiness: Science &amp; Practice (A)")</f>
        <v>Workplace Happiness: Science &amp; Practice (A)</v>
      </c>
      <c r="H410" s="106" t="str">
        <f ca="1">IFERROR(__xludf.DUMMYFUNCTION("INDEX(FILTER($P410:$AL410, $P410:$AL410 &lt;&gt; """"), 2)"),"Strategic Career Management (A)")</f>
        <v>Strategic Career Management (A)</v>
      </c>
      <c r="I410" s="106" t="str">
        <f ca="1">IFERROR(__xludf.DUMMYFUNCTION("INDEX(FILTER($P410:$AL410, $P410:$AL410 &lt;&gt; """"), 3)"),"SPORTS ANALYTICS (B)")</f>
        <v>SPORTS ANALYTICS (B)</v>
      </c>
      <c r="J410" s="106" t="str">
        <f ca="1">IFERROR(__xludf.DUMMYFUNCTION("IFERROR(INDEX(FILTER($P410:$AL410, $P410:$AL410 &lt;&gt; """"), 4),)"),"")</f>
        <v/>
      </c>
      <c r="K410" s="106" t="str">
        <f ca="1">IFERROR(__xludf.DUMMYFUNCTION("IFERROR(INDEX(FILTER($P410:$AL410, $P410:$AL410 &lt;&gt; """"), 5),)"),"")</f>
        <v/>
      </c>
      <c r="L410" s="107"/>
      <c r="M410" s="107"/>
      <c r="N410" s="107"/>
      <c r="O410" s="107"/>
      <c r="P410" s="132" t="str">
        <f>IF(COUNTIF('Fintech-A'!$A:$A, $C410), P$1, "")</f>
        <v/>
      </c>
      <c r="Q410" s="132" t="str">
        <f>IF(COUNTIF('Fintech-B'!$A:$A, $C410), Q$1, "")</f>
        <v/>
      </c>
      <c r="R410" s="132" t="str">
        <f>IF(COUNTIF('BEDM-A'!$A:$A, $C410), R$1, "")</f>
        <v/>
      </c>
      <c r="S410" s="132" t="str">
        <f>IF(COUNTIF('BEDM-B'!$A:$A, $C410), S$1, "")</f>
        <v/>
      </c>
      <c r="T410" s="132" t="str">
        <f>IF(COUNTIF('Art-A'!$A:$A, $C410), T$1, "")</f>
        <v/>
      </c>
      <c r="U410" s="132" t="str">
        <f>IF(COUNTIF('Art-B'!$A:$A, $C410), U$1, "")</f>
        <v/>
      </c>
      <c r="V410" s="132" t="str">
        <f>IF(COUNTIF('WH-A'!$A:$A, $C410), V$1, "")</f>
        <v>Workplace Happiness: Science &amp; Practice (A)</v>
      </c>
      <c r="W410" s="132" t="str">
        <f>IF(COUNTIF('WH-B'!$A:$A, $C410), W$1, "")</f>
        <v/>
      </c>
      <c r="X410" s="132" t="str">
        <f>IF(COUNTIF(LETV!$A:$A, $C410), X$1, "")</f>
        <v/>
      </c>
      <c r="Y410" s="132" t="str">
        <f>IF(COUNTIF('Film&amp;Firm-A'!$A:$A, $C410), Y$1, "")</f>
        <v/>
      </c>
      <c r="Z410" s="132" t="str">
        <f>IF(COUNTIF('Film&amp;Firm-B'!$A:$A, $C410), Z$1, "")</f>
        <v/>
      </c>
      <c r="AA410" s="132" t="str">
        <f>IF(COUNTIF(SHRM!$A:$A, $C410), AA$1, "")</f>
        <v/>
      </c>
      <c r="AB410" s="132" t="str">
        <f>IF(COUNTIF('SCM-A'!$A:$A, $C410), AB$1, "")</f>
        <v>Strategic Career Management (A)</v>
      </c>
      <c r="AC410" s="132" t="str">
        <f>IF(COUNTIF('SCM-B'!$A:$A, $C410), AC$1, "")</f>
        <v/>
      </c>
      <c r="AD410" s="132" t="str">
        <f>IF(COUNTIF(AIS!$A:$A, $C410), AD$1, "")</f>
        <v/>
      </c>
      <c r="AE410" s="132" t="str">
        <f>IF(COUNTIF(EB!$A:$A, $C410), AE$1, "")</f>
        <v/>
      </c>
      <c r="AF410" s="132" t="str">
        <f>IF(COUNTIF('AIAM-A'!$A:$A, $C410), AF$1, "")</f>
        <v/>
      </c>
      <c r="AG410" s="132" t="str">
        <f>IF(COUNTIF('AIAM-B'!$A:$A, $C410), AG$1, "")</f>
        <v/>
      </c>
      <c r="AH410" s="132" t="str">
        <f>IF(COUNTIF('SA-A'!$A:$A, $C410), AH$1, "")</f>
        <v/>
      </c>
      <c r="AI410" s="132" t="str">
        <f>IF(COUNTIF('SA-B'!$A:$A, $C410), AI$1, "")</f>
        <v>SPORTS ANALYTICS (B)</v>
      </c>
      <c r="AJ410" s="132" t="str">
        <f>IF(COUNTIF(CSM!$A:$A, $C410), AJ$1, "")</f>
        <v/>
      </c>
      <c r="AK410" s="132" t="str">
        <f>IF(COUNTIF(EM!$A:$A, $C410), AK$1, "")</f>
        <v/>
      </c>
      <c r="AL410" s="132" t="str">
        <f>IF(COUNTIF(I4TS!$A:$A, $C410), AL$1, "")</f>
        <v/>
      </c>
    </row>
    <row r="411" spans="1:38" ht="14">
      <c r="A411" s="131">
        <v>410</v>
      </c>
      <c r="B411" s="131" t="s">
        <v>1397</v>
      </c>
      <c r="C411" s="142" t="s">
        <v>1492</v>
      </c>
      <c r="D411" s="142" t="s">
        <v>1493</v>
      </c>
      <c r="E411" s="140" t="s">
        <v>1494</v>
      </c>
      <c r="F411" s="131">
        <f t="shared" ca="1" si="1"/>
        <v>5</v>
      </c>
      <c r="G411" s="106" t="str">
        <f ca="1">IFERROR(__xludf.DUMMYFUNCTION("INDEX(FILTER($P411:$AL411, $P411:$AL411 &lt;&gt; """"), 1)"),"The Art, Craft, and Science of Management: Learning through Classics and Best Collections (B)")</f>
        <v>The Art, Craft, and Science of Management: Learning through Classics and Best Collections (B)</v>
      </c>
      <c r="H411" s="106" t="str">
        <f ca="1">IFERROR(__xludf.DUMMYFUNCTION("INDEX(FILTER($P411:$AL411, $P411:$AL411 &lt;&gt; """"), 2)"),"Strategic HRM")</f>
        <v>Strategic HRM</v>
      </c>
      <c r="I411" s="106" t="str">
        <f ca="1">IFERROR(__xludf.DUMMYFUNCTION("INDEX(FILTER($P411:$AL411, $P411:$AL411 &lt;&gt; """"), 3)"),"Employer Branding")</f>
        <v>Employer Branding</v>
      </c>
      <c r="J411" s="106" t="str">
        <f ca="1">IFERROR(__xludf.DUMMYFUNCTION("IFERROR(INDEX(FILTER($P411:$AL411, $P411:$AL411 &lt;&gt; """"), 4),)"),"")</f>
        <v/>
      </c>
      <c r="K411" s="106" t="str">
        <f ca="1">IFERROR(__xludf.DUMMYFUNCTION("IFERROR(INDEX(FILTER($P411:$AL411, $P411:$AL411 &lt;&gt; """"), 5),)"),"")</f>
        <v/>
      </c>
      <c r="L411" s="107"/>
      <c r="M411" s="107"/>
      <c r="N411" s="107"/>
      <c r="O411" s="107"/>
      <c r="P411" s="132" t="str">
        <f>IF(COUNTIF('Fintech-A'!$A:$A, $C411), P$1, "")</f>
        <v/>
      </c>
      <c r="Q411" s="132" t="str">
        <f>IF(COUNTIF('Fintech-B'!$A:$A, $C411), Q$1, "")</f>
        <v/>
      </c>
      <c r="R411" s="132" t="str">
        <f>IF(COUNTIF('BEDM-A'!$A:$A, $C411), R$1, "")</f>
        <v/>
      </c>
      <c r="S411" s="132" t="str">
        <f>IF(COUNTIF('BEDM-B'!$A:$A, $C411), S$1, "")</f>
        <v/>
      </c>
      <c r="T411" s="132" t="str">
        <f>IF(COUNTIF('Art-A'!$A:$A, $C411), T$1, "")</f>
        <v/>
      </c>
      <c r="U411" s="132" t="str">
        <f>IF(COUNTIF('Art-B'!$A:$A, $C411), U$1, "")</f>
        <v>The Art, Craft, and Science of Management: Learning through Classics and Best Collections (B)</v>
      </c>
      <c r="V411" s="132" t="str">
        <f>IF(COUNTIF('WH-A'!$A:$A, $C411), V$1, "")</f>
        <v/>
      </c>
      <c r="W411" s="132" t="str">
        <f>IF(COUNTIF('WH-B'!$A:$A, $C411), W$1, "")</f>
        <v/>
      </c>
      <c r="X411" s="132" t="str">
        <f>IF(COUNTIF(LETV!$A:$A, $C411), X$1, "")</f>
        <v/>
      </c>
      <c r="Y411" s="132" t="str">
        <f>IF(COUNTIF('Film&amp;Firm-A'!$A:$A, $C411), Y$1, "")</f>
        <v/>
      </c>
      <c r="Z411" s="132" t="str">
        <f>IF(COUNTIF('Film&amp;Firm-B'!$A:$A, $C411), Z$1, "")</f>
        <v/>
      </c>
      <c r="AA411" s="132" t="str">
        <f>IF(COUNTIF(SHRM!$A:$A, $C411), AA$1, "")</f>
        <v>Strategic HRM</v>
      </c>
      <c r="AB411" s="132" t="str">
        <f>IF(COUNTIF('SCM-A'!$A:$A, $C411), AB$1, "")</f>
        <v/>
      </c>
      <c r="AC411" s="132" t="str">
        <f>IF(COUNTIF('SCM-B'!$A:$A, $C411), AC$1, "")</f>
        <v/>
      </c>
      <c r="AD411" s="132" t="str">
        <f>IF(COUNTIF(AIS!$A:$A, $C411), AD$1, "")</f>
        <v/>
      </c>
      <c r="AE411" s="132" t="str">
        <f>IF(COUNTIF(EB!$A:$A, $C411), AE$1, "")</f>
        <v>Employer Branding</v>
      </c>
      <c r="AF411" s="132" t="str">
        <f>IF(COUNTIF('AIAM-A'!$A:$A, $C411), AF$1, "")</f>
        <v/>
      </c>
      <c r="AG411" s="132" t="str">
        <f>IF(COUNTIF('AIAM-B'!$A:$A, $C411), AG$1, "")</f>
        <v/>
      </c>
      <c r="AH411" s="132" t="str">
        <f>IF(COUNTIF('SA-A'!$A:$A, $C411), AH$1, "")</f>
        <v/>
      </c>
      <c r="AI411" s="132" t="str">
        <f>IF(COUNTIF('SA-B'!$A:$A, $C411), AI$1, "")</f>
        <v/>
      </c>
      <c r="AJ411" s="132" t="str">
        <f>IF(COUNTIF(CSM!$A:$A, $C411), AJ$1, "")</f>
        <v/>
      </c>
      <c r="AK411" s="132" t="str">
        <f>IF(COUNTIF(EM!$A:$A, $C411), AK$1, "")</f>
        <v/>
      </c>
      <c r="AL411" s="132" t="str">
        <f>IF(COUNTIF(I4TS!$A:$A, $C411), AL$1, "")</f>
        <v/>
      </c>
    </row>
    <row r="412" spans="1:38" ht="14">
      <c r="A412" s="131">
        <v>411</v>
      </c>
      <c r="B412" s="131" t="s">
        <v>1397</v>
      </c>
      <c r="C412" s="142" t="s">
        <v>197</v>
      </c>
      <c r="D412" s="142" t="s">
        <v>1495</v>
      </c>
      <c r="E412" s="140" t="s">
        <v>1496</v>
      </c>
      <c r="F412" s="131">
        <f t="shared" ca="1" si="1"/>
        <v>5</v>
      </c>
      <c r="G412" s="106" t="str">
        <f ca="1">IFERROR(__xludf.DUMMYFUNCTION("INDEX(FILTER($P412:$AL412, $P412:$AL412 &lt;&gt; """"), 1)"),"The Art, Craft, and Science of Management: Learning through Classics and Best Collections (B)")</f>
        <v>The Art, Craft, and Science of Management: Learning through Classics and Best Collections (B)</v>
      </c>
      <c r="H412" s="106" t="str">
        <f ca="1">IFERROR(__xludf.DUMMYFUNCTION("INDEX(FILTER($P412:$AL412, $P412:$AL412 &lt;&gt; """"), 2)"),"Strategic HRM")</f>
        <v>Strategic HRM</v>
      </c>
      <c r="I412" s="106" t="str">
        <f ca="1">IFERROR(__xludf.DUMMYFUNCTION("INDEX(FILTER($P412:$AL412, $P412:$AL412 &lt;&gt; """"), 3)"),"Strategic Career Management (B)")</f>
        <v>Strategic Career Management (B)</v>
      </c>
      <c r="J412" s="106" t="str">
        <f ca="1">IFERROR(__xludf.DUMMYFUNCTION("IFERROR(INDEX(FILTER($P412:$AL412, $P412:$AL412 &lt;&gt; """"), 4),)"),"")</f>
        <v/>
      </c>
      <c r="K412" s="106" t="str">
        <f ca="1">IFERROR(__xludf.DUMMYFUNCTION("IFERROR(INDEX(FILTER($P412:$AL412, $P412:$AL412 &lt;&gt; """"), 5),)"),"")</f>
        <v/>
      </c>
      <c r="L412" s="107"/>
      <c r="M412" s="107"/>
      <c r="N412" s="107"/>
      <c r="O412" s="107"/>
      <c r="P412" s="132" t="str">
        <f>IF(COUNTIF('Fintech-A'!$A:$A, $C412), P$1, "")</f>
        <v/>
      </c>
      <c r="Q412" s="132" t="str">
        <f>IF(COUNTIF('Fintech-B'!$A:$A, $C412), Q$1, "")</f>
        <v/>
      </c>
      <c r="R412" s="132" t="str">
        <f>IF(COUNTIF('BEDM-A'!$A:$A, $C412), R$1, "")</f>
        <v/>
      </c>
      <c r="S412" s="132" t="str">
        <f>IF(COUNTIF('BEDM-B'!$A:$A, $C412), S$1, "")</f>
        <v/>
      </c>
      <c r="T412" s="132" t="str">
        <f>IF(COUNTIF('Art-A'!$A:$A, $C412), T$1, "")</f>
        <v/>
      </c>
      <c r="U412" s="132" t="str">
        <f>IF(COUNTIF('Art-B'!$A:$A, $C412), U$1, "")</f>
        <v>The Art, Craft, and Science of Management: Learning through Classics and Best Collections (B)</v>
      </c>
      <c r="V412" s="132" t="str">
        <f>IF(COUNTIF('WH-A'!$A:$A, $C412), V$1, "")</f>
        <v/>
      </c>
      <c r="W412" s="132" t="str">
        <f>IF(COUNTIF('WH-B'!$A:$A, $C412), W$1, "")</f>
        <v/>
      </c>
      <c r="X412" s="132" t="str">
        <f>IF(COUNTIF(LETV!$A:$A, $C412), X$1, "")</f>
        <v/>
      </c>
      <c r="Y412" s="132" t="str">
        <f>IF(COUNTIF('Film&amp;Firm-A'!$A:$A, $C412), Y$1, "")</f>
        <v/>
      </c>
      <c r="Z412" s="132" t="str">
        <f>IF(COUNTIF('Film&amp;Firm-B'!$A:$A, $C412), Z$1, "")</f>
        <v/>
      </c>
      <c r="AA412" s="132" t="str">
        <f>IF(COUNTIF(SHRM!$A:$A, $C412), AA$1, "")</f>
        <v>Strategic HRM</v>
      </c>
      <c r="AB412" s="132" t="str">
        <f>IF(COUNTIF('SCM-A'!$A:$A, $C412), AB$1, "")</f>
        <v/>
      </c>
      <c r="AC412" s="132" t="str">
        <f>IF(COUNTIF('SCM-B'!$A:$A, $C412), AC$1, "")</f>
        <v>Strategic Career Management (B)</v>
      </c>
      <c r="AD412" s="132" t="str">
        <f>IF(COUNTIF(AIS!$A:$A, $C412), AD$1, "")</f>
        <v/>
      </c>
      <c r="AE412" s="132" t="str">
        <f>IF(COUNTIF(EB!$A:$A, $C412), AE$1, "")</f>
        <v/>
      </c>
      <c r="AF412" s="132" t="str">
        <f>IF(COUNTIF('AIAM-A'!$A:$A, $C412), AF$1, "")</f>
        <v/>
      </c>
      <c r="AG412" s="132" t="str">
        <f>IF(COUNTIF('AIAM-B'!$A:$A, $C412), AG$1, "")</f>
        <v/>
      </c>
      <c r="AH412" s="132" t="str">
        <f>IF(COUNTIF('SA-A'!$A:$A, $C412), AH$1, "")</f>
        <v/>
      </c>
      <c r="AI412" s="132" t="str">
        <f>IF(COUNTIF('SA-B'!$A:$A, $C412), AI$1, "")</f>
        <v/>
      </c>
      <c r="AJ412" s="132" t="str">
        <f>IF(COUNTIF(CSM!$A:$A, $C412), AJ$1, "")</f>
        <v/>
      </c>
      <c r="AK412" s="132" t="str">
        <f>IF(COUNTIF(EM!$A:$A, $C412), AK$1, "")</f>
        <v/>
      </c>
      <c r="AL412" s="132" t="str">
        <f>IF(COUNTIF(I4TS!$A:$A, $C412), AL$1, "")</f>
        <v/>
      </c>
    </row>
    <row r="413" spans="1:38" ht="14">
      <c r="A413" s="131">
        <v>412</v>
      </c>
      <c r="B413" s="131" t="s">
        <v>1397</v>
      </c>
      <c r="C413" s="142" t="s">
        <v>198</v>
      </c>
      <c r="D413" s="142" t="s">
        <v>1497</v>
      </c>
      <c r="E413" s="140" t="s">
        <v>1498</v>
      </c>
      <c r="F413" s="131">
        <f t="shared" ca="1" si="1"/>
        <v>5</v>
      </c>
      <c r="G413" s="106" t="str">
        <f ca="1">IFERROR(__xludf.DUMMYFUNCTION("INDEX(FILTER($P413:$AL413, $P413:$AL413 &lt;&gt; """"), 1)"),"Leadership Excellence Through Values : Wisdom from the Mahabharata")</f>
        <v>Leadership Excellence Through Values : Wisdom from the Mahabharata</v>
      </c>
      <c r="H413" s="106" t="str">
        <f ca="1">IFERROR(__xludf.DUMMYFUNCTION("INDEX(FILTER($P413:$AL413, $P413:$AL413 &lt;&gt; """"), 2)"),"Strategic Career Management (B)")</f>
        <v>Strategic Career Management (B)</v>
      </c>
      <c r="I413" s="106" t="str">
        <f ca="1">IFERROR(__xludf.DUMMYFUNCTION("INDEX(FILTER($P413:$AL413, $P413:$AL413 &lt;&gt; """"), 3)"),"Employer Branding")</f>
        <v>Employer Branding</v>
      </c>
      <c r="J413" s="106" t="str">
        <f ca="1">IFERROR(__xludf.DUMMYFUNCTION("IFERROR(INDEX(FILTER($P413:$AL413, $P413:$AL413 &lt;&gt; """"), 4),)"),"")</f>
        <v/>
      </c>
      <c r="K413" s="106" t="str">
        <f ca="1">IFERROR(__xludf.DUMMYFUNCTION("IFERROR(INDEX(FILTER($P413:$AL413, $P413:$AL413 &lt;&gt; """"), 5),)"),"")</f>
        <v/>
      </c>
      <c r="L413" s="107"/>
      <c r="M413" s="107"/>
      <c r="N413" s="107"/>
      <c r="O413" s="107"/>
      <c r="P413" s="132" t="str">
        <f>IF(COUNTIF('Fintech-A'!$A:$A, $C413), P$1, "")</f>
        <v/>
      </c>
      <c r="Q413" s="132" t="str">
        <f>IF(COUNTIF('Fintech-B'!$A:$A, $C413), Q$1, "")</f>
        <v/>
      </c>
      <c r="R413" s="132" t="str">
        <f>IF(COUNTIF('BEDM-A'!$A:$A, $C413), R$1, "")</f>
        <v/>
      </c>
      <c r="S413" s="132" t="str">
        <f>IF(COUNTIF('BEDM-B'!$A:$A, $C413), S$1, "")</f>
        <v/>
      </c>
      <c r="T413" s="132" t="str">
        <f>IF(COUNTIF('Art-A'!$A:$A, $C413), T$1, "")</f>
        <v/>
      </c>
      <c r="U413" s="132" t="str">
        <f>IF(COUNTIF('Art-B'!$A:$A, $C413), U$1, "")</f>
        <v/>
      </c>
      <c r="V413" s="132" t="str">
        <f>IF(COUNTIF('WH-A'!$A:$A, $C413), V$1, "")</f>
        <v/>
      </c>
      <c r="W413" s="132" t="str">
        <f>IF(COUNTIF('WH-B'!$A:$A, $C413), W$1, "")</f>
        <v/>
      </c>
      <c r="X413" s="132" t="str">
        <f>IF(COUNTIF(LETV!$A:$A, $C413), X$1, "")</f>
        <v>Leadership Excellence Through Values : Wisdom from the Mahabharata</v>
      </c>
      <c r="Y413" s="132" t="str">
        <f>IF(COUNTIF('Film&amp;Firm-A'!$A:$A, $C413), Y$1, "")</f>
        <v/>
      </c>
      <c r="Z413" s="132" t="str">
        <f>IF(COUNTIF('Film&amp;Firm-B'!$A:$A, $C413), Z$1, "")</f>
        <v/>
      </c>
      <c r="AA413" s="132" t="str">
        <f>IF(COUNTIF(SHRM!$A:$A, $C413), AA$1, "")</f>
        <v/>
      </c>
      <c r="AB413" s="132" t="str">
        <f>IF(COUNTIF('SCM-A'!$A:$A, $C413), AB$1, "")</f>
        <v/>
      </c>
      <c r="AC413" s="132" t="str">
        <f>IF(COUNTIF('SCM-B'!$A:$A, $C413), AC$1, "")</f>
        <v>Strategic Career Management (B)</v>
      </c>
      <c r="AD413" s="132" t="str">
        <f>IF(COUNTIF(AIS!$A:$A, $C413), AD$1, "")</f>
        <v/>
      </c>
      <c r="AE413" s="132" t="str">
        <f>IF(COUNTIF(EB!$A:$A, $C413), AE$1, "")</f>
        <v>Employer Branding</v>
      </c>
      <c r="AF413" s="132" t="str">
        <f>IF(COUNTIF('AIAM-A'!$A:$A, $C413), AF$1, "")</f>
        <v/>
      </c>
      <c r="AG413" s="132" t="str">
        <f>IF(COUNTIF('AIAM-B'!$A:$A, $C413), AG$1, "")</f>
        <v/>
      </c>
      <c r="AH413" s="132" t="str">
        <f>IF(COUNTIF('SA-A'!$A:$A, $C413), AH$1, "")</f>
        <v/>
      </c>
      <c r="AI413" s="132" t="str">
        <f>IF(COUNTIF('SA-B'!$A:$A, $C413), AI$1, "")</f>
        <v/>
      </c>
      <c r="AJ413" s="132" t="str">
        <f>IF(COUNTIF(CSM!$A:$A, $C413), AJ$1, "")</f>
        <v/>
      </c>
      <c r="AK413" s="132" t="str">
        <f>IF(COUNTIF(EM!$A:$A, $C413), AK$1, "")</f>
        <v/>
      </c>
      <c r="AL413" s="132" t="str">
        <f>IF(COUNTIF(I4TS!$A:$A, $C413), AL$1, "")</f>
        <v/>
      </c>
    </row>
    <row r="414" spans="1:38" ht="14">
      <c r="A414" s="131">
        <v>413</v>
      </c>
      <c r="B414" s="131" t="s">
        <v>1397</v>
      </c>
      <c r="C414" s="142" t="s">
        <v>1499</v>
      </c>
      <c r="D414" s="142" t="s">
        <v>1500</v>
      </c>
      <c r="E414" s="140" t="s">
        <v>1501</v>
      </c>
      <c r="F414" s="131">
        <f t="shared" ca="1" si="1"/>
        <v>5</v>
      </c>
      <c r="G414" s="106" t="str">
        <f ca="1">IFERROR(__xludf.DUMMYFUNCTION("INDEX(FILTER($P414:$AL414, $P414:$AL414 &lt;&gt; """"), 1)"),"The Art, Craft, and Science of Management: Learning through Classics and Best Collections (B)")</f>
        <v>The Art, Craft, and Science of Management: Learning through Classics and Best Collections (B)</v>
      </c>
      <c r="H414" s="106" t="str">
        <f ca="1">IFERROR(__xludf.DUMMYFUNCTION("INDEX(FILTER($P414:$AL414, $P414:$AL414 &lt;&gt; """"), 2)"),"Strategic HRM")</f>
        <v>Strategic HRM</v>
      </c>
      <c r="I414" s="106" t="str">
        <f ca="1">IFERROR(__xludf.DUMMYFUNCTION("INDEX(FILTER($P414:$AL414, $P414:$AL414 &lt;&gt; """"), 3)"),"Employer Branding")</f>
        <v>Employer Branding</v>
      </c>
      <c r="J414" s="106" t="str">
        <f ca="1">IFERROR(__xludf.DUMMYFUNCTION("IFERROR(INDEX(FILTER($P414:$AL414, $P414:$AL414 &lt;&gt; """"), 4),)"),"")</f>
        <v/>
      </c>
      <c r="K414" s="106" t="str">
        <f ca="1">IFERROR(__xludf.DUMMYFUNCTION("IFERROR(INDEX(FILTER($P414:$AL414, $P414:$AL414 &lt;&gt; """"), 5),)"),"")</f>
        <v/>
      </c>
      <c r="L414" s="107"/>
      <c r="M414" s="107"/>
      <c r="N414" s="107"/>
      <c r="O414" s="107"/>
      <c r="P414" s="132" t="str">
        <f>IF(COUNTIF('Fintech-A'!$A:$A, $C414), P$1, "")</f>
        <v/>
      </c>
      <c r="Q414" s="132" t="str">
        <f>IF(COUNTIF('Fintech-B'!$A:$A, $C414), Q$1, "")</f>
        <v/>
      </c>
      <c r="R414" s="132" t="str">
        <f>IF(COUNTIF('BEDM-A'!$A:$A, $C414), R$1, "")</f>
        <v/>
      </c>
      <c r="S414" s="132" t="str">
        <f>IF(COUNTIF('BEDM-B'!$A:$A, $C414), S$1, "")</f>
        <v/>
      </c>
      <c r="T414" s="132" t="str">
        <f>IF(COUNTIF('Art-A'!$A:$A, $C414), T$1, "")</f>
        <v/>
      </c>
      <c r="U414" s="132" t="str">
        <f>IF(COUNTIF('Art-B'!$A:$A, $C414), U$1, "")</f>
        <v>The Art, Craft, and Science of Management: Learning through Classics and Best Collections (B)</v>
      </c>
      <c r="V414" s="132" t="str">
        <f>IF(COUNTIF('WH-A'!$A:$A, $C414), V$1, "")</f>
        <v/>
      </c>
      <c r="W414" s="132" t="str">
        <f>IF(COUNTIF('WH-B'!$A:$A, $C414), W$1, "")</f>
        <v/>
      </c>
      <c r="X414" s="132" t="str">
        <f>IF(COUNTIF(LETV!$A:$A, $C414), X$1, "")</f>
        <v/>
      </c>
      <c r="Y414" s="132" t="str">
        <f>IF(COUNTIF('Film&amp;Firm-A'!$A:$A, $C414), Y$1, "")</f>
        <v/>
      </c>
      <c r="Z414" s="132" t="str">
        <f>IF(COUNTIF('Film&amp;Firm-B'!$A:$A, $C414), Z$1, "")</f>
        <v/>
      </c>
      <c r="AA414" s="132" t="str">
        <f>IF(COUNTIF(SHRM!$A:$A, $C414), AA$1, "")</f>
        <v>Strategic HRM</v>
      </c>
      <c r="AB414" s="132" t="str">
        <f>IF(COUNTIF('SCM-A'!$A:$A, $C414), AB$1, "")</f>
        <v/>
      </c>
      <c r="AC414" s="132" t="str">
        <f>IF(COUNTIF('SCM-B'!$A:$A, $C414), AC$1, "")</f>
        <v/>
      </c>
      <c r="AD414" s="132" t="str">
        <f>IF(COUNTIF(AIS!$A:$A, $C414), AD$1, "")</f>
        <v/>
      </c>
      <c r="AE414" s="132" t="str">
        <f>IF(COUNTIF(EB!$A:$A, $C414), AE$1, "")</f>
        <v>Employer Branding</v>
      </c>
      <c r="AF414" s="132" t="str">
        <f>IF(COUNTIF('AIAM-A'!$A:$A, $C414), AF$1, "")</f>
        <v/>
      </c>
      <c r="AG414" s="132" t="str">
        <f>IF(COUNTIF('AIAM-B'!$A:$A, $C414), AG$1, "")</f>
        <v/>
      </c>
      <c r="AH414" s="132" t="str">
        <f>IF(COUNTIF('SA-A'!$A:$A, $C414), AH$1, "")</f>
        <v/>
      </c>
      <c r="AI414" s="132" t="str">
        <f>IF(COUNTIF('SA-B'!$A:$A, $C414), AI$1, "")</f>
        <v/>
      </c>
      <c r="AJ414" s="132" t="str">
        <f>IF(COUNTIF(CSM!$A:$A, $C414), AJ$1, "")</f>
        <v/>
      </c>
      <c r="AK414" s="132" t="str">
        <f>IF(COUNTIF(EM!$A:$A, $C414), AK$1, "")</f>
        <v/>
      </c>
      <c r="AL414" s="132" t="str">
        <f>IF(COUNTIF(I4TS!$A:$A, $C414), AL$1, "")</f>
        <v/>
      </c>
    </row>
    <row r="415" spans="1:38" ht="14">
      <c r="A415" s="131">
        <v>414</v>
      </c>
      <c r="B415" s="131" t="s">
        <v>1397</v>
      </c>
      <c r="C415" s="142" t="s">
        <v>1502</v>
      </c>
      <c r="D415" s="142" t="s">
        <v>1503</v>
      </c>
      <c r="E415" s="140" t="s">
        <v>1504</v>
      </c>
      <c r="F415" s="131">
        <f t="shared" ca="1" si="1"/>
        <v>5</v>
      </c>
      <c r="G415" s="106" t="str">
        <f ca="1">IFERROR(__xludf.DUMMYFUNCTION("INDEX(FILTER($P415:$AL415, $P415:$AL415 &lt;&gt; """"), 1)"),"Strategic HRM")</f>
        <v>Strategic HRM</v>
      </c>
      <c r="H415" s="106" t="str">
        <f ca="1">IFERROR(__xludf.DUMMYFUNCTION("INDEX(FILTER($P415:$AL415, $P415:$AL415 &lt;&gt; """"), 2)"),"Strategic Career Management (B)")</f>
        <v>Strategic Career Management (B)</v>
      </c>
      <c r="I415" s="106" t="str">
        <f ca="1">IFERROR(__xludf.DUMMYFUNCTION("INDEX(FILTER($P415:$AL415, $P415:$AL415 &lt;&gt; """"), 3)"),"Employer Branding")</f>
        <v>Employer Branding</v>
      </c>
      <c r="J415" s="106" t="str">
        <f ca="1">IFERROR(__xludf.DUMMYFUNCTION("IFERROR(INDEX(FILTER($P415:$AL415, $P415:$AL415 &lt;&gt; """"), 4),)"),"")</f>
        <v/>
      </c>
      <c r="K415" s="106" t="str">
        <f ca="1">IFERROR(__xludf.DUMMYFUNCTION("IFERROR(INDEX(FILTER($P415:$AL415, $P415:$AL415 &lt;&gt; """"), 5),)"),"")</f>
        <v/>
      </c>
      <c r="L415" s="107"/>
      <c r="M415" s="107"/>
      <c r="N415" s="107"/>
      <c r="O415" s="107"/>
      <c r="P415" s="132" t="str">
        <f>IF(COUNTIF('Fintech-A'!$A:$A, $C415), P$1, "")</f>
        <v/>
      </c>
      <c r="Q415" s="132" t="str">
        <f>IF(COUNTIF('Fintech-B'!$A:$A, $C415), Q$1, "")</f>
        <v/>
      </c>
      <c r="R415" s="132" t="str">
        <f>IF(COUNTIF('BEDM-A'!$A:$A, $C415), R$1, "")</f>
        <v/>
      </c>
      <c r="S415" s="132" t="str">
        <f>IF(COUNTIF('BEDM-B'!$A:$A, $C415), S$1, "")</f>
        <v/>
      </c>
      <c r="T415" s="132" t="str">
        <f>IF(COUNTIF('Art-A'!$A:$A, $C415), T$1, "")</f>
        <v/>
      </c>
      <c r="U415" s="132" t="str">
        <f>IF(COUNTIF('Art-B'!$A:$A, $C415), U$1, "")</f>
        <v/>
      </c>
      <c r="V415" s="132" t="str">
        <f>IF(COUNTIF('WH-A'!$A:$A, $C415), V$1, "")</f>
        <v/>
      </c>
      <c r="W415" s="132" t="str">
        <f>IF(COUNTIF('WH-B'!$A:$A, $C415), W$1, "")</f>
        <v/>
      </c>
      <c r="X415" s="132" t="str">
        <f>IF(COUNTIF(LETV!$A:$A, $C415), X$1, "")</f>
        <v/>
      </c>
      <c r="Y415" s="132" t="str">
        <f>IF(COUNTIF('Film&amp;Firm-A'!$A:$A, $C415), Y$1, "")</f>
        <v/>
      </c>
      <c r="Z415" s="132" t="str">
        <f>IF(COUNTIF('Film&amp;Firm-B'!$A:$A, $C415), Z$1, "")</f>
        <v/>
      </c>
      <c r="AA415" s="132" t="str">
        <f>IF(COUNTIF(SHRM!$A:$A, $C415), AA$1, "")</f>
        <v>Strategic HRM</v>
      </c>
      <c r="AB415" s="132" t="str">
        <f>IF(COUNTIF('SCM-A'!$A:$A, $C415), AB$1, "")</f>
        <v/>
      </c>
      <c r="AC415" s="132" t="str">
        <f>IF(COUNTIF('SCM-B'!$A:$A, $C415), AC$1, "")</f>
        <v>Strategic Career Management (B)</v>
      </c>
      <c r="AD415" s="132" t="str">
        <f>IF(COUNTIF(AIS!$A:$A, $C415), AD$1, "")</f>
        <v/>
      </c>
      <c r="AE415" s="132" t="str">
        <f>IF(COUNTIF(EB!$A:$A, $C415), AE$1, "")</f>
        <v>Employer Branding</v>
      </c>
      <c r="AF415" s="132" t="str">
        <f>IF(COUNTIF('AIAM-A'!$A:$A, $C415), AF$1, "")</f>
        <v/>
      </c>
      <c r="AG415" s="132" t="str">
        <f>IF(COUNTIF('AIAM-B'!$A:$A, $C415), AG$1, "")</f>
        <v/>
      </c>
      <c r="AH415" s="132" t="str">
        <f>IF(COUNTIF('SA-A'!$A:$A, $C415), AH$1, "")</f>
        <v/>
      </c>
      <c r="AI415" s="132" t="str">
        <f>IF(COUNTIF('SA-B'!$A:$A, $C415), AI$1, "")</f>
        <v/>
      </c>
      <c r="AJ415" s="132" t="str">
        <f>IF(COUNTIF(CSM!$A:$A, $C415), AJ$1, "")</f>
        <v/>
      </c>
      <c r="AK415" s="132" t="str">
        <f>IF(COUNTIF(EM!$A:$A, $C415), AK$1, "")</f>
        <v/>
      </c>
      <c r="AL415" s="132" t="str">
        <f>IF(COUNTIF(I4TS!$A:$A, $C415), AL$1, "")</f>
        <v/>
      </c>
    </row>
    <row r="416" spans="1:38" ht="14">
      <c r="A416" s="131">
        <v>415</v>
      </c>
      <c r="B416" s="131" t="s">
        <v>1397</v>
      </c>
      <c r="C416" s="142" t="s">
        <v>199</v>
      </c>
      <c r="D416" s="142" t="s">
        <v>1505</v>
      </c>
      <c r="E416" s="140" t="s">
        <v>1506</v>
      </c>
      <c r="F416" s="131">
        <f t="shared" ca="1" si="1"/>
        <v>5</v>
      </c>
      <c r="G416" s="106" t="str">
        <f ca="1">IFERROR(__xludf.DUMMYFUNCTION("INDEX(FILTER($P416:$AL416, $P416:$AL416 &lt;&gt; """"), 1)"),"Leadership Excellence Through Values : Wisdom from the Mahabharata")</f>
        <v>Leadership Excellence Through Values : Wisdom from the Mahabharata</v>
      </c>
      <c r="H416" s="106" t="str">
        <f ca="1">IFERROR(__xludf.DUMMYFUNCTION("INDEX(FILTER($P416:$AL416, $P416:$AL416 &lt;&gt; """"), 2)"),"Film &amp; the Firm: Visual Culture in Business Contexts (A)")</f>
        <v>Film &amp; the Firm: Visual Culture in Business Contexts (A)</v>
      </c>
      <c r="I416" s="106" t="str">
        <f ca="1">IFERROR(__xludf.DUMMYFUNCTION("INDEX(FILTER($P416:$AL416, $P416:$AL416 &lt;&gt; """"), 3)"),"SPORTS ANALYTICS (B)")</f>
        <v>SPORTS ANALYTICS (B)</v>
      </c>
      <c r="J416" s="106" t="str">
        <f ca="1">IFERROR(__xludf.DUMMYFUNCTION("IFERROR(INDEX(FILTER($P416:$AL416, $P416:$AL416 &lt;&gt; """"), 4),)"),"")</f>
        <v/>
      </c>
      <c r="K416" s="106" t="str">
        <f ca="1">IFERROR(__xludf.DUMMYFUNCTION("IFERROR(INDEX(FILTER($P416:$AL416, $P416:$AL416 &lt;&gt; """"), 5),)"),"")</f>
        <v/>
      </c>
      <c r="L416" s="107"/>
      <c r="M416" s="107"/>
      <c r="N416" s="107"/>
      <c r="O416" s="107"/>
      <c r="P416" s="132" t="str">
        <f>IF(COUNTIF('Fintech-A'!$A:$A, $C416), P$1, "")</f>
        <v/>
      </c>
      <c r="Q416" s="132" t="str">
        <f>IF(COUNTIF('Fintech-B'!$A:$A, $C416), Q$1, "")</f>
        <v/>
      </c>
      <c r="R416" s="132" t="str">
        <f>IF(COUNTIF('BEDM-A'!$A:$A, $C416), R$1, "")</f>
        <v/>
      </c>
      <c r="S416" s="132" t="str">
        <f>IF(COUNTIF('BEDM-B'!$A:$A, $C416), S$1, "")</f>
        <v/>
      </c>
      <c r="T416" s="132" t="str">
        <f>IF(COUNTIF('Art-A'!$A:$A, $C416), T$1, "")</f>
        <v/>
      </c>
      <c r="U416" s="132" t="str">
        <f>IF(COUNTIF('Art-B'!$A:$A, $C416), U$1, "")</f>
        <v/>
      </c>
      <c r="V416" s="132" t="str">
        <f>IF(COUNTIF('WH-A'!$A:$A, $C416), V$1, "")</f>
        <v/>
      </c>
      <c r="W416" s="132" t="str">
        <f>IF(COUNTIF('WH-B'!$A:$A, $C416), W$1, "")</f>
        <v/>
      </c>
      <c r="X416" s="132" t="str">
        <f>IF(COUNTIF(LETV!$A:$A, $C416), X$1, "")</f>
        <v>Leadership Excellence Through Values : Wisdom from the Mahabharata</v>
      </c>
      <c r="Y416" s="132" t="str">
        <f>IF(COUNTIF('Film&amp;Firm-A'!$A:$A, $C416), Y$1, "")</f>
        <v>Film &amp; the Firm: Visual Culture in Business Contexts (A)</v>
      </c>
      <c r="Z416" s="132" t="str">
        <f>IF(COUNTIF('Film&amp;Firm-B'!$A:$A, $C416), Z$1, "")</f>
        <v/>
      </c>
      <c r="AA416" s="132" t="str">
        <f>IF(COUNTIF(SHRM!$A:$A, $C416), AA$1, "")</f>
        <v/>
      </c>
      <c r="AB416" s="132" t="str">
        <f>IF(COUNTIF('SCM-A'!$A:$A, $C416), AB$1, "")</f>
        <v/>
      </c>
      <c r="AC416" s="132" t="str">
        <f>IF(COUNTIF('SCM-B'!$A:$A, $C416), AC$1, "")</f>
        <v/>
      </c>
      <c r="AD416" s="132" t="str">
        <f>IF(COUNTIF(AIS!$A:$A, $C416), AD$1, "")</f>
        <v/>
      </c>
      <c r="AE416" s="132" t="str">
        <f>IF(COUNTIF(EB!$A:$A, $C416), AE$1, "")</f>
        <v/>
      </c>
      <c r="AF416" s="132" t="str">
        <f>IF(COUNTIF('AIAM-A'!$A:$A, $C416), AF$1, "")</f>
        <v/>
      </c>
      <c r="AG416" s="132" t="str">
        <f>IF(COUNTIF('AIAM-B'!$A:$A, $C416), AG$1, "")</f>
        <v/>
      </c>
      <c r="AH416" s="132" t="str">
        <f>IF(COUNTIF('SA-A'!$A:$A, $C416), AH$1, "")</f>
        <v/>
      </c>
      <c r="AI416" s="132" t="str">
        <f>IF(COUNTIF('SA-B'!$A:$A, $C416), AI$1, "")</f>
        <v>SPORTS ANALYTICS (B)</v>
      </c>
      <c r="AJ416" s="132" t="str">
        <f>IF(COUNTIF(CSM!$A:$A, $C416), AJ$1, "")</f>
        <v/>
      </c>
      <c r="AK416" s="132" t="str">
        <f>IF(COUNTIF(EM!$A:$A, $C416), AK$1, "")</f>
        <v/>
      </c>
      <c r="AL416" s="132" t="str">
        <f>IF(COUNTIF(I4TS!$A:$A, $C416), AL$1, "")</f>
        <v/>
      </c>
    </row>
    <row r="417" spans="1:38" ht="14">
      <c r="A417" s="131">
        <v>416</v>
      </c>
      <c r="B417" s="131" t="s">
        <v>1397</v>
      </c>
      <c r="C417" s="142" t="s">
        <v>1507</v>
      </c>
      <c r="D417" s="142" t="s">
        <v>1508</v>
      </c>
      <c r="E417" s="140" t="s">
        <v>1509</v>
      </c>
      <c r="F417" s="131">
        <f t="shared" ca="1" si="1"/>
        <v>5</v>
      </c>
      <c r="G417" s="106" t="str">
        <f ca="1">IFERROR(__xludf.DUMMYFUNCTION("INDEX(FILTER($P417:$AL417, $P417:$AL417 &lt;&gt; """"), 1)"),"Behavioural Economics and Decision-Making (B)")</f>
        <v>Behavioural Economics and Decision-Making (B)</v>
      </c>
      <c r="H417" s="106" t="str">
        <f ca="1">IFERROR(__xludf.DUMMYFUNCTION("INDEX(FILTER($P417:$AL417, $P417:$AL417 &lt;&gt; """"), 2)"),"The Art, Craft, and Science of Management: Learning through Classics and Best Collections (A)")</f>
        <v>The Art, Craft, and Science of Management: Learning through Classics and Best Collections (A)</v>
      </c>
      <c r="I417" s="106" t="str">
        <f ca="1">IFERROR(__xludf.DUMMYFUNCTION("INDEX(FILTER($P417:$AL417, $P417:$AL417 &lt;&gt; """"), 3)"),"Strategic HRM")</f>
        <v>Strategic HRM</v>
      </c>
      <c r="J417" s="106" t="str">
        <f ca="1">IFERROR(__xludf.DUMMYFUNCTION("IFERROR(INDEX(FILTER($P417:$AL417, $P417:$AL417 &lt;&gt; """"), 4),)"),"Employer Branding")</f>
        <v>Employer Branding</v>
      </c>
      <c r="K417" s="106" t="str">
        <f ca="1">IFERROR(__xludf.DUMMYFUNCTION("IFERROR(INDEX(FILTER($P417:$AL417, $P417:$AL417 &lt;&gt; """"), 5),)"),"AI Applications in Marketing (A)")</f>
        <v>AI Applications in Marketing (A)</v>
      </c>
      <c r="L417" s="107"/>
      <c r="M417" s="107"/>
      <c r="N417" s="107"/>
      <c r="O417" s="107"/>
      <c r="P417" s="132" t="str">
        <f>IF(COUNTIF('Fintech-A'!$A:$A, $C417), P$1, "")</f>
        <v/>
      </c>
      <c r="Q417" s="132" t="str">
        <f>IF(COUNTIF('Fintech-B'!$A:$A, $C417), Q$1, "")</f>
        <v/>
      </c>
      <c r="R417" s="132" t="str">
        <f>IF(COUNTIF('BEDM-A'!$A:$A, $C417), R$1, "")</f>
        <v/>
      </c>
      <c r="S417" s="132" t="str">
        <f>IF(COUNTIF('BEDM-B'!$A:$A, $C417), S$1, "")</f>
        <v>Behavioural Economics and Decision-Making (B)</v>
      </c>
      <c r="T417" s="132" t="str">
        <f>IF(COUNTIF('Art-A'!$A:$A, $C417), T$1, "")</f>
        <v>The Art, Craft, and Science of Management: Learning through Classics and Best Collections (A)</v>
      </c>
      <c r="U417" s="132" t="str">
        <f>IF(COUNTIF('Art-B'!$A:$A, $C417), U$1, "")</f>
        <v/>
      </c>
      <c r="V417" s="132" t="str">
        <f>IF(COUNTIF('WH-A'!$A:$A, $C417), V$1, "")</f>
        <v/>
      </c>
      <c r="W417" s="132" t="str">
        <f>IF(COUNTIF('WH-B'!$A:$A, $C417), W$1, "")</f>
        <v/>
      </c>
      <c r="X417" s="132" t="str">
        <f>IF(COUNTIF(LETV!$A:$A, $C417), X$1, "")</f>
        <v/>
      </c>
      <c r="Y417" s="132" t="str">
        <f>IF(COUNTIF('Film&amp;Firm-A'!$A:$A, $C417), Y$1, "")</f>
        <v/>
      </c>
      <c r="Z417" s="132" t="str">
        <f>IF(COUNTIF('Film&amp;Firm-B'!$A:$A, $C417), Z$1, "")</f>
        <v/>
      </c>
      <c r="AA417" s="132" t="str">
        <f>IF(COUNTIF(SHRM!$A:$A, $C417), AA$1, "")</f>
        <v>Strategic HRM</v>
      </c>
      <c r="AB417" s="132" t="str">
        <f>IF(COUNTIF('SCM-A'!$A:$A, $C417), AB$1, "")</f>
        <v/>
      </c>
      <c r="AC417" s="132" t="str">
        <f>IF(COUNTIF('SCM-B'!$A:$A, $C417), AC$1, "")</f>
        <v/>
      </c>
      <c r="AD417" s="132" t="str">
        <f>IF(COUNTIF(AIS!$A:$A, $C417), AD$1, "")</f>
        <v/>
      </c>
      <c r="AE417" s="132" t="str">
        <f>IF(COUNTIF(EB!$A:$A, $C417), AE$1, "")</f>
        <v>Employer Branding</v>
      </c>
      <c r="AF417" s="132" t="str">
        <f>IF(COUNTIF('AIAM-A'!$A:$A, $C417), AF$1, "")</f>
        <v>AI Applications in Marketing (A)</v>
      </c>
      <c r="AG417" s="132" t="str">
        <f>IF(COUNTIF('AIAM-B'!$A:$A, $C417), AG$1, "")</f>
        <v/>
      </c>
      <c r="AH417" s="132" t="str">
        <f>IF(COUNTIF('SA-A'!$A:$A, $C417), AH$1, "")</f>
        <v/>
      </c>
      <c r="AI417" s="132" t="str">
        <f>IF(COUNTIF('SA-B'!$A:$A, $C417), AI$1, "")</f>
        <v/>
      </c>
      <c r="AJ417" s="132" t="str">
        <f>IF(COUNTIF(CSM!$A:$A, $C417), AJ$1, "")</f>
        <v/>
      </c>
      <c r="AK417" s="132" t="str">
        <f>IF(COUNTIF(EM!$A:$A, $C417), AK$1, "")</f>
        <v/>
      </c>
      <c r="AL417" s="132" t="str">
        <f>IF(COUNTIF(I4TS!$A:$A, $C417), AL$1, "")</f>
        <v/>
      </c>
    </row>
    <row r="418" spans="1:38" ht="14">
      <c r="A418" s="131">
        <v>417</v>
      </c>
      <c r="B418" s="131" t="s">
        <v>1397</v>
      </c>
      <c r="C418" s="142" t="s">
        <v>200</v>
      </c>
      <c r="D418" s="142" t="s">
        <v>1510</v>
      </c>
      <c r="E418" s="140" t="s">
        <v>1511</v>
      </c>
      <c r="F418" s="131">
        <f t="shared" ca="1" si="1"/>
        <v>5</v>
      </c>
      <c r="G418" s="106" t="str">
        <f ca="1">IFERROR(__xludf.DUMMYFUNCTION("INDEX(FILTER($P418:$AL418, $P418:$AL418 &lt;&gt; """"), 1)"),"The Art, Craft, and Science of Management: Learning through Classics and Best Collections (A)")</f>
        <v>The Art, Craft, and Science of Management: Learning through Classics and Best Collections (A)</v>
      </c>
      <c r="H418" s="106" t="str">
        <f ca="1">IFERROR(__xludf.DUMMYFUNCTION("INDEX(FILTER($P418:$AL418, $P418:$AL418 &lt;&gt; """"), 2)"),"Film &amp; the Firm: Visual Culture in Business Contexts (A)")</f>
        <v>Film &amp; the Firm: Visual Culture in Business Contexts (A)</v>
      </c>
      <c r="I418" s="106" t="str">
        <f ca="1">IFERROR(__xludf.DUMMYFUNCTION("INDEX(FILTER($P418:$AL418, $P418:$AL418 &lt;&gt; """"), 3)"),"Strategic HRM")</f>
        <v>Strategic HRM</v>
      </c>
      <c r="J418" s="106" t="str">
        <f ca="1">IFERROR(__xludf.DUMMYFUNCTION("IFERROR(INDEX(FILTER($P418:$AL418, $P418:$AL418 &lt;&gt; """"), 4),)"),"")</f>
        <v/>
      </c>
      <c r="K418" s="106" t="str">
        <f ca="1">IFERROR(__xludf.DUMMYFUNCTION("IFERROR(INDEX(FILTER($P418:$AL418, $P418:$AL418 &lt;&gt; """"), 5),)"),"")</f>
        <v/>
      </c>
      <c r="L418" s="107"/>
      <c r="M418" s="107"/>
      <c r="N418" s="107"/>
      <c r="O418" s="107"/>
      <c r="P418" s="132" t="str">
        <f>IF(COUNTIF('Fintech-A'!$A:$A, $C418), P$1, "")</f>
        <v/>
      </c>
      <c r="Q418" s="132" t="str">
        <f>IF(COUNTIF('Fintech-B'!$A:$A, $C418), Q$1, "")</f>
        <v/>
      </c>
      <c r="R418" s="132" t="str">
        <f>IF(COUNTIF('BEDM-A'!$A:$A, $C418), R$1, "")</f>
        <v/>
      </c>
      <c r="S418" s="132" t="str">
        <f>IF(COUNTIF('BEDM-B'!$A:$A, $C418), S$1, "")</f>
        <v/>
      </c>
      <c r="T418" s="132" t="str">
        <f>IF(COUNTIF('Art-A'!$A:$A, $C418), T$1, "")</f>
        <v>The Art, Craft, and Science of Management: Learning through Classics and Best Collections (A)</v>
      </c>
      <c r="U418" s="132" t="str">
        <f>IF(COUNTIF('Art-B'!$A:$A, $C418), U$1, "")</f>
        <v/>
      </c>
      <c r="V418" s="132" t="str">
        <f>IF(COUNTIF('WH-A'!$A:$A, $C418), V$1, "")</f>
        <v/>
      </c>
      <c r="W418" s="132" t="str">
        <f>IF(COUNTIF('WH-B'!$A:$A, $C418), W$1, "")</f>
        <v/>
      </c>
      <c r="X418" s="132" t="str">
        <f>IF(COUNTIF(LETV!$A:$A, $C418), X$1, "")</f>
        <v/>
      </c>
      <c r="Y418" s="132" t="str">
        <f>IF(COUNTIF('Film&amp;Firm-A'!$A:$A, $C418), Y$1, "")</f>
        <v>Film &amp; the Firm: Visual Culture in Business Contexts (A)</v>
      </c>
      <c r="Z418" s="132" t="str">
        <f>IF(COUNTIF('Film&amp;Firm-B'!$A:$A, $C418), Z$1, "")</f>
        <v/>
      </c>
      <c r="AA418" s="132" t="str">
        <f>IF(COUNTIF(SHRM!$A:$A, $C418), AA$1, "")</f>
        <v>Strategic HRM</v>
      </c>
      <c r="AB418" s="132" t="str">
        <f>IF(COUNTIF('SCM-A'!$A:$A, $C418), AB$1, "")</f>
        <v/>
      </c>
      <c r="AC418" s="132" t="str">
        <f>IF(COUNTIF('SCM-B'!$A:$A, $C418), AC$1, "")</f>
        <v/>
      </c>
      <c r="AD418" s="132" t="str">
        <f>IF(COUNTIF(AIS!$A:$A, $C418), AD$1, "")</f>
        <v/>
      </c>
      <c r="AE418" s="132" t="str">
        <f>IF(COUNTIF(EB!$A:$A, $C418), AE$1, "")</f>
        <v/>
      </c>
      <c r="AF418" s="132" t="str">
        <f>IF(COUNTIF('AIAM-A'!$A:$A, $C418), AF$1, "")</f>
        <v/>
      </c>
      <c r="AG418" s="132" t="str">
        <f>IF(COUNTIF('AIAM-B'!$A:$A, $C418), AG$1, "")</f>
        <v/>
      </c>
      <c r="AH418" s="132" t="str">
        <f>IF(COUNTIF('SA-A'!$A:$A, $C418), AH$1, "")</f>
        <v/>
      </c>
      <c r="AI418" s="132" t="str">
        <f>IF(COUNTIF('SA-B'!$A:$A, $C418), AI$1, "")</f>
        <v/>
      </c>
      <c r="AJ418" s="132" t="str">
        <f>IF(COUNTIF(CSM!$A:$A, $C418), AJ$1, "")</f>
        <v/>
      </c>
      <c r="AK418" s="132" t="str">
        <f>IF(COUNTIF(EM!$A:$A, $C418), AK$1, "")</f>
        <v/>
      </c>
      <c r="AL418" s="132" t="str">
        <f>IF(COUNTIF(I4TS!$A:$A, $C418), AL$1, "")</f>
        <v/>
      </c>
    </row>
    <row r="419" spans="1:38" ht="14">
      <c r="A419" s="131">
        <v>418</v>
      </c>
      <c r="B419" s="131" t="s">
        <v>1397</v>
      </c>
      <c r="C419" s="142" t="s">
        <v>1512</v>
      </c>
      <c r="D419" s="142" t="s">
        <v>1513</v>
      </c>
      <c r="E419" s="140" t="s">
        <v>1514</v>
      </c>
      <c r="F419" s="131">
        <f t="shared" ca="1" si="1"/>
        <v>5</v>
      </c>
      <c r="G419" s="106" t="str">
        <f ca="1">IFERROR(__xludf.DUMMYFUNCTION("INDEX(FILTER($P419:$AL419, $P419:$AL419 &lt;&gt; """"), 1)"),"Strategic HRM")</f>
        <v>Strategic HRM</v>
      </c>
      <c r="H419" s="106" t="str">
        <f ca="1">IFERROR(__xludf.DUMMYFUNCTION("INDEX(FILTER($P419:$AL419, $P419:$AL419 &lt;&gt; """"), 2)"),"Strategic Career Management (A)")</f>
        <v>Strategic Career Management (A)</v>
      </c>
      <c r="I419" s="106" t="str">
        <f ca="1">IFERROR(__xludf.DUMMYFUNCTION("INDEX(FILTER($P419:$AL419, $P419:$AL419 &lt;&gt; """"), 3)"),"Employer Branding")</f>
        <v>Employer Branding</v>
      </c>
      <c r="J419" s="106" t="str">
        <f ca="1">IFERROR(__xludf.DUMMYFUNCTION("IFERROR(INDEX(FILTER($P419:$AL419, $P419:$AL419 &lt;&gt; """"), 4),)"),"")</f>
        <v/>
      </c>
      <c r="K419" s="106" t="str">
        <f ca="1">IFERROR(__xludf.DUMMYFUNCTION("IFERROR(INDEX(FILTER($P419:$AL419, $P419:$AL419 &lt;&gt; """"), 5),)"),"")</f>
        <v/>
      </c>
      <c r="L419" s="107"/>
      <c r="M419" s="107"/>
      <c r="N419" s="107"/>
      <c r="O419" s="107"/>
      <c r="P419" s="132" t="str">
        <f>IF(COUNTIF('Fintech-A'!$A:$A, $C419), P$1, "")</f>
        <v/>
      </c>
      <c r="Q419" s="132" t="str">
        <f>IF(COUNTIF('Fintech-B'!$A:$A, $C419), Q$1, "")</f>
        <v/>
      </c>
      <c r="R419" s="132" t="str">
        <f>IF(COUNTIF('BEDM-A'!$A:$A, $C419), R$1, "")</f>
        <v/>
      </c>
      <c r="S419" s="132" t="str">
        <f>IF(COUNTIF('BEDM-B'!$A:$A, $C419), S$1, "")</f>
        <v/>
      </c>
      <c r="T419" s="132" t="str">
        <f>IF(COUNTIF('Art-A'!$A:$A, $C419), T$1, "")</f>
        <v/>
      </c>
      <c r="U419" s="132" t="str">
        <f>IF(COUNTIF('Art-B'!$A:$A, $C419), U$1, "")</f>
        <v/>
      </c>
      <c r="V419" s="132" t="str">
        <f>IF(COUNTIF('WH-A'!$A:$A, $C419), V$1, "")</f>
        <v/>
      </c>
      <c r="W419" s="132" t="str">
        <f>IF(COUNTIF('WH-B'!$A:$A, $C419), W$1, "")</f>
        <v/>
      </c>
      <c r="X419" s="132" t="str">
        <f>IF(COUNTIF(LETV!$A:$A, $C419), X$1, "")</f>
        <v/>
      </c>
      <c r="Y419" s="132" t="str">
        <f>IF(COUNTIF('Film&amp;Firm-A'!$A:$A, $C419), Y$1, "")</f>
        <v/>
      </c>
      <c r="Z419" s="132" t="str">
        <f>IF(COUNTIF('Film&amp;Firm-B'!$A:$A, $C419), Z$1, "")</f>
        <v/>
      </c>
      <c r="AA419" s="132" t="str">
        <f>IF(COUNTIF(SHRM!$A:$A, $C419), AA$1, "")</f>
        <v>Strategic HRM</v>
      </c>
      <c r="AB419" s="132" t="str">
        <f>IF(COUNTIF('SCM-A'!$A:$A, $C419), AB$1, "")</f>
        <v>Strategic Career Management (A)</v>
      </c>
      <c r="AC419" s="132" t="str">
        <f>IF(COUNTIF('SCM-B'!$A:$A, $C419), AC$1, "")</f>
        <v/>
      </c>
      <c r="AD419" s="132" t="str">
        <f>IF(COUNTIF(AIS!$A:$A, $C419), AD$1, "")</f>
        <v/>
      </c>
      <c r="AE419" s="132" t="str">
        <f>IF(COUNTIF(EB!$A:$A, $C419), AE$1, "")</f>
        <v>Employer Branding</v>
      </c>
      <c r="AF419" s="132" t="str">
        <f>IF(COUNTIF('AIAM-A'!$A:$A, $C419), AF$1, "")</f>
        <v/>
      </c>
      <c r="AG419" s="132" t="str">
        <f>IF(COUNTIF('AIAM-B'!$A:$A, $C419), AG$1, "")</f>
        <v/>
      </c>
      <c r="AH419" s="132" t="str">
        <f>IF(COUNTIF('SA-A'!$A:$A, $C419), AH$1, "")</f>
        <v/>
      </c>
      <c r="AI419" s="132" t="str">
        <f>IF(COUNTIF('SA-B'!$A:$A, $C419), AI$1, "")</f>
        <v/>
      </c>
      <c r="AJ419" s="132" t="str">
        <f>IF(COUNTIF(CSM!$A:$A, $C419), AJ$1, "")</f>
        <v/>
      </c>
      <c r="AK419" s="132" t="str">
        <f>IF(COUNTIF(EM!$A:$A, $C419), AK$1, "")</f>
        <v/>
      </c>
      <c r="AL419" s="132" t="str">
        <f>IF(COUNTIF(I4TS!$A:$A, $C419), AL$1, "")</f>
        <v/>
      </c>
    </row>
    <row r="420" spans="1:38" ht="14">
      <c r="A420" s="131">
        <v>419</v>
      </c>
      <c r="B420" s="131" t="s">
        <v>1397</v>
      </c>
      <c r="C420" s="142" t="s">
        <v>201</v>
      </c>
      <c r="D420" s="142" t="s">
        <v>1515</v>
      </c>
      <c r="E420" s="140" t="s">
        <v>1516</v>
      </c>
      <c r="F420" s="131">
        <f t="shared" ca="1" si="1"/>
        <v>5</v>
      </c>
      <c r="G420" s="106" t="str">
        <f ca="1">IFERROR(__xludf.DUMMYFUNCTION("INDEX(FILTER($P420:$AL420, $P420:$AL420 &lt;&gt; """"), 1)"),"The Art, Craft, and Science of Management: Learning through Classics and Best Collections (B)")</f>
        <v>The Art, Craft, and Science of Management: Learning through Classics and Best Collections (B)</v>
      </c>
      <c r="H420" s="106" t="str">
        <f ca="1">IFERROR(__xludf.DUMMYFUNCTION("INDEX(FILTER($P420:$AL420, $P420:$AL420 &lt;&gt; """"), 2)"),"Strategic HRM")</f>
        <v>Strategic HRM</v>
      </c>
      <c r="I420" s="106" t="str">
        <f ca="1">IFERROR(__xludf.DUMMYFUNCTION("INDEX(FILTER($P420:$AL420, $P420:$AL420 &lt;&gt; """"), 3)"),"Employer Branding")</f>
        <v>Employer Branding</v>
      </c>
      <c r="J420" s="106" t="str">
        <f ca="1">IFERROR(__xludf.DUMMYFUNCTION("IFERROR(INDEX(FILTER($P420:$AL420, $P420:$AL420 &lt;&gt; """"), 4),)"),"")</f>
        <v/>
      </c>
      <c r="K420" s="106" t="str">
        <f ca="1">IFERROR(__xludf.DUMMYFUNCTION("IFERROR(INDEX(FILTER($P420:$AL420, $P420:$AL420 &lt;&gt; """"), 5),)"),"")</f>
        <v/>
      </c>
      <c r="L420" s="107"/>
      <c r="M420" s="107"/>
      <c r="N420" s="107"/>
      <c r="O420" s="107"/>
      <c r="P420" s="132" t="str">
        <f>IF(COUNTIF('Fintech-A'!$A:$A, $C420), P$1, "")</f>
        <v/>
      </c>
      <c r="Q420" s="132" t="str">
        <f>IF(COUNTIF('Fintech-B'!$A:$A, $C420), Q$1, "")</f>
        <v/>
      </c>
      <c r="R420" s="132" t="str">
        <f>IF(COUNTIF('BEDM-A'!$A:$A, $C420), R$1, "")</f>
        <v/>
      </c>
      <c r="S420" s="132" t="str">
        <f>IF(COUNTIF('BEDM-B'!$A:$A, $C420), S$1, "")</f>
        <v/>
      </c>
      <c r="T420" s="132" t="str">
        <f>IF(COUNTIF('Art-A'!$A:$A, $C420), T$1, "")</f>
        <v/>
      </c>
      <c r="U420" s="132" t="str">
        <f>IF(COUNTIF('Art-B'!$A:$A, $C420), U$1, "")</f>
        <v>The Art, Craft, and Science of Management: Learning through Classics and Best Collections (B)</v>
      </c>
      <c r="V420" s="132" t="str">
        <f>IF(COUNTIF('WH-A'!$A:$A, $C420), V$1, "")</f>
        <v/>
      </c>
      <c r="W420" s="132" t="str">
        <f>IF(COUNTIF('WH-B'!$A:$A, $C420), W$1, "")</f>
        <v/>
      </c>
      <c r="X420" s="132" t="str">
        <f>IF(COUNTIF(LETV!$A:$A, $C420), X$1, "")</f>
        <v/>
      </c>
      <c r="Y420" s="132" t="str">
        <f>IF(COUNTIF('Film&amp;Firm-A'!$A:$A, $C420), Y$1, "")</f>
        <v/>
      </c>
      <c r="Z420" s="132" t="str">
        <f>IF(COUNTIF('Film&amp;Firm-B'!$A:$A, $C420), Z$1, "")</f>
        <v/>
      </c>
      <c r="AA420" s="132" t="str">
        <f>IF(COUNTIF(SHRM!$A:$A, $C420), AA$1, "")</f>
        <v>Strategic HRM</v>
      </c>
      <c r="AB420" s="132" t="str">
        <f>IF(COUNTIF('SCM-A'!$A:$A, $C420), AB$1, "")</f>
        <v/>
      </c>
      <c r="AC420" s="132" t="str">
        <f>IF(COUNTIF('SCM-B'!$A:$A, $C420), AC$1, "")</f>
        <v/>
      </c>
      <c r="AD420" s="132" t="str">
        <f>IF(COUNTIF(AIS!$A:$A, $C420), AD$1, "")</f>
        <v/>
      </c>
      <c r="AE420" s="132" t="str">
        <f>IF(COUNTIF(EB!$A:$A, $C420), AE$1, "")</f>
        <v>Employer Branding</v>
      </c>
      <c r="AF420" s="132" t="str">
        <f>IF(COUNTIF('AIAM-A'!$A:$A, $C420), AF$1, "")</f>
        <v/>
      </c>
      <c r="AG420" s="132" t="str">
        <f>IF(COUNTIF('AIAM-B'!$A:$A, $C420), AG$1, "")</f>
        <v/>
      </c>
      <c r="AH420" s="132" t="str">
        <f>IF(COUNTIF('SA-A'!$A:$A, $C420), AH$1, "")</f>
        <v/>
      </c>
      <c r="AI420" s="132" t="str">
        <f>IF(COUNTIF('SA-B'!$A:$A, $C420), AI$1, "")</f>
        <v/>
      </c>
      <c r="AJ420" s="132" t="str">
        <f>IF(COUNTIF(CSM!$A:$A, $C420), AJ$1, "")</f>
        <v/>
      </c>
      <c r="AK420" s="132" t="str">
        <f>IF(COUNTIF(EM!$A:$A, $C420), AK$1, "")</f>
        <v/>
      </c>
      <c r="AL420" s="132" t="str">
        <f>IF(COUNTIF(I4TS!$A:$A, $C420), AL$1, "")</f>
        <v/>
      </c>
    </row>
    <row r="421" spans="1:38" ht="14">
      <c r="A421" s="131">
        <v>420</v>
      </c>
      <c r="B421" s="131" t="s">
        <v>1397</v>
      </c>
      <c r="C421" s="142" t="s">
        <v>1517</v>
      </c>
      <c r="D421" s="142" t="s">
        <v>1518</v>
      </c>
      <c r="E421" s="140" t="s">
        <v>1519</v>
      </c>
      <c r="F421" s="131">
        <f t="shared" ca="1" si="1"/>
        <v>5</v>
      </c>
      <c r="G421" s="106" t="str">
        <f ca="1">IFERROR(__xludf.DUMMYFUNCTION("INDEX(FILTER($P421:$AL421, $P421:$AL421 &lt;&gt; """"), 1)"),"Workplace Happiness: Science &amp; Practice (B)")</f>
        <v>Workplace Happiness: Science &amp; Practice (B)</v>
      </c>
      <c r="H421" s="106" t="str">
        <f ca="1">IFERROR(__xludf.DUMMYFUNCTION("INDEX(FILTER($P421:$AL421, $P421:$AL421 &lt;&gt; """"), 2)"),"Leadership Excellence Through Values : Wisdom from the Mahabharata")</f>
        <v>Leadership Excellence Through Values : Wisdom from the Mahabharata</v>
      </c>
      <c r="I421" s="106" t="str">
        <f ca="1">IFERROR(__xludf.DUMMYFUNCTION("INDEX(FILTER($P421:$AL421, $P421:$AL421 &lt;&gt; """"), 3)"),"Film &amp; the Firm: Visual Culture in Business Contexts (B)")</f>
        <v>Film &amp; the Firm: Visual Culture in Business Contexts (B)</v>
      </c>
      <c r="J421" s="106" t="str">
        <f ca="1">IFERROR(__xludf.DUMMYFUNCTION("IFERROR(INDEX(FILTER($P421:$AL421, $P421:$AL421 &lt;&gt; """"), 4),)"),"")</f>
        <v/>
      </c>
      <c r="K421" s="106" t="str">
        <f ca="1">IFERROR(__xludf.DUMMYFUNCTION("IFERROR(INDEX(FILTER($P421:$AL421, $P421:$AL421 &lt;&gt; """"), 5),)"),"")</f>
        <v/>
      </c>
      <c r="L421" s="107"/>
      <c r="M421" s="107"/>
      <c r="N421" s="107"/>
      <c r="O421" s="107"/>
      <c r="P421" s="132" t="str">
        <f>IF(COUNTIF('Fintech-A'!$A:$A, $C421), P$1, "")</f>
        <v/>
      </c>
      <c r="Q421" s="132" t="str">
        <f>IF(COUNTIF('Fintech-B'!$A:$A, $C421), Q$1, "")</f>
        <v/>
      </c>
      <c r="R421" s="132" t="str">
        <f>IF(COUNTIF('BEDM-A'!$A:$A, $C421), R$1, "")</f>
        <v/>
      </c>
      <c r="S421" s="132" t="str">
        <f>IF(COUNTIF('BEDM-B'!$A:$A, $C421), S$1, "")</f>
        <v/>
      </c>
      <c r="T421" s="132" t="str">
        <f>IF(COUNTIF('Art-A'!$A:$A, $C421), T$1, "")</f>
        <v/>
      </c>
      <c r="U421" s="132" t="str">
        <f>IF(COUNTIF('Art-B'!$A:$A, $C421), U$1, "")</f>
        <v/>
      </c>
      <c r="V421" s="132" t="str">
        <f>IF(COUNTIF('WH-A'!$A:$A, $C421), V$1, "")</f>
        <v/>
      </c>
      <c r="W421" s="132" t="str">
        <f>IF(COUNTIF('WH-B'!$A:$A, $C421), W$1, "")</f>
        <v>Workplace Happiness: Science &amp; Practice (B)</v>
      </c>
      <c r="X421" s="132" t="str">
        <f>IF(COUNTIF(LETV!$A:$A, $C421), X$1, "")</f>
        <v>Leadership Excellence Through Values : Wisdom from the Mahabharata</v>
      </c>
      <c r="Y421" s="132" t="str">
        <f>IF(COUNTIF('Film&amp;Firm-A'!$A:$A, $C421), Y$1, "")</f>
        <v/>
      </c>
      <c r="Z421" s="132" t="str">
        <f>IF(COUNTIF('Film&amp;Firm-B'!$A:$A, $C421), Z$1, "")</f>
        <v>Film &amp; the Firm: Visual Culture in Business Contexts (B)</v>
      </c>
      <c r="AA421" s="132" t="str">
        <f>IF(COUNTIF(SHRM!$A:$A, $C421), AA$1, "")</f>
        <v/>
      </c>
      <c r="AB421" s="132" t="str">
        <f>IF(COUNTIF('SCM-A'!$A:$A, $C421), AB$1, "")</f>
        <v/>
      </c>
      <c r="AC421" s="132" t="str">
        <f>IF(COUNTIF('SCM-B'!$A:$A, $C421), AC$1, "")</f>
        <v/>
      </c>
      <c r="AD421" s="132" t="str">
        <f>IF(COUNTIF(AIS!$A:$A, $C421), AD$1, "")</f>
        <v/>
      </c>
      <c r="AE421" s="132" t="str">
        <f>IF(COUNTIF(EB!$A:$A, $C421), AE$1, "")</f>
        <v/>
      </c>
      <c r="AF421" s="132" t="str">
        <f>IF(COUNTIF('AIAM-A'!$A:$A, $C421), AF$1, "")</f>
        <v/>
      </c>
      <c r="AG421" s="132" t="str">
        <f>IF(COUNTIF('AIAM-B'!$A:$A, $C421), AG$1, "")</f>
        <v/>
      </c>
      <c r="AH421" s="132" t="str">
        <f>IF(COUNTIF('SA-A'!$A:$A, $C421), AH$1, "")</f>
        <v/>
      </c>
      <c r="AI421" s="132" t="str">
        <f>IF(COUNTIF('SA-B'!$A:$A, $C421), AI$1, "")</f>
        <v/>
      </c>
      <c r="AJ421" s="132" t="str">
        <f>IF(COUNTIF(CSM!$A:$A, $C421), AJ$1, "")</f>
        <v/>
      </c>
      <c r="AK421" s="132" t="str">
        <f>IF(COUNTIF(EM!$A:$A, $C421), AK$1, "")</f>
        <v/>
      </c>
      <c r="AL421" s="132" t="str">
        <f>IF(COUNTIF(I4TS!$A:$A, $C421), AL$1, "")</f>
        <v/>
      </c>
    </row>
    <row r="422" spans="1:38" ht="14">
      <c r="A422" s="131">
        <v>421</v>
      </c>
      <c r="B422" s="131" t="s">
        <v>1397</v>
      </c>
      <c r="C422" s="142" t="s">
        <v>203</v>
      </c>
      <c r="D422" s="142" t="s">
        <v>1520</v>
      </c>
      <c r="E422" s="140" t="s">
        <v>1521</v>
      </c>
      <c r="F422" s="131">
        <f t="shared" ca="1" si="1"/>
        <v>5</v>
      </c>
      <c r="G422" s="106" t="str">
        <f ca="1">IFERROR(__xludf.DUMMYFUNCTION("INDEX(FILTER($P422:$AL422, $P422:$AL422 &lt;&gt; """"), 1)"),"The Art, Craft, and Science of Management: Learning through Classics and Best Collections (A)")</f>
        <v>The Art, Craft, and Science of Management: Learning through Classics and Best Collections (A)</v>
      </c>
      <c r="H422" s="106" t="str">
        <f ca="1">IFERROR(__xludf.DUMMYFUNCTION("INDEX(FILTER($P422:$AL422, $P422:$AL422 &lt;&gt; """"), 2)"),"Film &amp; the Firm: Visual Culture in Business Contexts (A)")</f>
        <v>Film &amp; the Firm: Visual Culture in Business Contexts (A)</v>
      </c>
      <c r="I422" s="106" t="str">
        <f ca="1">IFERROR(__xludf.DUMMYFUNCTION("INDEX(FILTER($P422:$AL422, $P422:$AL422 &lt;&gt; """"), 3)"),"Strategic HRM")</f>
        <v>Strategic HRM</v>
      </c>
      <c r="J422" s="106" t="str">
        <f ca="1">IFERROR(__xludf.DUMMYFUNCTION("IFERROR(INDEX(FILTER($P422:$AL422, $P422:$AL422 &lt;&gt; """"), 4),)"),"")</f>
        <v/>
      </c>
      <c r="K422" s="106" t="str">
        <f ca="1">IFERROR(__xludf.DUMMYFUNCTION("IFERROR(INDEX(FILTER($P422:$AL422, $P422:$AL422 &lt;&gt; """"), 5),)"),"")</f>
        <v/>
      </c>
      <c r="L422" s="107"/>
      <c r="M422" s="107"/>
      <c r="N422" s="107"/>
      <c r="O422" s="107"/>
      <c r="P422" s="132" t="str">
        <f>IF(COUNTIF('Fintech-A'!$A:$A, $C422), P$1, "")</f>
        <v/>
      </c>
      <c r="Q422" s="132" t="str">
        <f>IF(COUNTIF('Fintech-B'!$A:$A, $C422), Q$1, "")</f>
        <v/>
      </c>
      <c r="R422" s="132" t="str">
        <f>IF(COUNTIF('BEDM-A'!$A:$A, $C422), R$1, "")</f>
        <v/>
      </c>
      <c r="S422" s="132" t="str">
        <f>IF(COUNTIF('BEDM-B'!$A:$A, $C422), S$1, "")</f>
        <v/>
      </c>
      <c r="T422" s="132" t="str">
        <f>IF(COUNTIF('Art-A'!$A:$A, $C422), T$1, "")</f>
        <v>The Art, Craft, and Science of Management: Learning through Classics and Best Collections (A)</v>
      </c>
      <c r="U422" s="132" t="str">
        <f>IF(COUNTIF('Art-B'!$A:$A, $C422), U$1, "")</f>
        <v/>
      </c>
      <c r="V422" s="132" t="str">
        <f>IF(COUNTIF('WH-A'!$A:$A, $C422), V$1, "")</f>
        <v/>
      </c>
      <c r="W422" s="132" t="str">
        <f>IF(COUNTIF('WH-B'!$A:$A, $C422), W$1, "")</f>
        <v/>
      </c>
      <c r="X422" s="132" t="str">
        <f>IF(COUNTIF(LETV!$A:$A, $C422), X$1, "")</f>
        <v/>
      </c>
      <c r="Y422" s="132" t="str">
        <f>IF(COUNTIF('Film&amp;Firm-A'!$A:$A, $C422), Y$1, "")</f>
        <v>Film &amp; the Firm: Visual Culture in Business Contexts (A)</v>
      </c>
      <c r="Z422" s="132" t="str">
        <f>IF(COUNTIF('Film&amp;Firm-B'!$A:$A, $C422), Z$1, "")</f>
        <v/>
      </c>
      <c r="AA422" s="132" t="str">
        <f>IF(COUNTIF(SHRM!$A:$A, $C422), AA$1, "")</f>
        <v>Strategic HRM</v>
      </c>
      <c r="AB422" s="132" t="str">
        <f>IF(COUNTIF('SCM-A'!$A:$A, $C422), AB$1, "")</f>
        <v/>
      </c>
      <c r="AC422" s="132" t="str">
        <f>IF(COUNTIF('SCM-B'!$A:$A, $C422), AC$1, "")</f>
        <v/>
      </c>
      <c r="AD422" s="132" t="str">
        <f>IF(COUNTIF(AIS!$A:$A, $C422), AD$1, "")</f>
        <v/>
      </c>
      <c r="AE422" s="132" t="str">
        <f>IF(COUNTIF(EB!$A:$A, $C422), AE$1, "")</f>
        <v/>
      </c>
      <c r="AF422" s="132" t="str">
        <f>IF(COUNTIF('AIAM-A'!$A:$A, $C422), AF$1, "")</f>
        <v/>
      </c>
      <c r="AG422" s="132" t="str">
        <f>IF(COUNTIF('AIAM-B'!$A:$A, $C422), AG$1, "")</f>
        <v/>
      </c>
      <c r="AH422" s="132" t="str">
        <f>IF(COUNTIF('SA-A'!$A:$A, $C422), AH$1, "")</f>
        <v/>
      </c>
      <c r="AI422" s="132" t="str">
        <f>IF(COUNTIF('SA-B'!$A:$A, $C422), AI$1, "")</f>
        <v/>
      </c>
      <c r="AJ422" s="132" t="str">
        <f>IF(COUNTIF(CSM!$A:$A, $C422), AJ$1, "")</f>
        <v/>
      </c>
      <c r="AK422" s="132" t="str">
        <f>IF(COUNTIF(EM!$A:$A, $C422), AK$1, "")</f>
        <v/>
      </c>
      <c r="AL422" s="132" t="str">
        <f>IF(COUNTIF(I4TS!$A:$A, $C422), AL$1, "")</f>
        <v/>
      </c>
    </row>
    <row r="423" spans="1:38" ht="14">
      <c r="A423" s="131">
        <v>422</v>
      </c>
      <c r="B423" s="131" t="s">
        <v>1397</v>
      </c>
      <c r="C423" s="142" t="s">
        <v>1522</v>
      </c>
      <c r="D423" s="142" t="s">
        <v>1523</v>
      </c>
      <c r="E423" s="140" t="s">
        <v>1524</v>
      </c>
      <c r="F423" s="131">
        <f t="shared" ca="1" si="1"/>
        <v>5</v>
      </c>
      <c r="G423" s="106" t="str">
        <f ca="1">IFERROR(__xludf.DUMMYFUNCTION("INDEX(FILTER($P423:$AL423, $P423:$AL423 &lt;&gt; """"), 1)"),"Workplace Happiness: Science &amp; Practice (B)")</f>
        <v>Workplace Happiness: Science &amp; Practice (B)</v>
      </c>
      <c r="H423" s="106" t="str">
        <f ca="1">IFERROR(__xludf.DUMMYFUNCTION("INDEX(FILTER($P423:$AL423, $P423:$AL423 &lt;&gt; """"), 2)"),"Leadership Excellence Through Values : Wisdom from the Mahabharata")</f>
        <v>Leadership Excellence Through Values : Wisdom from the Mahabharata</v>
      </c>
      <c r="I423" s="106" t="str">
        <f ca="1">IFERROR(__xludf.DUMMYFUNCTION("INDEX(FILTER($P423:$AL423, $P423:$AL423 &lt;&gt; """"), 3)"),"Film &amp; the Firm: Visual Culture in Business Contexts (B)")</f>
        <v>Film &amp; the Firm: Visual Culture in Business Contexts (B)</v>
      </c>
      <c r="J423" s="106" t="str">
        <f ca="1">IFERROR(__xludf.DUMMYFUNCTION("IFERROR(INDEX(FILTER($P423:$AL423, $P423:$AL423 &lt;&gt; """"), 4),)"),"")</f>
        <v/>
      </c>
      <c r="K423" s="106" t="str">
        <f ca="1">IFERROR(__xludf.DUMMYFUNCTION("IFERROR(INDEX(FILTER($P423:$AL423, $P423:$AL423 &lt;&gt; """"), 5),)"),"")</f>
        <v/>
      </c>
      <c r="L423" s="107"/>
      <c r="M423" s="107"/>
      <c r="N423" s="107"/>
      <c r="O423" s="107"/>
      <c r="P423" s="132" t="str">
        <f>IF(COUNTIF('Fintech-A'!$A:$A, $C423), P$1, "")</f>
        <v/>
      </c>
      <c r="Q423" s="132" t="str">
        <f>IF(COUNTIF('Fintech-B'!$A:$A, $C423), Q$1, "")</f>
        <v/>
      </c>
      <c r="R423" s="132" t="str">
        <f>IF(COUNTIF('BEDM-A'!$A:$A, $C423), R$1, "")</f>
        <v/>
      </c>
      <c r="S423" s="132" t="str">
        <f>IF(COUNTIF('BEDM-B'!$A:$A, $C423), S$1, "")</f>
        <v/>
      </c>
      <c r="T423" s="132" t="str">
        <f>IF(COUNTIF('Art-A'!$A:$A, $C423), T$1, "")</f>
        <v/>
      </c>
      <c r="U423" s="132" t="str">
        <f>IF(COUNTIF('Art-B'!$A:$A, $C423), U$1, "")</f>
        <v/>
      </c>
      <c r="V423" s="132" t="str">
        <f>IF(COUNTIF('WH-A'!$A:$A, $C423), V$1, "")</f>
        <v/>
      </c>
      <c r="W423" s="132" t="str">
        <f>IF(COUNTIF('WH-B'!$A:$A, $C423), W$1, "")</f>
        <v>Workplace Happiness: Science &amp; Practice (B)</v>
      </c>
      <c r="X423" s="132" t="str">
        <f>IF(COUNTIF(LETV!$A:$A, $C423), X$1, "")</f>
        <v>Leadership Excellence Through Values : Wisdom from the Mahabharata</v>
      </c>
      <c r="Y423" s="132" t="str">
        <f>IF(COUNTIF('Film&amp;Firm-A'!$A:$A, $C423), Y$1, "")</f>
        <v/>
      </c>
      <c r="Z423" s="132" t="str">
        <f>IF(COUNTIF('Film&amp;Firm-B'!$A:$A, $C423), Z$1, "")</f>
        <v>Film &amp; the Firm: Visual Culture in Business Contexts (B)</v>
      </c>
      <c r="AA423" s="132" t="str">
        <f>IF(COUNTIF(SHRM!$A:$A, $C423), AA$1, "")</f>
        <v/>
      </c>
      <c r="AB423" s="132" t="str">
        <f>IF(COUNTIF('SCM-A'!$A:$A, $C423), AB$1, "")</f>
        <v/>
      </c>
      <c r="AC423" s="132" t="str">
        <f>IF(COUNTIF('SCM-B'!$A:$A, $C423), AC$1, "")</f>
        <v/>
      </c>
      <c r="AD423" s="132" t="str">
        <f>IF(COUNTIF(AIS!$A:$A, $C423), AD$1, "")</f>
        <v/>
      </c>
      <c r="AE423" s="132" t="str">
        <f>IF(COUNTIF(EB!$A:$A, $C423), AE$1, "")</f>
        <v/>
      </c>
      <c r="AF423" s="132" t="str">
        <f>IF(COUNTIF('AIAM-A'!$A:$A, $C423), AF$1, "")</f>
        <v/>
      </c>
      <c r="AG423" s="132" t="str">
        <f>IF(COUNTIF('AIAM-B'!$A:$A, $C423), AG$1, "")</f>
        <v/>
      </c>
      <c r="AH423" s="132" t="str">
        <f>IF(COUNTIF('SA-A'!$A:$A, $C423), AH$1, "")</f>
        <v/>
      </c>
      <c r="AI423" s="132" t="str">
        <f>IF(COUNTIF('SA-B'!$A:$A, $C423), AI$1, "")</f>
        <v/>
      </c>
      <c r="AJ423" s="132" t="str">
        <f>IF(COUNTIF(CSM!$A:$A, $C423), AJ$1, "")</f>
        <v/>
      </c>
      <c r="AK423" s="132" t="str">
        <f>IF(COUNTIF(EM!$A:$A, $C423), AK$1, "")</f>
        <v/>
      </c>
      <c r="AL423" s="132" t="str">
        <f>IF(COUNTIF(I4TS!$A:$A, $C423), AL$1, "")</f>
        <v/>
      </c>
    </row>
    <row r="424" spans="1:38" ht="14">
      <c r="A424" s="131">
        <v>423</v>
      </c>
      <c r="B424" s="131" t="s">
        <v>1397</v>
      </c>
      <c r="C424" s="142" t="s">
        <v>1525</v>
      </c>
      <c r="D424" s="142" t="s">
        <v>1526</v>
      </c>
      <c r="E424" s="140" t="s">
        <v>1527</v>
      </c>
      <c r="F424" s="131">
        <f t="shared" ca="1" si="1"/>
        <v>5</v>
      </c>
      <c r="G424" s="106" t="str">
        <f ca="1">IFERROR(__xludf.DUMMYFUNCTION("INDEX(FILTER($P424:$AL424, $P424:$AL424 &lt;&gt; """"), 1)"),"Leadership Excellence Through Values : Wisdom from the Mahabharata")</f>
        <v>Leadership Excellence Through Values : Wisdom from the Mahabharata</v>
      </c>
      <c r="H424" s="106" t="str">
        <f ca="1">IFERROR(__xludf.DUMMYFUNCTION("INDEX(FILTER($P424:$AL424, $P424:$AL424 &lt;&gt; """"), 2)"),"Strategic HRM")</f>
        <v>Strategic HRM</v>
      </c>
      <c r="I424" s="106" t="str">
        <f ca="1">IFERROR(__xludf.DUMMYFUNCTION("INDEX(FILTER($P424:$AL424, $P424:$AL424 &lt;&gt; """"), 3)"),"Strategic Career Management (B)")</f>
        <v>Strategic Career Management (B)</v>
      </c>
      <c r="J424" s="106" t="str">
        <f ca="1">IFERROR(__xludf.DUMMYFUNCTION("IFERROR(INDEX(FILTER($P424:$AL424, $P424:$AL424 &lt;&gt; """"), 4),)"),"")</f>
        <v/>
      </c>
      <c r="K424" s="106" t="str">
        <f ca="1">IFERROR(__xludf.DUMMYFUNCTION("IFERROR(INDEX(FILTER($P424:$AL424, $P424:$AL424 &lt;&gt; """"), 5),)"),"")</f>
        <v/>
      </c>
      <c r="L424" s="107"/>
      <c r="M424" s="107"/>
      <c r="N424" s="107"/>
      <c r="O424" s="107"/>
      <c r="P424" s="132" t="str">
        <f>IF(COUNTIF('Fintech-A'!$A:$A, $C424), P$1, "")</f>
        <v/>
      </c>
      <c r="Q424" s="132" t="str">
        <f>IF(COUNTIF('Fintech-B'!$A:$A, $C424), Q$1, "")</f>
        <v/>
      </c>
      <c r="R424" s="132" t="str">
        <f>IF(COUNTIF('BEDM-A'!$A:$A, $C424), R$1, "")</f>
        <v/>
      </c>
      <c r="S424" s="132" t="str">
        <f>IF(COUNTIF('BEDM-B'!$A:$A, $C424), S$1, "")</f>
        <v/>
      </c>
      <c r="T424" s="132" t="str">
        <f>IF(COUNTIF('Art-A'!$A:$A, $C424), T$1, "")</f>
        <v/>
      </c>
      <c r="U424" s="132" t="str">
        <f>IF(COUNTIF('Art-B'!$A:$A, $C424), U$1, "")</f>
        <v/>
      </c>
      <c r="V424" s="132" t="str">
        <f>IF(COUNTIF('WH-A'!$A:$A, $C424), V$1, "")</f>
        <v/>
      </c>
      <c r="W424" s="132" t="str">
        <f>IF(COUNTIF('WH-B'!$A:$A, $C424), W$1, "")</f>
        <v/>
      </c>
      <c r="X424" s="132" t="str">
        <f>IF(COUNTIF(LETV!$A:$A, $C424), X$1, "")</f>
        <v>Leadership Excellence Through Values : Wisdom from the Mahabharata</v>
      </c>
      <c r="Y424" s="132" t="str">
        <f>IF(COUNTIF('Film&amp;Firm-A'!$A:$A, $C424), Y$1, "")</f>
        <v/>
      </c>
      <c r="Z424" s="132" t="str">
        <f>IF(COUNTIF('Film&amp;Firm-B'!$A:$A, $C424), Z$1, "")</f>
        <v/>
      </c>
      <c r="AA424" s="132" t="str">
        <f>IF(COUNTIF(SHRM!$A:$A, $C424), AA$1, "")</f>
        <v>Strategic HRM</v>
      </c>
      <c r="AB424" s="132" t="str">
        <f>IF(COUNTIF('SCM-A'!$A:$A, $C424), AB$1, "")</f>
        <v/>
      </c>
      <c r="AC424" s="132" t="str">
        <f>IF(COUNTIF('SCM-B'!$A:$A, $C424), AC$1, "")</f>
        <v>Strategic Career Management (B)</v>
      </c>
      <c r="AD424" s="132" t="str">
        <f>IF(COUNTIF(AIS!$A:$A, $C424), AD$1, "")</f>
        <v/>
      </c>
      <c r="AE424" s="132" t="str">
        <f>IF(COUNTIF(EB!$A:$A, $C424), AE$1, "")</f>
        <v/>
      </c>
      <c r="AF424" s="132" t="str">
        <f>IF(COUNTIF('AIAM-A'!$A:$A, $C424), AF$1, "")</f>
        <v/>
      </c>
      <c r="AG424" s="132" t="str">
        <f>IF(COUNTIF('AIAM-B'!$A:$A, $C424), AG$1, "")</f>
        <v/>
      </c>
      <c r="AH424" s="132" t="str">
        <f>IF(COUNTIF('SA-A'!$A:$A, $C424), AH$1, "")</f>
        <v/>
      </c>
      <c r="AI424" s="132" t="str">
        <f>IF(COUNTIF('SA-B'!$A:$A, $C424), AI$1, "")</f>
        <v/>
      </c>
      <c r="AJ424" s="132" t="str">
        <f>IF(COUNTIF(CSM!$A:$A, $C424), AJ$1, "")</f>
        <v/>
      </c>
      <c r="AK424" s="132" t="str">
        <f>IF(COUNTIF(EM!$A:$A, $C424), AK$1, "")</f>
        <v/>
      </c>
      <c r="AL424" s="132" t="str">
        <f>IF(COUNTIF(I4TS!$A:$A, $C424), AL$1, "")</f>
        <v/>
      </c>
    </row>
    <row r="425" spans="1:38" ht="14">
      <c r="A425" s="131">
        <v>424</v>
      </c>
      <c r="B425" s="131" t="s">
        <v>1397</v>
      </c>
      <c r="C425" s="142" t="s">
        <v>1528</v>
      </c>
      <c r="D425" s="142" t="s">
        <v>1529</v>
      </c>
      <c r="E425" s="140" t="s">
        <v>1530</v>
      </c>
      <c r="F425" s="131">
        <f t="shared" ca="1" si="1"/>
        <v>5</v>
      </c>
      <c r="G425" s="106" t="str">
        <f ca="1">IFERROR(__xludf.DUMMYFUNCTION("INDEX(FILTER($P425:$AL425, $P425:$AL425 &lt;&gt; """"), 1)"),"Strategic HRM")</f>
        <v>Strategic HRM</v>
      </c>
      <c r="H425" s="106" t="str">
        <f ca="1">IFERROR(__xludf.DUMMYFUNCTION("INDEX(FILTER($P425:$AL425, $P425:$AL425 &lt;&gt; """"), 2)"),"Strategic Career Management (B)")</f>
        <v>Strategic Career Management (B)</v>
      </c>
      <c r="I425" s="106" t="str">
        <f ca="1">IFERROR(__xludf.DUMMYFUNCTION("INDEX(FILTER($P425:$AL425, $P425:$AL425 &lt;&gt; """"), 3)"),"Employer Branding")</f>
        <v>Employer Branding</v>
      </c>
      <c r="J425" s="106" t="str">
        <f ca="1">IFERROR(__xludf.DUMMYFUNCTION("IFERROR(INDEX(FILTER($P425:$AL425, $P425:$AL425 &lt;&gt; """"), 4),)"),"")</f>
        <v/>
      </c>
      <c r="K425" s="106" t="str">
        <f ca="1">IFERROR(__xludf.DUMMYFUNCTION("IFERROR(INDEX(FILTER($P425:$AL425, $P425:$AL425 &lt;&gt; """"), 5),)"),"")</f>
        <v/>
      </c>
      <c r="L425" s="107"/>
      <c r="M425" s="107"/>
      <c r="N425" s="107"/>
      <c r="O425" s="107"/>
      <c r="P425" s="132" t="str">
        <f>IF(COUNTIF('Fintech-A'!$A:$A, $C425), P$1, "")</f>
        <v/>
      </c>
      <c r="Q425" s="132" t="str">
        <f>IF(COUNTIF('Fintech-B'!$A:$A, $C425), Q$1, "")</f>
        <v/>
      </c>
      <c r="R425" s="132" t="str">
        <f>IF(COUNTIF('BEDM-A'!$A:$A, $C425), R$1, "")</f>
        <v/>
      </c>
      <c r="S425" s="132" t="str">
        <f>IF(COUNTIF('BEDM-B'!$A:$A, $C425), S$1, "")</f>
        <v/>
      </c>
      <c r="T425" s="132" t="str">
        <f>IF(COUNTIF('Art-A'!$A:$A, $C425), T$1, "")</f>
        <v/>
      </c>
      <c r="U425" s="132" t="str">
        <f>IF(COUNTIF('Art-B'!$A:$A, $C425), U$1, "")</f>
        <v/>
      </c>
      <c r="V425" s="132" t="str">
        <f>IF(COUNTIF('WH-A'!$A:$A, $C425), V$1, "")</f>
        <v/>
      </c>
      <c r="W425" s="132" t="str">
        <f>IF(COUNTIF('WH-B'!$A:$A, $C425), W$1, "")</f>
        <v/>
      </c>
      <c r="X425" s="132" t="str">
        <f>IF(COUNTIF(LETV!$A:$A, $C425), X$1, "")</f>
        <v/>
      </c>
      <c r="Y425" s="132" t="str">
        <f>IF(COUNTIF('Film&amp;Firm-A'!$A:$A, $C425), Y$1, "")</f>
        <v/>
      </c>
      <c r="Z425" s="132" t="str">
        <f>IF(COUNTIF('Film&amp;Firm-B'!$A:$A, $C425), Z$1, "")</f>
        <v/>
      </c>
      <c r="AA425" s="132" t="str">
        <f>IF(COUNTIF(SHRM!$A:$A, $C425), AA$1, "")</f>
        <v>Strategic HRM</v>
      </c>
      <c r="AB425" s="132" t="str">
        <f>IF(COUNTIF('SCM-A'!$A:$A, $C425), AB$1, "")</f>
        <v/>
      </c>
      <c r="AC425" s="132" t="str">
        <f>IF(COUNTIF('SCM-B'!$A:$A, $C425), AC$1, "")</f>
        <v>Strategic Career Management (B)</v>
      </c>
      <c r="AD425" s="132" t="str">
        <f>IF(COUNTIF(AIS!$A:$A, $C425), AD$1, "")</f>
        <v/>
      </c>
      <c r="AE425" s="132" t="str">
        <f>IF(COUNTIF(EB!$A:$A, $C425), AE$1, "")</f>
        <v>Employer Branding</v>
      </c>
      <c r="AF425" s="132" t="str">
        <f>IF(COUNTIF('AIAM-A'!$A:$A, $C425), AF$1, "")</f>
        <v/>
      </c>
      <c r="AG425" s="132" t="str">
        <f>IF(COUNTIF('AIAM-B'!$A:$A, $C425), AG$1, "")</f>
        <v/>
      </c>
      <c r="AH425" s="132" t="str">
        <f>IF(COUNTIF('SA-A'!$A:$A, $C425), AH$1, "")</f>
        <v/>
      </c>
      <c r="AI425" s="132" t="str">
        <f>IF(COUNTIF('SA-B'!$A:$A, $C425), AI$1, "")</f>
        <v/>
      </c>
      <c r="AJ425" s="132" t="str">
        <f>IF(COUNTIF(CSM!$A:$A, $C425), AJ$1, "")</f>
        <v/>
      </c>
      <c r="AK425" s="132" t="str">
        <f>IF(COUNTIF(EM!$A:$A, $C425), AK$1, "")</f>
        <v/>
      </c>
      <c r="AL425" s="132" t="str">
        <f>IF(COUNTIF(I4TS!$A:$A, $C425), AL$1, "")</f>
        <v/>
      </c>
    </row>
    <row r="426" spans="1:38" ht="14">
      <c r="A426" s="131">
        <v>425</v>
      </c>
      <c r="B426" s="131" t="s">
        <v>1397</v>
      </c>
      <c r="C426" s="142" t="s">
        <v>1531</v>
      </c>
      <c r="D426" s="142" t="s">
        <v>1532</v>
      </c>
      <c r="E426" s="140" t="s">
        <v>1533</v>
      </c>
      <c r="F426" s="131">
        <f t="shared" ca="1" si="1"/>
        <v>5</v>
      </c>
      <c r="G426" s="106" t="str">
        <f ca="1">IFERROR(__xludf.DUMMYFUNCTION("INDEX(FILTER($P426:$AL426, $P426:$AL426 &lt;&gt; """"), 1)"),"The Art, Craft, and Science of Management: Learning through Classics and Best Collections (B)")</f>
        <v>The Art, Craft, and Science of Management: Learning through Classics and Best Collections (B)</v>
      </c>
      <c r="H426" s="106" t="str">
        <f ca="1">IFERROR(__xludf.DUMMYFUNCTION("INDEX(FILTER($P426:$AL426, $P426:$AL426 &lt;&gt; """"), 2)"),"Strategic HRM")</f>
        <v>Strategic HRM</v>
      </c>
      <c r="I426" s="106" t="str">
        <f ca="1">IFERROR(__xludf.DUMMYFUNCTION("INDEX(FILTER($P426:$AL426, $P426:$AL426 &lt;&gt; """"), 3)"),"Employer Branding")</f>
        <v>Employer Branding</v>
      </c>
      <c r="J426" s="106" t="str">
        <f ca="1">IFERROR(__xludf.DUMMYFUNCTION("IFERROR(INDEX(FILTER($P426:$AL426, $P426:$AL426 &lt;&gt; """"), 4),)"),"")</f>
        <v/>
      </c>
      <c r="K426" s="106" t="str">
        <f ca="1">IFERROR(__xludf.DUMMYFUNCTION("IFERROR(INDEX(FILTER($P426:$AL426, $P426:$AL426 &lt;&gt; """"), 5),)"),"")</f>
        <v/>
      </c>
      <c r="L426" s="107"/>
      <c r="M426" s="107"/>
      <c r="N426" s="107"/>
      <c r="O426" s="107"/>
      <c r="P426" s="132" t="str">
        <f>IF(COUNTIF('Fintech-A'!$A:$A, $C426), P$1, "")</f>
        <v/>
      </c>
      <c r="Q426" s="132" t="str">
        <f>IF(COUNTIF('Fintech-B'!$A:$A, $C426), Q$1, "")</f>
        <v/>
      </c>
      <c r="R426" s="132" t="str">
        <f>IF(COUNTIF('BEDM-A'!$A:$A, $C426), R$1, "")</f>
        <v/>
      </c>
      <c r="S426" s="132" t="str">
        <f>IF(COUNTIF('BEDM-B'!$A:$A, $C426), S$1, "")</f>
        <v/>
      </c>
      <c r="T426" s="132" t="str">
        <f>IF(COUNTIF('Art-A'!$A:$A, $C426), T$1, "")</f>
        <v/>
      </c>
      <c r="U426" s="132" t="str">
        <f>IF(COUNTIF('Art-B'!$A:$A, $C426), U$1, "")</f>
        <v>The Art, Craft, and Science of Management: Learning through Classics and Best Collections (B)</v>
      </c>
      <c r="V426" s="132" t="str">
        <f>IF(COUNTIF('WH-A'!$A:$A, $C426), V$1, "")</f>
        <v/>
      </c>
      <c r="W426" s="132" t="str">
        <f>IF(COUNTIF('WH-B'!$A:$A, $C426), W$1, "")</f>
        <v/>
      </c>
      <c r="X426" s="132" t="str">
        <f>IF(COUNTIF(LETV!$A:$A, $C426), X$1, "")</f>
        <v/>
      </c>
      <c r="Y426" s="132" t="str">
        <f>IF(COUNTIF('Film&amp;Firm-A'!$A:$A, $C426), Y$1, "")</f>
        <v/>
      </c>
      <c r="Z426" s="132" t="str">
        <f>IF(COUNTIF('Film&amp;Firm-B'!$A:$A, $C426), Z$1, "")</f>
        <v/>
      </c>
      <c r="AA426" s="132" t="str">
        <f>IF(COUNTIF(SHRM!$A:$A, $C426), AA$1, "")</f>
        <v>Strategic HRM</v>
      </c>
      <c r="AB426" s="132" t="str">
        <f>IF(COUNTIF('SCM-A'!$A:$A, $C426), AB$1, "")</f>
        <v/>
      </c>
      <c r="AC426" s="132" t="str">
        <f>IF(COUNTIF('SCM-B'!$A:$A, $C426), AC$1, "")</f>
        <v/>
      </c>
      <c r="AD426" s="132" t="str">
        <f>IF(COUNTIF(AIS!$A:$A, $C426), AD$1, "")</f>
        <v/>
      </c>
      <c r="AE426" s="132" t="str">
        <f>IF(COUNTIF(EB!$A:$A, $C426), AE$1, "")</f>
        <v>Employer Branding</v>
      </c>
      <c r="AF426" s="132" t="str">
        <f>IF(COUNTIF('AIAM-A'!$A:$A, $C426), AF$1, "")</f>
        <v/>
      </c>
      <c r="AG426" s="132" t="str">
        <f>IF(COUNTIF('AIAM-B'!$A:$A, $C426), AG$1, "")</f>
        <v/>
      </c>
      <c r="AH426" s="132" t="str">
        <f>IF(COUNTIF('SA-A'!$A:$A, $C426), AH$1, "")</f>
        <v/>
      </c>
      <c r="AI426" s="132" t="str">
        <f>IF(COUNTIF('SA-B'!$A:$A, $C426), AI$1, "")</f>
        <v/>
      </c>
      <c r="AJ426" s="132" t="str">
        <f>IF(COUNTIF(CSM!$A:$A, $C426), AJ$1, "")</f>
        <v/>
      </c>
      <c r="AK426" s="132" t="str">
        <f>IF(COUNTIF(EM!$A:$A, $C426), AK$1, "")</f>
        <v/>
      </c>
      <c r="AL426" s="132" t="str">
        <f>IF(COUNTIF(I4TS!$A:$A, $C426), AL$1, "")</f>
        <v/>
      </c>
    </row>
    <row r="427" spans="1:38" ht="14">
      <c r="A427" s="131">
        <v>426</v>
      </c>
      <c r="B427" s="131" t="s">
        <v>1397</v>
      </c>
      <c r="C427" s="142" t="s">
        <v>1534</v>
      </c>
      <c r="D427" s="142" t="s">
        <v>1535</v>
      </c>
      <c r="E427" s="140" t="s">
        <v>1536</v>
      </c>
      <c r="F427" s="131">
        <f t="shared" ca="1" si="1"/>
        <v>5</v>
      </c>
      <c r="G427" s="106" t="str">
        <f ca="1">IFERROR(__xludf.DUMMYFUNCTION("INDEX(FILTER($P427:$AL427, $P427:$AL427 &lt;&gt; """"), 1)"),"Workplace Happiness: Science &amp; Practice (B)")</f>
        <v>Workplace Happiness: Science &amp; Practice (B)</v>
      </c>
      <c r="H427" s="106" t="str">
        <f ca="1">IFERROR(__xludf.DUMMYFUNCTION("INDEX(FILTER($P427:$AL427, $P427:$AL427 &lt;&gt; """"), 2)"),"Strategic HRM")</f>
        <v>Strategic HRM</v>
      </c>
      <c r="I427" s="106" t="str">
        <f ca="1">IFERROR(__xludf.DUMMYFUNCTION("INDEX(FILTER($P427:$AL427, $P427:$AL427 &lt;&gt; """"), 3)"),"Employer Branding")</f>
        <v>Employer Branding</v>
      </c>
      <c r="J427" s="106" t="str">
        <f ca="1">IFERROR(__xludf.DUMMYFUNCTION("IFERROR(INDEX(FILTER($P427:$AL427, $P427:$AL427 &lt;&gt; """"), 4),)"),"")</f>
        <v/>
      </c>
      <c r="K427" s="106" t="str">
        <f ca="1">IFERROR(__xludf.DUMMYFUNCTION("IFERROR(INDEX(FILTER($P427:$AL427, $P427:$AL427 &lt;&gt; """"), 5),)"),"")</f>
        <v/>
      </c>
      <c r="L427" s="107"/>
      <c r="M427" s="107"/>
      <c r="N427" s="107"/>
      <c r="O427" s="107"/>
      <c r="P427" s="132" t="str">
        <f>IF(COUNTIF('Fintech-A'!$A:$A, $C427), P$1, "")</f>
        <v/>
      </c>
      <c r="Q427" s="132" t="str">
        <f>IF(COUNTIF('Fintech-B'!$A:$A, $C427), Q$1, "")</f>
        <v/>
      </c>
      <c r="R427" s="132" t="str">
        <f>IF(COUNTIF('BEDM-A'!$A:$A, $C427), R$1, "")</f>
        <v/>
      </c>
      <c r="S427" s="132" t="str">
        <f>IF(COUNTIF('BEDM-B'!$A:$A, $C427), S$1, "")</f>
        <v/>
      </c>
      <c r="T427" s="132" t="str">
        <f>IF(COUNTIF('Art-A'!$A:$A, $C427), T$1, "")</f>
        <v/>
      </c>
      <c r="U427" s="132" t="str">
        <f>IF(COUNTIF('Art-B'!$A:$A, $C427), U$1, "")</f>
        <v/>
      </c>
      <c r="V427" s="132" t="str">
        <f>IF(COUNTIF('WH-A'!$A:$A, $C427), V$1, "")</f>
        <v/>
      </c>
      <c r="W427" s="132" t="str">
        <f>IF(COUNTIF('WH-B'!$A:$A, $C427), W$1, "")</f>
        <v>Workplace Happiness: Science &amp; Practice (B)</v>
      </c>
      <c r="X427" s="132" t="str">
        <f>IF(COUNTIF(LETV!$A:$A, $C427), X$1, "")</f>
        <v/>
      </c>
      <c r="Y427" s="132" t="str">
        <f>IF(COUNTIF('Film&amp;Firm-A'!$A:$A, $C427), Y$1, "")</f>
        <v/>
      </c>
      <c r="Z427" s="132" t="str">
        <f>IF(COUNTIF('Film&amp;Firm-B'!$A:$A, $C427), Z$1, "")</f>
        <v/>
      </c>
      <c r="AA427" s="132" t="str">
        <f>IF(COUNTIF(SHRM!$A:$A, $C427), AA$1, "")</f>
        <v>Strategic HRM</v>
      </c>
      <c r="AB427" s="132" t="str">
        <f>IF(COUNTIF('SCM-A'!$A:$A, $C427), AB$1, "")</f>
        <v/>
      </c>
      <c r="AC427" s="132" t="str">
        <f>IF(COUNTIF('SCM-B'!$A:$A, $C427), AC$1, "")</f>
        <v/>
      </c>
      <c r="AD427" s="132" t="str">
        <f>IF(COUNTIF(AIS!$A:$A, $C427), AD$1, "")</f>
        <v/>
      </c>
      <c r="AE427" s="132" t="str">
        <f>IF(COUNTIF(EB!$A:$A, $C427), AE$1, "")</f>
        <v>Employer Branding</v>
      </c>
      <c r="AF427" s="132" t="str">
        <f>IF(COUNTIF('AIAM-A'!$A:$A, $C427), AF$1, "")</f>
        <v/>
      </c>
      <c r="AG427" s="132" t="str">
        <f>IF(COUNTIF('AIAM-B'!$A:$A, $C427), AG$1, "")</f>
        <v/>
      </c>
      <c r="AH427" s="132" t="str">
        <f>IF(COUNTIF('SA-A'!$A:$A, $C427), AH$1, "")</f>
        <v/>
      </c>
      <c r="AI427" s="132" t="str">
        <f>IF(COUNTIF('SA-B'!$A:$A, $C427), AI$1, "")</f>
        <v/>
      </c>
      <c r="AJ427" s="132" t="str">
        <f>IF(COUNTIF(CSM!$A:$A, $C427), AJ$1, "")</f>
        <v/>
      </c>
      <c r="AK427" s="132" t="str">
        <f>IF(COUNTIF(EM!$A:$A, $C427), AK$1, "")</f>
        <v/>
      </c>
      <c r="AL427" s="132" t="str">
        <f>IF(COUNTIF(I4TS!$A:$A, $C427), AL$1, "")</f>
        <v/>
      </c>
    </row>
    <row r="428" spans="1:38" ht="14">
      <c r="A428" s="131">
        <v>427</v>
      </c>
      <c r="B428" s="131" t="s">
        <v>1397</v>
      </c>
      <c r="C428" s="142" t="s">
        <v>1537</v>
      </c>
      <c r="D428" s="142" t="s">
        <v>1538</v>
      </c>
      <c r="E428" s="140" t="s">
        <v>1539</v>
      </c>
      <c r="F428" s="131">
        <f t="shared" ca="1" si="1"/>
        <v>5</v>
      </c>
      <c r="G428" s="106" t="str">
        <f ca="1">IFERROR(__xludf.DUMMYFUNCTION("INDEX(FILTER($P428:$AL428, $P428:$AL428 &lt;&gt; """"), 1)"),"The Art, Craft, and Science of Management: Learning through Classics and Best Collections (B)")</f>
        <v>The Art, Craft, and Science of Management: Learning through Classics and Best Collections (B)</v>
      </c>
      <c r="H428" s="106" t="str">
        <f ca="1">IFERROR(__xludf.DUMMYFUNCTION("INDEX(FILTER($P428:$AL428, $P428:$AL428 &lt;&gt; """"), 2)"),"Strategic HRM")</f>
        <v>Strategic HRM</v>
      </c>
      <c r="I428" s="106" t="str">
        <f ca="1">IFERROR(__xludf.DUMMYFUNCTION("INDEX(FILTER($P428:$AL428, $P428:$AL428 &lt;&gt; """"), 3)"),"Employer Branding")</f>
        <v>Employer Branding</v>
      </c>
      <c r="J428" s="106" t="str">
        <f ca="1">IFERROR(__xludf.DUMMYFUNCTION("IFERROR(INDEX(FILTER($P428:$AL428, $P428:$AL428 &lt;&gt; """"), 4),)"),"")</f>
        <v/>
      </c>
      <c r="K428" s="106" t="str">
        <f ca="1">IFERROR(__xludf.DUMMYFUNCTION("IFERROR(INDEX(FILTER($P428:$AL428, $P428:$AL428 &lt;&gt; """"), 5),)"),"")</f>
        <v/>
      </c>
      <c r="L428" s="107"/>
      <c r="M428" s="107"/>
      <c r="N428" s="107"/>
      <c r="O428" s="107"/>
      <c r="P428" s="132" t="str">
        <f>IF(COUNTIF('Fintech-A'!$A:$A, $C428), P$1, "")</f>
        <v/>
      </c>
      <c r="Q428" s="132" t="str">
        <f>IF(COUNTIF('Fintech-B'!$A:$A, $C428), Q$1, "")</f>
        <v/>
      </c>
      <c r="R428" s="132" t="str">
        <f>IF(COUNTIF('BEDM-A'!$A:$A, $C428), R$1, "")</f>
        <v/>
      </c>
      <c r="S428" s="132" t="str">
        <f>IF(COUNTIF('BEDM-B'!$A:$A, $C428), S$1, "")</f>
        <v/>
      </c>
      <c r="T428" s="132" t="str">
        <f>IF(COUNTIF('Art-A'!$A:$A, $C428), T$1, "")</f>
        <v/>
      </c>
      <c r="U428" s="132" t="str">
        <f>IF(COUNTIF('Art-B'!$A:$A, $C428), U$1, "")</f>
        <v>The Art, Craft, and Science of Management: Learning through Classics and Best Collections (B)</v>
      </c>
      <c r="V428" s="132" t="str">
        <f>IF(COUNTIF('WH-A'!$A:$A, $C428), V$1, "")</f>
        <v/>
      </c>
      <c r="W428" s="132" t="str">
        <f>IF(COUNTIF('WH-B'!$A:$A, $C428), W$1, "")</f>
        <v/>
      </c>
      <c r="X428" s="132" t="str">
        <f>IF(COUNTIF(LETV!$A:$A, $C428), X$1, "")</f>
        <v/>
      </c>
      <c r="Y428" s="132" t="str">
        <f>IF(COUNTIF('Film&amp;Firm-A'!$A:$A, $C428), Y$1, "")</f>
        <v/>
      </c>
      <c r="Z428" s="132" t="str">
        <f>IF(COUNTIF('Film&amp;Firm-B'!$A:$A, $C428), Z$1, "")</f>
        <v/>
      </c>
      <c r="AA428" s="132" t="str">
        <f>IF(COUNTIF(SHRM!$A:$A, $C428), AA$1, "")</f>
        <v>Strategic HRM</v>
      </c>
      <c r="AB428" s="132" t="str">
        <f>IF(COUNTIF('SCM-A'!$A:$A, $C428), AB$1, "")</f>
        <v/>
      </c>
      <c r="AC428" s="132" t="str">
        <f>IF(COUNTIF('SCM-B'!$A:$A, $C428), AC$1, "")</f>
        <v/>
      </c>
      <c r="AD428" s="132" t="str">
        <f>IF(COUNTIF(AIS!$A:$A, $C428), AD$1, "")</f>
        <v/>
      </c>
      <c r="AE428" s="132" t="str">
        <f>IF(COUNTIF(EB!$A:$A, $C428), AE$1, "")</f>
        <v>Employer Branding</v>
      </c>
      <c r="AF428" s="132" t="str">
        <f>IF(COUNTIF('AIAM-A'!$A:$A, $C428), AF$1, "")</f>
        <v/>
      </c>
      <c r="AG428" s="132" t="str">
        <f>IF(COUNTIF('AIAM-B'!$A:$A, $C428), AG$1, "")</f>
        <v/>
      </c>
      <c r="AH428" s="132" t="str">
        <f>IF(COUNTIF('SA-A'!$A:$A, $C428), AH$1, "")</f>
        <v/>
      </c>
      <c r="AI428" s="132" t="str">
        <f>IF(COUNTIF('SA-B'!$A:$A, $C428), AI$1, "")</f>
        <v/>
      </c>
      <c r="AJ428" s="132" t="str">
        <f>IF(COUNTIF(CSM!$A:$A, $C428), AJ$1, "")</f>
        <v/>
      </c>
      <c r="AK428" s="132" t="str">
        <f>IF(COUNTIF(EM!$A:$A, $C428), AK$1, "")</f>
        <v/>
      </c>
      <c r="AL428" s="132" t="str">
        <f>IF(COUNTIF(I4TS!$A:$A, $C428), AL$1, "")</f>
        <v/>
      </c>
    </row>
    <row r="429" spans="1:38" ht="14">
      <c r="A429" s="131">
        <v>428</v>
      </c>
      <c r="B429" s="131" t="s">
        <v>1397</v>
      </c>
      <c r="C429" s="142" t="s">
        <v>204</v>
      </c>
      <c r="D429" s="142" t="s">
        <v>1540</v>
      </c>
      <c r="E429" s="140" t="s">
        <v>1541</v>
      </c>
      <c r="F429" s="131">
        <f t="shared" ca="1" si="1"/>
        <v>5</v>
      </c>
      <c r="G429" s="106" t="str">
        <f ca="1">IFERROR(__xludf.DUMMYFUNCTION("INDEX(FILTER($P429:$AL429, $P429:$AL429 &lt;&gt; """"), 1)"),"Leadership Excellence Through Values : Wisdom from the Mahabharata")</f>
        <v>Leadership Excellence Through Values : Wisdom from the Mahabharata</v>
      </c>
      <c r="H429" s="106" t="str">
        <f ca="1">IFERROR(__xludf.DUMMYFUNCTION("INDEX(FILTER($P429:$AL429, $P429:$AL429 &lt;&gt; """"), 2)"),"Strategic Career Management (A)")</f>
        <v>Strategic Career Management (A)</v>
      </c>
      <c r="I429" s="106" t="str">
        <f ca="1">IFERROR(__xludf.DUMMYFUNCTION("INDEX(FILTER($P429:$AL429, $P429:$AL429 &lt;&gt; """"), 3)"),"Employer Branding")</f>
        <v>Employer Branding</v>
      </c>
      <c r="J429" s="106" t="str">
        <f ca="1">IFERROR(__xludf.DUMMYFUNCTION("IFERROR(INDEX(FILTER($P429:$AL429, $P429:$AL429 &lt;&gt; """"), 4),)"),"")</f>
        <v/>
      </c>
      <c r="K429" s="106" t="str">
        <f ca="1">IFERROR(__xludf.DUMMYFUNCTION("IFERROR(INDEX(FILTER($P429:$AL429, $P429:$AL429 &lt;&gt; """"), 5),)"),"")</f>
        <v/>
      </c>
      <c r="L429" s="107"/>
      <c r="M429" s="107"/>
      <c r="N429" s="107"/>
      <c r="O429" s="107"/>
      <c r="P429" s="132" t="str">
        <f>IF(COUNTIF('Fintech-A'!$A:$A, $C429), P$1, "")</f>
        <v/>
      </c>
      <c r="Q429" s="132" t="str">
        <f>IF(COUNTIF('Fintech-B'!$A:$A, $C429), Q$1, "")</f>
        <v/>
      </c>
      <c r="R429" s="132" t="str">
        <f>IF(COUNTIF('BEDM-A'!$A:$A, $C429), R$1, "")</f>
        <v/>
      </c>
      <c r="S429" s="132" t="str">
        <f>IF(COUNTIF('BEDM-B'!$A:$A, $C429), S$1, "")</f>
        <v/>
      </c>
      <c r="T429" s="132" t="str">
        <f>IF(COUNTIF('Art-A'!$A:$A, $C429), T$1, "")</f>
        <v/>
      </c>
      <c r="U429" s="132" t="str">
        <f>IF(COUNTIF('Art-B'!$A:$A, $C429), U$1, "")</f>
        <v/>
      </c>
      <c r="V429" s="132" t="str">
        <f>IF(COUNTIF('WH-A'!$A:$A, $C429), V$1, "")</f>
        <v/>
      </c>
      <c r="W429" s="132" t="str">
        <f>IF(COUNTIF('WH-B'!$A:$A, $C429), W$1, "")</f>
        <v/>
      </c>
      <c r="X429" s="132" t="str">
        <f>IF(COUNTIF(LETV!$A:$A, $C429), X$1, "")</f>
        <v>Leadership Excellence Through Values : Wisdom from the Mahabharata</v>
      </c>
      <c r="Y429" s="132" t="str">
        <f>IF(COUNTIF('Film&amp;Firm-A'!$A:$A, $C429), Y$1, "")</f>
        <v/>
      </c>
      <c r="Z429" s="132" t="str">
        <f>IF(COUNTIF('Film&amp;Firm-B'!$A:$A, $C429), Z$1, "")</f>
        <v/>
      </c>
      <c r="AA429" s="132" t="str">
        <f>IF(COUNTIF(SHRM!$A:$A, $C429), AA$1, "")</f>
        <v/>
      </c>
      <c r="AB429" s="132" t="str">
        <f>IF(COUNTIF('SCM-A'!$A:$A, $C429), AB$1, "")</f>
        <v>Strategic Career Management (A)</v>
      </c>
      <c r="AC429" s="132" t="str">
        <f>IF(COUNTIF('SCM-B'!$A:$A, $C429), AC$1, "")</f>
        <v/>
      </c>
      <c r="AD429" s="132" t="str">
        <f>IF(COUNTIF(AIS!$A:$A, $C429), AD$1, "")</f>
        <v/>
      </c>
      <c r="AE429" s="132" t="str">
        <f>IF(COUNTIF(EB!$A:$A, $C429), AE$1, "")</f>
        <v>Employer Branding</v>
      </c>
      <c r="AF429" s="132" t="str">
        <f>IF(COUNTIF('AIAM-A'!$A:$A, $C429), AF$1, "")</f>
        <v/>
      </c>
      <c r="AG429" s="132" t="str">
        <f>IF(COUNTIF('AIAM-B'!$A:$A, $C429), AG$1, "")</f>
        <v/>
      </c>
      <c r="AH429" s="132" t="str">
        <f>IF(COUNTIF('SA-A'!$A:$A, $C429), AH$1, "")</f>
        <v/>
      </c>
      <c r="AI429" s="132" t="str">
        <f>IF(COUNTIF('SA-B'!$A:$A, $C429), AI$1, "")</f>
        <v/>
      </c>
      <c r="AJ429" s="132" t="str">
        <f>IF(COUNTIF(CSM!$A:$A, $C429), AJ$1, "")</f>
        <v/>
      </c>
      <c r="AK429" s="132" t="str">
        <f>IF(COUNTIF(EM!$A:$A, $C429), AK$1, "")</f>
        <v/>
      </c>
      <c r="AL429" s="132" t="str">
        <f>IF(COUNTIF(I4TS!$A:$A, $C429), AL$1, "")</f>
        <v/>
      </c>
    </row>
    <row r="430" spans="1:38" ht="14">
      <c r="A430" s="131">
        <v>429</v>
      </c>
      <c r="B430" s="131" t="s">
        <v>1397</v>
      </c>
      <c r="C430" s="142" t="s">
        <v>205</v>
      </c>
      <c r="D430" s="142" t="s">
        <v>1542</v>
      </c>
      <c r="E430" s="140" t="s">
        <v>1543</v>
      </c>
      <c r="F430" s="131">
        <f t="shared" ca="1" si="1"/>
        <v>5</v>
      </c>
      <c r="G430" s="106" t="str">
        <f ca="1">IFERROR(__xludf.DUMMYFUNCTION("INDEX(FILTER($P430:$AL430, $P430:$AL430 &lt;&gt; """"), 1)"),"Behavioural Economics and Decision-Making (A)")</f>
        <v>Behavioural Economics and Decision-Making (A)</v>
      </c>
      <c r="H430" s="106" t="str">
        <f ca="1">IFERROR(__xludf.DUMMYFUNCTION("INDEX(FILTER($P430:$AL430, $P430:$AL430 &lt;&gt; """"), 2)"),"The Art, Craft, and Science of Management: Learning through Classics and Best Collections (B)")</f>
        <v>The Art, Craft, and Science of Management: Learning through Classics and Best Collections (B)</v>
      </c>
      <c r="I430" s="106" t="str">
        <f ca="1">IFERROR(__xludf.DUMMYFUNCTION("INDEX(FILTER($P430:$AL430, $P430:$AL430 &lt;&gt; """"), 3)"),"Workplace Happiness: Science &amp; Practice (B)")</f>
        <v>Workplace Happiness: Science &amp; Practice (B)</v>
      </c>
      <c r="J430" s="106" t="str">
        <f ca="1">IFERROR(__xludf.DUMMYFUNCTION("IFERROR(INDEX(FILTER($P430:$AL430, $P430:$AL430 &lt;&gt; """"), 4),)"),"Strategic HRM")</f>
        <v>Strategic HRM</v>
      </c>
      <c r="K430" s="106" t="str">
        <f ca="1">IFERROR(__xludf.DUMMYFUNCTION("IFERROR(INDEX(FILTER($P430:$AL430, $P430:$AL430 &lt;&gt; """"), 5),)"),"Strategic Career Management (A)")</f>
        <v>Strategic Career Management (A)</v>
      </c>
      <c r="L430" s="107"/>
      <c r="O430" s="107"/>
      <c r="P430" s="132" t="str">
        <f>IF(COUNTIF('Fintech-A'!$A:$A, $C430), P$1, "")</f>
        <v/>
      </c>
      <c r="Q430" s="132" t="str">
        <f>IF(COUNTIF('Fintech-B'!$A:$A, $C430), Q$1, "")</f>
        <v/>
      </c>
      <c r="R430" s="132" t="str">
        <f>IF(COUNTIF('BEDM-A'!$A:$A, $C430), R$1, "")</f>
        <v>Behavioural Economics and Decision-Making (A)</v>
      </c>
      <c r="S430" s="132" t="str">
        <f>IF(COUNTIF('BEDM-B'!$A:$A, $C430), S$1, "")</f>
        <v/>
      </c>
      <c r="T430" s="132" t="str">
        <f>IF(COUNTIF('Art-A'!$A:$A, $C430), T$1, "")</f>
        <v/>
      </c>
      <c r="U430" s="132" t="str">
        <f>IF(COUNTIF('Art-B'!$A:$A, $C430), U$1, "")</f>
        <v>The Art, Craft, and Science of Management: Learning through Classics and Best Collections (B)</v>
      </c>
      <c r="V430" s="132" t="str">
        <f>IF(COUNTIF('WH-A'!$A:$A, $C430), V$1, "")</f>
        <v/>
      </c>
      <c r="W430" s="132" t="str">
        <f>IF(COUNTIF('WH-B'!$A:$A, $C430), W$1, "")</f>
        <v>Workplace Happiness: Science &amp; Practice (B)</v>
      </c>
      <c r="X430" s="132" t="str">
        <f>IF(COUNTIF(LETV!$A:$A, $C430), X$1, "")</f>
        <v/>
      </c>
      <c r="Y430" s="132" t="str">
        <f>IF(COUNTIF('Film&amp;Firm-A'!$A:$A, $C430), Y$1, "")</f>
        <v/>
      </c>
      <c r="Z430" s="132" t="str">
        <f>IF(COUNTIF('Film&amp;Firm-B'!$A:$A, $C430), Z$1, "")</f>
        <v/>
      </c>
      <c r="AA430" s="132" t="str">
        <f>IF(COUNTIF(SHRM!$A:$A, $C430), AA$1, "")</f>
        <v>Strategic HRM</v>
      </c>
      <c r="AB430" s="132" t="str">
        <f>IF(COUNTIF('SCM-A'!$A:$A, $C430), AB$1, "")</f>
        <v>Strategic Career Management (A)</v>
      </c>
      <c r="AC430" s="132" t="str">
        <f>IF(COUNTIF('SCM-B'!$A:$A, $C430), AC$1, "")</f>
        <v/>
      </c>
      <c r="AD430" s="132" t="str">
        <f>IF(COUNTIF(AIS!$A:$A, $C430), AD$1, "")</f>
        <v/>
      </c>
      <c r="AE430" s="132" t="str">
        <f>IF(COUNTIF(EB!$A:$A, $C430), AE$1, "")</f>
        <v/>
      </c>
      <c r="AF430" s="132" t="str">
        <f>IF(COUNTIF('AIAM-A'!$A:$A, $C430), AF$1, "")</f>
        <v/>
      </c>
      <c r="AG430" s="132" t="str">
        <f>IF(COUNTIF('AIAM-B'!$A:$A, $C430), AG$1, "")</f>
        <v/>
      </c>
      <c r="AH430" s="132" t="str">
        <f>IF(COUNTIF('SA-A'!$A:$A, $C430), AH$1, "")</f>
        <v/>
      </c>
      <c r="AI430" s="132" t="str">
        <f>IF(COUNTIF('SA-B'!$A:$A, $C430), AI$1, "")</f>
        <v/>
      </c>
      <c r="AJ430" s="132" t="str">
        <f>IF(COUNTIF(CSM!$A:$A, $C430), AJ$1, "")</f>
        <v/>
      </c>
      <c r="AK430" s="132" t="str">
        <f>IF(COUNTIF(EM!$A:$A, $C430), AK$1, "")</f>
        <v/>
      </c>
      <c r="AL430" s="132" t="str">
        <f>IF(COUNTIF(I4TS!$A:$A, $C430), AL$1, "")</f>
        <v/>
      </c>
    </row>
    <row r="431" spans="1:38" ht="14">
      <c r="A431" s="131">
        <v>430</v>
      </c>
      <c r="B431" s="131" t="s">
        <v>1397</v>
      </c>
      <c r="C431" s="142" t="s">
        <v>206</v>
      </c>
      <c r="D431" s="142" t="s">
        <v>1544</v>
      </c>
      <c r="E431" s="140" t="s">
        <v>1545</v>
      </c>
      <c r="F431" s="131">
        <f t="shared" ca="1" si="1"/>
        <v>5</v>
      </c>
      <c r="G431" s="106" t="str">
        <f ca="1">IFERROR(__xludf.DUMMYFUNCTION("INDEX(FILTER($P431:$AL431, $P431:$AL431 &lt;&gt; """"), 1)"),"The Art, Craft, and Science of Management: Learning through Classics and Best Collections (A)")</f>
        <v>The Art, Craft, and Science of Management: Learning through Classics and Best Collections (A)</v>
      </c>
      <c r="H431" s="106" t="str">
        <f ca="1">IFERROR(__xludf.DUMMYFUNCTION("INDEX(FILTER($P431:$AL431, $P431:$AL431 &lt;&gt; """"), 2)"),"Workplace Happiness: Science &amp; Practice (B)")</f>
        <v>Workplace Happiness: Science &amp; Practice (B)</v>
      </c>
      <c r="I431" s="106" t="str">
        <f ca="1">IFERROR(__xludf.DUMMYFUNCTION("INDEX(FILTER($P431:$AL431, $P431:$AL431 &lt;&gt; """"), 3)"),"Film &amp; the Firm: Visual Culture in Business Contexts (A)")</f>
        <v>Film &amp; the Firm: Visual Culture in Business Contexts (A)</v>
      </c>
      <c r="J431" s="106" t="str">
        <f ca="1">IFERROR(__xludf.DUMMYFUNCTION("IFERROR(INDEX(FILTER($P431:$AL431, $P431:$AL431 &lt;&gt; """"), 4),)"),"")</f>
        <v/>
      </c>
      <c r="K431" s="106" t="str">
        <f ca="1">IFERROR(__xludf.DUMMYFUNCTION("IFERROR(INDEX(FILTER($P431:$AL431, $P431:$AL431 &lt;&gt; """"), 5),)"),"")</f>
        <v/>
      </c>
      <c r="L431" s="107"/>
      <c r="O431" s="107"/>
      <c r="P431" s="132" t="str">
        <f>IF(COUNTIF('Fintech-A'!$A:$A, $C431), P$1, "")</f>
        <v/>
      </c>
      <c r="Q431" s="132" t="str">
        <f>IF(COUNTIF('Fintech-B'!$A:$A, $C431), Q$1, "")</f>
        <v/>
      </c>
      <c r="R431" s="132" t="str">
        <f>IF(COUNTIF('BEDM-A'!$A:$A, $C431), R$1, "")</f>
        <v/>
      </c>
      <c r="S431" s="132" t="str">
        <f>IF(COUNTIF('BEDM-B'!$A:$A, $C431), S$1, "")</f>
        <v/>
      </c>
      <c r="T431" s="132" t="str">
        <f>IF(COUNTIF('Art-A'!$A:$A, $C431), T$1, "")</f>
        <v>The Art, Craft, and Science of Management: Learning through Classics and Best Collections (A)</v>
      </c>
      <c r="U431" s="132" t="str">
        <f>IF(COUNTIF('Art-B'!$A:$A, $C431), U$1, "")</f>
        <v/>
      </c>
      <c r="V431" s="132" t="str">
        <f>IF(COUNTIF('WH-A'!$A:$A, $C431), V$1, "")</f>
        <v/>
      </c>
      <c r="W431" s="132" t="str">
        <f>IF(COUNTIF('WH-B'!$A:$A, $C431), W$1, "")</f>
        <v>Workplace Happiness: Science &amp; Practice (B)</v>
      </c>
      <c r="X431" s="132" t="str">
        <f>IF(COUNTIF(LETV!$A:$A, $C431), X$1, "")</f>
        <v/>
      </c>
      <c r="Y431" s="132" t="str">
        <f>IF(COUNTIF('Film&amp;Firm-A'!$A:$A, $C431), Y$1, "")</f>
        <v>Film &amp; the Firm: Visual Culture in Business Contexts (A)</v>
      </c>
      <c r="Z431" s="132" t="str">
        <f>IF(COUNTIF('Film&amp;Firm-B'!$A:$A, $C431), Z$1, "")</f>
        <v/>
      </c>
      <c r="AA431" s="132" t="str">
        <f>IF(COUNTIF(SHRM!$A:$A, $C431), AA$1, "")</f>
        <v/>
      </c>
      <c r="AB431" s="132" t="str">
        <f>IF(COUNTIF('SCM-A'!$A:$A, $C431), AB$1, "")</f>
        <v/>
      </c>
      <c r="AC431" s="132" t="str">
        <f>IF(COUNTIF('SCM-B'!$A:$A, $C431), AC$1, "")</f>
        <v/>
      </c>
      <c r="AD431" s="132" t="str">
        <f>IF(COUNTIF(AIS!$A:$A, $C431), AD$1, "")</f>
        <v/>
      </c>
      <c r="AE431" s="132" t="str">
        <f>IF(COUNTIF(EB!$A:$A, $C431), AE$1, "")</f>
        <v/>
      </c>
      <c r="AF431" s="132" t="str">
        <f>IF(COUNTIF('AIAM-A'!$A:$A, $C431), AF$1, "")</f>
        <v/>
      </c>
      <c r="AG431" s="132" t="str">
        <f>IF(COUNTIF('AIAM-B'!$A:$A, $C431), AG$1, "")</f>
        <v/>
      </c>
      <c r="AH431" s="132" t="str">
        <f>IF(COUNTIF('SA-A'!$A:$A, $C431), AH$1, "")</f>
        <v/>
      </c>
      <c r="AI431" s="132" t="str">
        <f>IF(COUNTIF('SA-B'!$A:$A, $C431), AI$1, "")</f>
        <v/>
      </c>
      <c r="AJ431" s="132" t="str">
        <f>IF(COUNTIF(CSM!$A:$A, $C431), AJ$1, "")</f>
        <v/>
      </c>
      <c r="AK431" s="132" t="str">
        <f>IF(COUNTIF(EM!$A:$A, $C431), AK$1, "")</f>
        <v/>
      </c>
      <c r="AL431" s="132" t="str">
        <f>IF(COUNTIF(I4TS!$A:$A, $C431), AL$1, "")</f>
        <v/>
      </c>
    </row>
    <row r="432" spans="1:38" ht="14">
      <c r="A432" s="131">
        <v>431</v>
      </c>
      <c r="B432" s="131" t="s">
        <v>1397</v>
      </c>
      <c r="C432" s="143" t="s">
        <v>202</v>
      </c>
      <c r="D432" s="143" t="s">
        <v>1546</v>
      </c>
      <c r="E432" s="140" t="s">
        <v>1547</v>
      </c>
      <c r="F432" s="131">
        <f t="shared" ca="1" si="1"/>
        <v>5</v>
      </c>
      <c r="G432" s="106" t="str">
        <f ca="1">IFERROR(__xludf.DUMMYFUNCTION("INDEX(FILTER($P432:$AL432, $P432:$AL432 &lt;&gt; """"), 1)"),"The Art, Craft, and Science of Management: Learning through Classics and Best Collections (A)")</f>
        <v>The Art, Craft, and Science of Management: Learning through Classics and Best Collections (A)</v>
      </c>
      <c r="H432" s="106" t="str">
        <f ca="1">IFERROR(__xludf.DUMMYFUNCTION("INDEX(FILTER($P432:$AL432, $P432:$AL432 &lt;&gt; """"), 2)"),"Workplace Happiness: Science &amp; Practice (A)")</f>
        <v>Workplace Happiness: Science &amp; Practice (A)</v>
      </c>
      <c r="I432" s="106" t="str">
        <f ca="1">IFERROR(__xludf.DUMMYFUNCTION("INDEX(FILTER($P432:$AL432, $P432:$AL432 &lt;&gt; """"), 3)"),"Strategic HRM")</f>
        <v>Strategic HRM</v>
      </c>
      <c r="J432" s="106" t="str">
        <f ca="1">IFERROR(__xludf.DUMMYFUNCTION("IFERROR(INDEX(FILTER($P432:$AL432, $P432:$AL432 &lt;&gt; """"), 4),)"),"")</f>
        <v/>
      </c>
      <c r="K432" s="106" t="str">
        <f ca="1">IFERROR(__xludf.DUMMYFUNCTION("IFERROR(INDEX(FILTER($P432:$AL432, $P432:$AL432 &lt;&gt; """"), 5),)"),"")</f>
        <v/>
      </c>
      <c r="L432" s="107"/>
      <c r="O432" s="107"/>
      <c r="P432" s="132" t="str">
        <f>IF(COUNTIF('Fintech-A'!$A:$A, $C432), P$1, "")</f>
        <v/>
      </c>
      <c r="Q432" s="132" t="str">
        <f>IF(COUNTIF('Fintech-B'!$A:$A, $C432), Q$1, "")</f>
        <v/>
      </c>
      <c r="R432" s="132" t="str">
        <f>IF(COUNTIF('BEDM-A'!$A:$A, $C432), R$1, "")</f>
        <v/>
      </c>
      <c r="S432" s="132" t="str">
        <f>IF(COUNTIF('BEDM-B'!$A:$A, $C432), S$1, "")</f>
        <v/>
      </c>
      <c r="T432" s="132" t="str">
        <f>IF(COUNTIF('Art-A'!$A:$A, $C432), T$1, "")</f>
        <v>The Art, Craft, and Science of Management: Learning through Classics and Best Collections (A)</v>
      </c>
      <c r="U432" s="132" t="str">
        <f>IF(COUNTIF('Art-B'!$A:$A, $C432), U$1, "")</f>
        <v/>
      </c>
      <c r="V432" s="132" t="str">
        <f>IF(COUNTIF('WH-A'!$A:$A, $C432), V$1, "")</f>
        <v>Workplace Happiness: Science &amp; Practice (A)</v>
      </c>
      <c r="W432" s="132" t="str">
        <f>IF(COUNTIF('WH-B'!$A:$A, $C432), W$1, "")</f>
        <v/>
      </c>
      <c r="X432" s="132" t="str">
        <f>IF(COUNTIF(LETV!$A:$A, $C432), X$1, "")</f>
        <v/>
      </c>
      <c r="Y432" s="132" t="str">
        <f>IF(COUNTIF('Film&amp;Firm-A'!$A:$A, $C432), Y$1, "")</f>
        <v/>
      </c>
      <c r="Z432" s="132" t="str">
        <f>IF(COUNTIF('Film&amp;Firm-B'!$A:$A, $C432), Z$1, "")</f>
        <v/>
      </c>
      <c r="AA432" s="132" t="str">
        <f>IF(COUNTIF(SHRM!$A:$A, $C432), AA$1, "")</f>
        <v>Strategic HRM</v>
      </c>
      <c r="AB432" s="132" t="str">
        <f>IF(COUNTIF('SCM-A'!$A:$A, $C432), AB$1, "")</f>
        <v/>
      </c>
      <c r="AC432" s="132" t="str">
        <f>IF(COUNTIF('SCM-B'!$A:$A, $C432), AC$1, "")</f>
        <v/>
      </c>
      <c r="AD432" s="132" t="str">
        <f>IF(COUNTIF(AIS!$A:$A, $C432), AD$1, "")</f>
        <v/>
      </c>
      <c r="AE432" s="132" t="str">
        <f>IF(COUNTIF(EB!$A:$A, $C432), AE$1, "")</f>
        <v/>
      </c>
      <c r="AF432" s="132" t="str">
        <f>IF(COUNTIF('AIAM-A'!$A:$A, $C432), AF$1, "")</f>
        <v/>
      </c>
      <c r="AG432" s="132" t="str">
        <f>IF(COUNTIF('AIAM-B'!$A:$A, $C432), AG$1, "")</f>
        <v/>
      </c>
      <c r="AH432" s="132" t="str">
        <f>IF(COUNTIF('SA-A'!$A:$A, $C432), AH$1, "")</f>
        <v/>
      </c>
      <c r="AI432" s="132" t="str">
        <f>IF(COUNTIF('SA-B'!$A:$A, $C432), AI$1, "")</f>
        <v/>
      </c>
      <c r="AJ432" s="132" t="str">
        <f>IF(COUNTIF(CSM!$A:$A, $C432), AJ$1, "")</f>
        <v/>
      </c>
      <c r="AK432" s="132" t="str">
        <f>IF(COUNTIF(EM!$A:$A, $C432), AK$1, "")</f>
        <v/>
      </c>
      <c r="AL432" s="132" t="str">
        <f>IF(COUNTIF(I4TS!$A:$A, $C432), AL$1, "")</f>
        <v/>
      </c>
    </row>
    <row r="433" spans="1:38" ht="14">
      <c r="A433" s="131">
        <v>432</v>
      </c>
      <c r="B433" s="131" t="s">
        <v>1397</v>
      </c>
      <c r="C433" s="143" t="s">
        <v>1548</v>
      </c>
      <c r="D433" s="143" t="s">
        <v>1549</v>
      </c>
      <c r="E433" s="140" t="s">
        <v>1550</v>
      </c>
      <c r="F433" s="131">
        <f t="shared" ca="1" si="1"/>
        <v>5</v>
      </c>
      <c r="G433" s="106" t="str">
        <f ca="1">IFERROR(__xludf.DUMMYFUNCTION("INDEX(FILTER($P433:$AL433, $P433:$AL433 &lt;&gt; """"), 1)"),"Behavioural Economics and Decision-Making (A)")</f>
        <v>Behavioural Economics and Decision-Making (A)</v>
      </c>
      <c r="H433" s="106" t="str">
        <f ca="1">IFERROR(__xludf.DUMMYFUNCTION("INDEX(FILTER($P433:$AL433, $P433:$AL433 &lt;&gt; """"), 2)"),"The Art, Craft, and Science of Management: Learning through Classics and Best Collections (A)")</f>
        <v>The Art, Craft, and Science of Management: Learning through Classics and Best Collections (A)</v>
      </c>
      <c r="I433" s="106" t="str">
        <f ca="1">IFERROR(__xludf.DUMMYFUNCTION("INDEX(FILTER($P433:$AL433, $P433:$AL433 &lt;&gt; """"), 3)"),"Strategic HRM")</f>
        <v>Strategic HRM</v>
      </c>
      <c r="J433" s="106" t="str">
        <f ca="1">IFERROR(__xludf.DUMMYFUNCTION("IFERROR(INDEX(FILTER($P433:$AL433, $P433:$AL433 &lt;&gt; """"), 4),)"),"")</f>
        <v/>
      </c>
      <c r="K433" s="106" t="str">
        <f ca="1">IFERROR(__xludf.DUMMYFUNCTION("IFERROR(INDEX(FILTER($P433:$AL433, $P433:$AL433 &lt;&gt; """"), 5),)"),"")</f>
        <v/>
      </c>
      <c r="L433" s="107"/>
      <c r="O433" s="107"/>
      <c r="P433" s="132" t="str">
        <f>IF(COUNTIF('Fintech-A'!$A:$A, $C433), P$1, "")</f>
        <v/>
      </c>
      <c r="Q433" s="132" t="str">
        <f>IF(COUNTIF('Fintech-B'!$A:$A, $C433), Q$1, "")</f>
        <v/>
      </c>
      <c r="R433" s="132" t="str">
        <f>IF(COUNTIF('BEDM-A'!$A:$A, $C433), R$1, "")</f>
        <v>Behavioural Economics and Decision-Making (A)</v>
      </c>
      <c r="S433" s="132" t="str">
        <f>IF(COUNTIF('BEDM-B'!$A:$A, $C433), S$1, "")</f>
        <v/>
      </c>
      <c r="T433" s="132" t="str">
        <f>IF(COUNTIF('Art-A'!$A:$A, $C433), T$1, "")</f>
        <v>The Art, Craft, and Science of Management: Learning through Classics and Best Collections (A)</v>
      </c>
      <c r="U433" s="132" t="str">
        <f>IF(COUNTIF('Art-B'!$A:$A, $C433), U$1, "")</f>
        <v/>
      </c>
      <c r="V433" s="132" t="str">
        <f>IF(COUNTIF('WH-A'!$A:$A, $C433), V$1, "")</f>
        <v/>
      </c>
      <c r="W433" s="132" t="str">
        <f>IF(COUNTIF('WH-B'!$A:$A, $C433), W$1, "")</f>
        <v/>
      </c>
      <c r="X433" s="132" t="str">
        <f>IF(COUNTIF(LETV!$A:$A, $C433), X$1, "")</f>
        <v/>
      </c>
      <c r="Y433" s="132" t="str">
        <f>IF(COUNTIF('Film&amp;Firm-A'!$A:$A, $C433), Y$1, "")</f>
        <v/>
      </c>
      <c r="Z433" s="132" t="str">
        <f>IF(COUNTIF('Film&amp;Firm-B'!$A:$A, $C433), Z$1, "")</f>
        <v/>
      </c>
      <c r="AA433" s="132" t="str">
        <f>IF(COUNTIF(SHRM!$A:$A, $C433), AA$1, "")</f>
        <v>Strategic HRM</v>
      </c>
      <c r="AB433" s="132" t="str">
        <f>IF(COUNTIF('SCM-A'!$A:$A, $C433), AB$1, "")</f>
        <v/>
      </c>
      <c r="AC433" s="132" t="str">
        <f>IF(COUNTIF('SCM-B'!$A:$A, $C433), AC$1, "")</f>
        <v/>
      </c>
      <c r="AD433" s="132" t="str">
        <f>IF(COUNTIF(AIS!$A:$A, $C433), AD$1, "")</f>
        <v/>
      </c>
      <c r="AE433" s="132" t="str">
        <f>IF(COUNTIF(EB!$A:$A, $C433), AE$1, "")</f>
        <v/>
      </c>
      <c r="AF433" s="132" t="str">
        <f>IF(COUNTIF('AIAM-A'!$A:$A, $C433), AF$1, "")</f>
        <v/>
      </c>
      <c r="AG433" s="132" t="str">
        <f>IF(COUNTIF('AIAM-B'!$A:$A, $C433), AG$1, "")</f>
        <v/>
      </c>
      <c r="AH433" s="132" t="str">
        <f>IF(COUNTIF('SA-A'!$A:$A, $C433), AH$1, "")</f>
        <v/>
      </c>
      <c r="AI433" s="132" t="str">
        <f>IF(COUNTIF('SA-B'!$A:$A, $C433), AI$1, "")</f>
        <v/>
      </c>
      <c r="AJ433" s="132" t="str">
        <f>IF(COUNTIF(CSM!$A:$A, $C433), AJ$1, "")</f>
        <v/>
      </c>
      <c r="AK433" s="132" t="str">
        <f>IF(COUNTIF(EM!$A:$A, $C433), AK$1, "")</f>
        <v/>
      </c>
      <c r="AL433" s="132" t="str">
        <f>IF(COUNTIF(I4TS!$A:$A, $C433), AL$1, "")</f>
        <v/>
      </c>
    </row>
    <row r="434" spans="1:38" ht="14">
      <c r="A434" s="131">
        <v>433</v>
      </c>
      <c r="B434" s="131" t="s">
        <v>1397</v>
      </c>
      <c r="C434" s="143" t="s">
        <v>1551</v>
      </c>
      <c r="D434" s="143" t="s">
        <v>1552</v>
      </c>
      <c r="E434" s="140" t="s">
        <v>1553</v>
      </c>
      <c r="F434" s="131">
        <f t="shared" ca="1" si="1"/>
        <v>5</v>
      </c>
      <c r="G434" s="106" t="str">
        <f ca="1">IFERROR(__xludf.DUMMYFUNCTION("INDEX(FILTER($P434:$AL434, $P434:$AL434 &lt;&gt; """"), 1)"),"Workplace Happiness: Science &amp; Practice (A)")</f>
        <v>Workplace Happiness: Science &amp; Practice (A)</v>
      </c>
      <c r="H434" s="106" t="str">
        <f ca="1">IFERROR(__xludf.DUMMYFUNCTION("INDEX(FILTER($P434:$AL434, $P434:$AL434 &lt;&gt; """"), 2)"),"Strategic HRM")</f>
        <v>Strategic HRM</v>
      </c>
      <c r="I434" s="106" t="str">
        <f ca="1">IFERROR(__xludf.DUMMYFUNCTION("INDEX(FILTER($P434:$AL434, $P434:$AL434 &lt;&gt; """"), 3)"),"Strategic Career Management (A)")</f>
        <v>Strategic Career Management (A)</v>
      </c>
      <c r="J434" s="106" t="str">
        <f ca="1">IFERROR(__xludf.DUMMYFUNCTION("IFERROR(INDEX(FILTER($P434:$AL434, $P434:$AL434 &lt;&gt; """"), 4),)"),"")</f>
        <v/>
      </c>
      <c r="K434" s="106" t="str">
        <f ca="1">IFERROR(__xludf.DUMMYFUNCTION("IFERROR(INDEX(FILTER($P434:$AL434, $P434:$AL434 &lt;&gt; """"), 5),)"),"")</f>
        <v/>
      </c>
      <c r="L434" s="107"/>
      <c r="O434" s="107"/>
      <c r="P434" s="132" t="str">
        <f>IF(COUNTIF('Fintech-A'!$A:$A, $C434), P$1, "")</f>
        <v/>
      </c>
      <c r="Q434" s="132" t="str">
        <f>IF(COUNTIF('Fintech-B'!$A:$A, $C434), Q$1, "")</f>
        <v/>
      </c>
      <c r="R434" s="132" t="str">
        <f>IF(COUNTIF('BEDM-A'!$A:$A, $C434), R$1, "")</f>
        <v/>
      </c>
      <c r="S434" s="132" t="str">
        <f>IF(COUNTIF('BEDM-B'!$A:$A, $C434), S$1, "")</f>
        <v/>
      </c>
      <c r="T434" s="132" t="str">
        <f>IF(COUNTIF('Art-A'!$A:$A, $C434), T$1, "")</f>
        <v/>
      </c>
      <c r="U434" s="132" t="str">
        <f>IF(COUNTIF('Art-B'!$A:$A, $C434), U$1, "")</f>
        <v/>
      </c>
      <c r="V434" s="132" t="str">
        <f>IF(COUNTIF('WH-A'!$A:$A, $C434), V$1, "")</f>
        <v>Workplace Happiness: Science &amp; Practice (A)</v>
      </c>
      <c r="W434" s="132" t="str">
        <f>IF(COUNTIF('WH-B'!$A:$A, $C434), W$1, "")</f>
        <v/>
      </c>
      <c r="X434" s="132" t="str">
        <f>IF(COUNTIF(LETV!$A:$A, $C434), X$1, "")</f>
        <v/>
      </c>
      <c r="Y434" s="132" t="str">
        <f>IF(COUNTIF('Film&amp;Firm-A'!$A:$A, $C434), Y$1, "")</f>
        <v/>
      </c>
      <c r="Z434" s="132" t="str">
        <f>IF(COUNTIF('Film&amp;Firm-B'!$A:$A, $C434), Z$1, "")</f>
        <v/>
      </c>
      <c r="AA434" s="132" t="str">
        <f>IF(COUNTIF(SHRM!$A:$A, $C434), AA$1, "")</f>
        <v>Strategic HRM</v>
      </c>
      <c r="AB434" s="132" t="str">
        <f>IF(COUNTIF('SCM-A'!$A:$A, $C434), AB$1, "")</f>
        <v>Strategic Career Management (A)</v>
      </c>
      <c r="AC434" s="132" t="str">
        <f>IF(COUNTIF('SCM-B'!$A:$A, $C434), AC$1, "")</f>
        <v/>
      </c>
      <c r="AD434" s="132" t="str">
        <f>IF(COUNTIF(AIS!$A:$A, $C434), AD$1, "")</f>
        <v/>
      </c>
      <c r="AE434" s="132" t="str">
        <f>IF(COUNTIF(EB!$A:$A, $C434), AE$1, "")</f>
        <v/>
      </c>
      <c r="AF434" s="132" t="str">
        <f>IF(COUNTIF('AIAM-A'!$A:$A, $C434), AF$1, "")</f>
        <v/>
      </c>
      <c r="AG434" s="132" t="str">
        <f>IF(COUNTIF('AIAM-B'!$A:$A, $C434), AG$1, "")</f>
        <v/>
      </c>
      <c r="AH434" s="132" t="str">
        <f>IF(COUNTIF('SA-A'!$A:$A, $C434), AH$1, "")</f>
        <v/>
      </c>
      <c r="AI434" s="132" t="str">
        <f>IF(COUNTIF('SA-B'!$A:$A, $C434), AI$1, "")</f>
        <v/>
      </c>
      <c r="AJ434" s="132" t="str">
        <f>IF(COUNTIF(CSM!$A:$A, $C434), AJ$1, "")</f>
        <v/>
      </c>
      <c r="AK434" s="132" t="str">
        <f>IF(COUNTIF(EM!$A:$A, $C434), AK$1, "")</f>
        <v/>
      </c>
      <c r="AL434" s="132" t="str">
        <f>IF(COUNTIF(I4TS!$A:$A, $C434), AL$1, "")</f>
        <v/>
      </c>
    </row>
    <row r="435" spans="1:38" ht="14">
      <c r="A435" s="131">
        <v>434</v>
      </c>
      <c r="B435" s="131" t="s">
        <v>1397</v>
      </c>
      <c r="C435" s="143" t="s">
        <v>1554</v>
      </c>
      <c r="D435" s="143" t="s">
        <v>1555</v>
      </c>
      <c r="E435" s="140" t="s">
        <v>1556</v>
      </c>
      <c r="F435" s="131">
        <f t="shared" ca="1" si="1"/>
        <v>5</v>
      </c>
      <c r="G435" s="106" t="str">
        <f ca="1">IFERROR(__xludf.DUMMYFUNCTION("INDEX(FILTER($P435:$AL435, $P435:$AL435 &lt;&gt; """"), 1)"),"The Art, Craft, and Science of Management: Learning through Classics and Best Collections (B)")</f>
        <v>The Art, Craft, and Science of Management: Learning through Classics and Best Collections (B)</v>
      </c>
      <c r="H435" s="106" t="str">
        <f ca="1">IFERROR(__xludf.DUMMYFUNCTION("INDEX(FILTER($P435:$AL435, $P435:$AL435 &lt;&gt; """"), 2)"),"Workplace Happiness: Science &amp; Practice (A)")</f>
        <v>Workplace Happiness: Science &amp; Practice (A)</v>
      </c>
      <c r="I435" s="106" t="str">
        <f ca="1">IFERROR(__xludf.DUMMYFUNCTION("INDEX(FILTER($P435:$AL435, $P435:$AL435 &lt;&gt; """"), 3)"),"Strategic Career Management (A)")</f>
        <v>Strategic Career Management (A)</v>
      </c>
      <c r="J435" s="106" t="str">
        <f ca="1">IFERROR(__xludf.DUMMYFUNCTION("IFERROR(INDEX(FILTER($P435:$AL435, $P435:$AL435 &lt;&gt; """"), 4),)"),"")</f>
        <v/>
      </c>
      <c r="K435" s="106" t="str">
        <f ca="1">IFERROR(__xludf.DUMMYFUNCTION("IFERROR(INDEX(FILTER($P435:$AL435, $P435:$AL435 &lt;&gt; """"), 5),)"),"")</f>
        <v/>
      </c>
      <c r="L435" s="107"/>
      <c r="O435" s="107"/>
      <c r="P435" s="132" t="str">
        <f>IF(COUNTIF('Fintech-A'!$A:$A, $C435), P$1, "")</f>
        <v/>
      </c>
      <c r="Q435" s="132" t="str">
        <f>IF(COUNTIF('Fintech-B'!$A:$A, $C435), Q$1, "")</f>
        <v/>
      </c>
      <c r="R435" s="132" t="str">
        <f>IF(COUNTIF('BEDM-A'!$A:$A, $C435), R$1, "")</f>
        <v/>
      </c>
      <c r="S435" s="132" t="str">
        <f>IF(COUNTIF('BEDM-B'!$A:$A, $C435), S$1, "")</f>
        <v/>
      </c>
      <c r="T435" s="132" t="str">
        <f>IF(COUNTIF('Art-A'!$A:$A, $C435), T$1, "")</f>
        <v/>
      </c>
      <c r="U435" s="132" t="str">
        <f>IF(COUNTIF('Art-B'!$A:$A, $C435), U$1, "")</f>
        <v>The Art, Craft, and Science of Management: Learning through Classics and Best Collections (B)</v>
      </c>
      <c r="V435" s="132" t="str">
        <f>IF(COUNTIF('WH-A'!$A:$A, $C435), V$1, "")</f>
        <v>Workplace Happiness: Science &amp; Practice (A)</v>
      </c>
      <c r="W435" s="132" t="str">
        <f>IF(COUNTIF('WH-B'!$A:$A, $C435), W$1, "")</f>
        <v/>
      </c>
      <c r="X435" s="132" t="str">
        <f>IF(COUNTIF(LETV!$A:$A, $C435), X$1, "")</f>
        <v/>
      </c>
      <c r="Y435" s="132" t="str">
        <f>IF(COUNTIF('Film&amp;Firm-A'!$A:$A, $C435), Y$1, "")</f>
        <v/>
      </c>
      <c r="Z435" s="132" t="str">
        <f>IF(COUNTIF('Film&amp;Firm-B'!$A:$A, $C435), Z$1, "")</f>
        <v/>
      </c>
      <c r="AA435" s="132" t="str">
        <f>IF(COUNTIF(SHRM!$A:$A, $C435), AA$1, "")</f>
        <v/>
      </c>
      <c r="AB435" s="132" t="str">
        <f>IF(COUNTIF('SCM-A'!$A:$A, $C435), AB$1, "")</f>
        <v>Strategic Career Management (A)</v>
      </c>
      <c r="AC435" s="132" t="str">
        <f>IF(COUNTIF('SCM-B'!$A:$A, $C435), AC$1, "")</f>
        <v/>
      </c>
      <c r="AD435" s="132" t="str">
        <f>IF(COUNTIF(AIS!$A:$A, $C435), AD$1, "")</f>
        <v/>
      </c>
      <c r="AE435" s="132" t="str">
        <f>IF(COUNTIF(EB!$A:$A, $C435), AE$1, "")</f>
        <v/>
      </c>
      <c r="AF435" s="132" t="str">
        <f>IF(COUNTIF('AIAM-A'!$A:$A, $C435), AF$1, "")</f>
        <v/>
      </c>
      <c r="AG435" s="132" t="str">
        <f>IF(COUNTIF('AIAM-B'!$A:$A, $C435), AG$1, "")</f>
        <v/>
      </c>
      <c r="AH435" s="132" t="str">
        <f>IF(COUNTIF('SA-A'!$A:$A, $C435), AH$1, "")</f>
        <v/>
      </c>
      <c r="AI435" s="132" t="str">
        <f>IF(COUNTIF('SA-B'!$A:$A, $C435), AI$1, "")</f>
        <v/>
      </c>
      <c r="AJ435" s="132" t="str">
        <f>IF(COUNTIF(CSM!$A:$A, $C435), AJ$1, "")</f>
        <v/>
      </c>
      <c r="AK435" s="132" t="str">
        <f>IF(COUNTIF(EM!$A:$A, $C435), AK$1, "")</f>
        <v/>
      </c>
      <c r="AL435" s="132" t="str">
        <f>IF(COUNTIF(I4TS!$A:$A, $C435), AL$1, "")</f>
        <v/>
      </c>
    </row>
    <row r="436" spans="1:38" ht="14">
      <c r="A436" s="131">
        <v>435</v>
      </c>
      <c r="B436" s="131" t="s">
        <v>1397</v>
      </c>
      <c r="C436" s="143" t="s">
        <v>1557</v>
      </c>
      <c r="D436" s="143" t="s">
        <v>1558</v>
      </c>
      <c r="E436" s="140" t="s">
        <v>1559</v>
      </c>
      <c r="F436" s="131">
        <f t="shared" ca="1" si="1"/>
        <v>5</v>
      </c>
      <c r="G436" s="106" t="str">
        <f ca="1">IFERROR(__xludf.DUMMYFUNCTION("INDEX(FILTER($P436:$AL436, $P436:$AL436 &lt;&gt; """"), 1)"),"The Art, Craft, and Science of Management: Learning through Classics and Best Collections (A)")</f>
        <v>The Art, Craft, and Science of Management: Learning through Classics and Best Collections (A)</v>
      </c>
      <c r="H436" s="106" t="str">
        <f ca="1">IFERROR(__xludf.DUMMYFUNCTION("INDEX(FILTER($P436:$AL436, $P436:$AL436 &lt;&gt; """"), 2)"),"Workplace Happiness: Science &amp; Practice (A)")</f>
        <v>Workplace Happiness: Science &amp; Practice (A)</v>
      </c>
      <c r="I436" s="106" t="str">
        <f ca="1">IFERROR(__xludf.DUMMYFUNCTION("INDEX(FILTER($P436:$AL436, $P436:$AL436 &lt;&gt; """"), 3)"),"Entrepreneurial Marketing")</f>
        <v>Entrepreneurial Marketing</v>
      </c>
      <c r="J436" s="106" t="str">
        <f ca="1">IFERROR(__xludf.DUMMYFUNCTION("IFERROR(INDEX(FILTER($P436:$AL436, $P436:$AL436 &lt;&gt; """"), 4),)"),"")</f>
        <v/>
      </c>
      <c r="K436" s="106" t="str">
        <f ca="1">IFERROR(__xludf.DUMMYFUNCTION("IFERROR(INDEX(FILTER($P436:$AL436, $P436:$AL436 &lt;&gt; """"), 5),)"),"")</f>
        <v/>
      </c>
      <c r="L436" s="107"/>
      <c r="O436" s="107"/>
      <c r="P436" s="132" t="str">
        <f>IF(COUNTIF('Fintech-A'!$A:$A, $C436), P$1, "")</f>
        <v/>
      </c>
      <c r="Q436" s="132" t="str">
        <f>IF(COUNTIF('Fintech-B'!$A:$A, $C436), Q$1, "")</f>
        <v/>
      </c>
      <c r="R436" s="132" t="str">
        <f>IF(COUNTIF('BEDM-A'!$A:$A, $C436), R$1, "")</f>
        <v/>
      </c>
      <c r="S436" s="132" t="str">
        <f>IF(COUNTIF('BEDM-B'!$A:$A, $C436), S$1, "")</f>
        <v/>
      </c>
      <c r="T436" s="132" t="str">
        <f>IF(COUNTIF('Art-A'!$A:$A, $C436), T$1, "")</f>
        <v>The Art, Craft, and Science of Management: Learning through Classics and Best Collections (A)</v>
      </c>
      <c r="U436" s="132" t="str">
        <f>IF(COUNTIF('Art-B'!$A:$A, $C436), U$1, "")</f>
        <v/>
      </c>
      <c r="V436" s="132" t="str">
        <f>IF(COUNTIF('WH-A'!$A:$A, $C436), V$1, "")</f>
        <v>Workplace Happiness: Science &amp; Practice (A)</v>
      </c>
      <c r="W436" s="132" t="str">
        <f>IF(COUNTIF('WH-B'!$A:$A, $C436), W$1, "")</f>
        <v/>
      </c>
      <c r="X436" s="132" t="str">
        <f>IF(COUNTIF(LETV!$A:$A, $C436), X$1, "")</f>
        <v/>
      </c>
      <c r="Y436" s="132" t="str">
        <f>IF(COUNTIF('Film&amp;Firm-A'!$A:$A, $C436), Y$1, "")</f>
        <v/>
      </c>
      <c r="Z436" s="132" t="str">
        <f>IF(COUNTIF('Film&amp;Firm-B'!$A:$A, $C436), Z$1, "")</f>
        <v/>
      </c>
      <c r="AA436" s="132" t="str">
        <f>IF(COUNTIF(SHRM!$A:$A, $C436), AA$1, "")</f>
        <v/>
      </c>
      <c r="AB436" s="132" t="str">
        <f>IF(COUNTIF('SCM-A'!$A:$A, $C436), AB$1, "")</f>
        <v/>
      </c>
      <c r="AC436" s="132" t="str">
        <f>IF(COUNTIF('SCM-B'!$A:$A, $C436), AC$1, "")</f>
        <v/>
      </c>
      <c r="AD436" s="132" t="str">
        <f>IF(COUNTIF(AIS!$A:$A, $C436), AD$1, "")</f>
        <v/>
      </c>
      <c r="AE436" s="132" t="str">
        <f>IF(COUNTIF(EB!$A:$A, $C436), AE$1, "")</f>
        <v/>
      </c>
      <c r="AF436" s="132" t="str">
        <f>IF(COUNTIF('AIAM-A'!$A:$A, $C436), AF$1, "")</f>
        <v/>
      </c>
      <c r="AG436" s="132" t="str">
        <f>IF(COUNTIF('AIAM-B'!$A:$A, $C436), AG$1, "")</f>
        <v/>
      </c>
      <c r="AH436" s="132" t="str">
        <f>IF(COUNTIF('SA-A'!$A:$A, $C436), AH$1, "")</f>
        <v/>
      </c>
      <c r="AI436" s="132" t="str">
        <f>IF(COUNTIF('SA-B'!$A:$A, $C436), AI$1, "")</f>
        <v/>
      </c>
      <c r="AJ436" s="132" t="str">
        <f>IF(COUNTIF(CSM!$A:$A, $C436), AJ$1, "")</f>
        <v/>
      </c>
      <c r="AK436" s="132" t="str">
        <f>IF(COUNTIF(EM!$A:$A, $C436), AK$1, "")</f>
        <v>Entrepreneurial Marketing</v>
      </c>
      <c r="AL436" s="132" t="str">
        <f>IF(COUNTIF(I4TS!$A:$A, $C436), AL$1, "")</f>
        <v/>
      </c>
    </row>
    <row r="437" spans="1:38" ht="14">
      <c r="A437" s="131">
        <v>436</v>
      </c>
      <c r="B437" s="131" t="s">
        <v>1397</v>
      </c>
      <c r="C437" s="143" t="s">
        <v>1560</v>
      </c>
      <c r="D437" s="143" t="s">
        <v>1561</v>
      </c>
      <c r="E437" s="140" t="s">
        <v>1562</v>
      </c>
      <c r="F437" s="131">
        <f t="shared" ca="1" si="1"/>
        <v>5</v>
      </c>
      <c r="G437" s="106" t="str">
        <f ca="1">IFERROR(__xludf.DUMMYFUNCTION("INDEX(FILTER($P437:$AL437, $P437:$AL437 &lt;&gt; """"), 1)"),"The Art, Craft, and Science of Management: Learning through Classics and Best Collections (A)")</f>
        <v>The Art, Craft, and Science of Management: Learning through Classics and Best Collections (A)</v>
      </c>
      <c r="H437" s="106" t="str">
        <f ca="1">IFERROR(__xludf.DUMMYFUNCTION("INDEX(FILTER($P437:$AL437, $P437:$AL437 &lt;&gt; """"), 2)"),"Strategic HRM")</f>
        <v>Strategic HRM</v>
      </c>
      <c r="I437" s="106" t="str">
        <f ca="1">IFERROR(__xludf.DUMMYFUNCTION("INDEX(FILTER($P437:$AL437, $P437:$AL437 &lt;&gt; """"), 3)"),"Strategic Career Management (B)")</f>
        <v>Strategic Career Management (B)</v>
      </c>
      <c r="J437" s="106" t="str">
        <f ca="1">IFERROR(__xludf.DUMMYFUNCTION("IFERROR(INDEX(FILTER($P437:$AL437, $P437:$AL437 &lt;&gt; """"), 4),)"),"")</f>
        <v/>
      </c>
      <c r="K437" s="106" t="str">
        <f ca="1">IFERROR(__xludf.DUMMYFUNCTION("IFERROR(INDEX(FILTER($P437:$AL437, $P437:$AL437 &lt;&gt; """"), 5),)"),"")</f>
        <v/>
      </c>
      <c r="L437" s="107"/>
      <c r="O437" s="107"/>
      <c r="P437" s="132" t="str">
        <f>IF(COUNTIF('Fintech-A'!$A:$A, $C437), P$1, "")</f>
        <v/>
      </c>
      <c r="Q437" s="132" t="str">
        <f>IF(COUNTIF('Fintech-B'!$A:$A, $C437), Q$1, "")</f>
        <v/>
      </c>
      <c r="R437" s="132" t="str">
        <f>IF(COUNTIF('BEDM-A'!$A:$A, $C437), R$1, "")</f>
        <v/>
      </c>
      <c r="S437" s="132" t="str">
        <f>IF(COUNTIF('BEDM-B'!$A:$A, $C437), S$1, "")</f>
        <v/>
      </c>
      <c r="T437" s="132" t="str">
        <f>IF(COUNTIF('Art-A'!$A:$A, $C437), T$1, "")</f>
        <v>The Art, Craft, and Science of Management: Learning through Classics and Best Collections (A)</v>
      </c>
      <c r="U437" s="132" t="str">
        <f>IF(COUNTIF('Art-B'!$A:$A, $C437), U$1, "")</f>
        <v/>
      </c>
      <c r="V437" s="132" t="str">
        <f>IF(COUNTIF('WH-A'!$A:$A, $C437), V$1, "")</f>
        <v/>
      </c>
      <c r="W437" s="132" t="str">
        <f>IF(COUNTIF('WH-B'!$A:$A, $C437), W$1, "")</f>
        <v/>
      </c>
      <c r="X437" s="132" t="str">
        <f>IF(COUNTIF(LETV!$A:$A, $C437), X$1, "")</f>
        <v/>
      </c>
      <c r="Y437" s="132" t="str">
        <f>IF(COUNTIF('Film&amp;Firm-A'!$A:$A, $C437), Y$1, "")</f>
        <v/>
      </c>
      <c r="Z437" s="132" t="str">
        <f>IF(COUNTIF('Film&amp;Firm-B'!$A:$A, $C437), Z$1, "")</f>
        <v/>
      </c>
      <c r="AA437" s="132" t="str">
        <f>IF(COUNTIF(SHRM!$A:$A, $C437), AA$1, "")</f>
        <v>Strategic HRM</v>
      </c>
      <c r="AB437" s="132" t="str">
        <f>IF(COUNTIF('SCM-A'!$A:$A, $C437), AB$1, "")</f>
        <v/>
      </c>
      <c r="AC437" s="132" t="str">
        <f>IF(COUNTIF('SCM-B'!$A:$A, $C437), AC$1, "")</f>
        <v>Strategic Career Management (B)</v>
      </c>
      <c r="AD437" s="132" t="str">
        <f>IF(COUNTIF(AIS!$A:$A, $C437), AD$1, "")</f>
        <v/>
      </c>
      <c r="AE437" s="132" t="str">
        <f>IF(COUNTIF(EB!$A:$A, $C437), AE$1, "")</f>
        <v/>
      </c>
      <c r="AF437" s="132" t="str">
        <f>IF(COUNTIF('AIAM-A'!$A:$A, $C437), AF$1, "")</f>
        <v/>
      </c>
      <c r="AG437" s="132" t="str">
        <f>IF(COUNTIF('AIAM-B'!$A:$A, $C437), AG$1, "")</f>
        <v/>
      </c>
      <c r="AH437" s="132" t="str">
        <f>IF(COUNTIF('SA-A'!$A:$A, $C437), AH$1, "")</f>
        <v/>
      </c>
      <c r="AI437" s="132" t="str">
        <f>IF(COUNTIF('SA-B'!$A:$A, $C437), AI$1, "")</f>
        <v/>
      </c>
      <c r="AJ437" s="132" t="str">
        <f>IF(COUNTIF(CSM!$A:$A, $C437), AJ$1, "")</f>
        <v/>
      </c>
      <c r="AK437" s="132" t="str">
        <f>IF(COUNTIF(EM!$A:$A, $C437), AK$1, "")</f>
        <v/>
      </c>
      <c r="AL437" s="132" t="str">
        <f>IF(COUNTIF(I4TS!$A:$A, $C437), AL$1, "")</f>
        <v/>
      </c>
    </row>
    <row r="438" spans="1:38" ht="14">
      <c r="A438" s="131">
        <v>437</v>
      </c>
      <c r="B438" s="131" t="s">
        <v>1397</v>
      </c>
      <c r="C438" s="143" t="s">
        <v>1563</v>
      </c>
      <c r="D438" s="143" t="s">
        <v>1564</v>
      </c>
      <c r="E438" s="140" t="s">
        <v>1565</v>
      </c>
      <c r="F438" s="131">
        <f t="shared" ca="1" si="1"/>
        <v>5</v>
      </c>
      <c r="G438" s="106" t="str">
        <f ca="1">IFERROR(__xludf.DUMMYFUNCTION("INDEX(FILTER($P438:$AL438, $P438:$AL438 &lt;&gt; """"), 1)"),"Workplace Happiness: Science &amp; Practice (A)")</f>
        <v>Workplace Happiness: Science &amp; Practice (A)</v>
      </c>
      <c r="H438" s="106" t="str">
        <f ca="1">IFERROR(__xludf.DUMMYFUNCTION("INDEX(FILTER($P438:$AL438, $P438:$AL438 &lt;&gt; """"), 2)"),"Strategic HRM")</f>
        <v>Strategic HRM</v>
      </c>
      <c r="I438" s="106" t="str">
        <f ca="1">IFERROR(__xludf.DUMMYFUNCTION("INDEX(FILTER($P438:$AL438, $P438:$AL438 &lt;&gt; """"), 3)"),"Strategic Career Management (A)")</f>
        <v>Strategic Career Management (A)</v>
      </c>
      <c r="J438" s="106" t="str">
        <f ca="1">IFERROR(__xludf.DUMMYFUNCTION("IFERROR(INDEX(FILTER($P438:$AL438, $P438:$AL438 &lt;&gt; """"), 4),)"),"")</f>
        <v/>
      </c>
      <c r="K438" s="106" t="str">
        <f ca="1">IFERROR(__xludf.DUMMYFUNCTION("IFERROR(INDEX(FILTER($P438:$AL438, $P438:$AL438 &lt;&gt; """"), 5),)"),"")</f>
        <v/>
      </c>
      <c r="L438" s="107"/>
      <c r="O438" s="107"/>
      <c r="P438" s="132" t="str">
        <f>IF(COUNTIF('Fintech-A'!$A:$A, $C438), P$1, "")</f>
        <v/>
      </c>
      <c r="Q438" s="132" t="str">
        <f>IF(COUNTIF('Fintech-B'!$A:$A, $C438), Q$1, "")</f>
        <v/>
      </c>
      <c r="R438" s="132" t="str">
        <f>IF(COUNTIF('BEDM-A'!$A:$A, $C438), R$1, "")</f>
        <v/>
      </c>
      <c r="S438" s="132" t="str">
        <f>IF(COUNTIF('BEDM-B'!$A:$A, $C438), S$1, "")</f>
        <v/>
      </c>
      <c r="T438" s="132" t="str">
        <f>IF(COUNTIF('Art-A'!$A:$A, $C438), T$1, "")</f>
        <v/>
      </c>
      <c r="U438" s="132" t="str">
        <f>IF(COUNTIF('Art-B'!$A:$A, $C438), U$1, "")</f>
        <v/>
      </c>
      <c r="V438" s="132" t="str">
        <f>IF(COUNTIF('WH-A'!$A:$A, $C438), V$1, "")</f>
        <v>Workplace Happiness: Science &amp; Practice (A)</v>
      </c>
      <c r="W438" s="132" t="str">
        <f>IF(COUNTIF('WH-B'!$A:$A, $C438), W$1, "")</f>
        <v/>
      </c>
      <c r="X438" s="132" t="str">
        <f>IF(COUNTIF(LETV!$A:$A, $C438), X$1, "")</f>
        <v/>
      </c>
      <c r="Y438" s="132" t="str">
        <f>IF(COUNTIF('Film&amp;Firm-A'!$A:$A, $C438), Y$1, "")</f>
        <v/>
      </c>
      <c r="Z438" s="132" t="str">
        <f>IF(COUNTIF('Film&amp;Firm-B'!$A:$A, $C438), Z$1, "")</f>
        <v/>
      </c>
      <c r="AA438" s="132" t="str">
        <f>IF(COUNTIF(SHRM!$A:$A, $C438), AA$1, "")</f>
        <v>Strategic HRM</v>
      </c>
      <c r="AB438" s="132" t="str">
        <f>IF(COUNTIF('SCM-A'!$A:$A, $C438), AB$1, "")</f>
        <v>Strategic Career Management (A)</v>
      </c>
      <c r="AC438" s="132" t="str">
        <f>IF(COUNTIF('SCM-B'!$A:$A, $C438), AC$1, "")</f>
        <v/>
      </c>
      <c r="AD438" s="132" t="str">
        <f>IF(COUNTIF(AIS!$A:$A, $C438), AD$1, "")</f>
        <v/>
      </c>
      <c r="AE438" s="132" t="str">
        <f>IF(COUNTIF(EB!$A:$A, $C438), AE$1, "")</f>
        <v/>
      </c>
      <c r="AF438" s="132" t="str">
        <f>IF(COUNTIF('AIAM-A'!$A:$A, $C438), AF$1, "")</f>
        <v/>
      </c>
      <c r="AG438" s="132" t="str">
        <f>IF(COUNTIF('AIAM-B'!$A:$A, $C438), AG$1, "")</f>
        <v/>
      </c>
      <c r="AH438" s="132" t="str">
        <f>IF(COUNTIF('SA-A'!$A:$A, $C438), AH$1, "")</f>
        <v/>
      </c>
      <c r="AI438" s="132" t="str">
        <f>IF(COUNTIF('SA-B'!$A:$A, $C438), AI$1, "")</f>
        <v/>
      </c>
      <c r="AJ438" s="132" t="str">
        <f>IF(COUNTIF(CSM!$A:$A, $C438), AJ$1, "")</f>
        <v/>
      </c>
      <c r="AK438" s="132" t="str">
        <f>IF(COUNTIF(EM!$A:$A, $C438), AK$1, "")</f>
        <v/>
      </c>
      <c r="AL438" s="132" t="str">
        <f>IF(COUNTIF(I4TS!$A:$A, $C438), AL$1, "")</f>
        <v/>
      </c>
    </row>
    <row r="439" spans="1:38" ht="13">
      <c r="A439" s="107"/>
      <c r="B439" s="107"/>
      <c r="C439" s="107"/>
      <c r="D439" s="107"/>
      <c r="E439" s="107"/>
      <c r="F439" s="107"/>
      <c r="P439" s="132">
        <f t="shared" ref="P439:AL439" si="2">COUNTIF(P2:P438,P1)</f>
        <v>64</v>
      </c>
      <c r="Q439" s="132">
        <f t="shared" si="2"/>
        <v>65</v>
      </c>
      <c r="R439" s="132">
        <f t="shared" si="2"/>
        <v>44</v>
      </c>
      <c r="S439" s="132">
        <f t="shared" si="2"/>
        <v>48</v>
      </c>
      <c r="T439" s="132">
        <f t="shared" si="2"/>
        <v>60</v>
      </c>
      <c r="U439" s="132">
        <f t="shared" si="2"/>
        <v>46</v>
      </c>
      <c r="V439" s="132">
        <f t="shared" si="2"/>
        <v>62</v>
      </c>
      <c r="W439" s="132">
        <f t="shared" si="2"/>
        <v>55</v>
      </c>
      <c r="X439" s="132">
        <f t="shared" si="2"/>
        <v>61</v>
      </c>
      <c r="Y439" s="132">
        <f t="shared" si="2"/>
        <v>72</v>
      </c>
      <c r="Z439" s="132">
        <f t="shared" si="2"/>
        <v>68</v>
      </c>
      <c r="AA439" s="132">
        <f t="shared" si="2"/>
        <v>72</v>
      </c>
      <c r="AB439" s="132">
        <f t="shared" si="2"/>
        <v>66</v>
      </c>
      <c r="AC439" s="132">
        <f t="shared" si="2"/>
        <v>67</v>
      </c>
      <c r="AD439" s="132">
        <f t="shared" si="2"/>
        <v>70</v>
      </c>
      <c r="AE439" s="132">
        <f t="shared" si="2"/>
        <v>71</v>
      </c>
      <c r="AF439" s="132">
        <f t="shared" si="2"/>
        <v>76</v>
      </c>
      <c r="AG439" s="132">
        <f t="shared" si="2"/>
        <v>64</v>
      </c>
      <c r="AH439" s="132">
        <f t="shared" si="2"/>
        <v>73</v>
      </c>
      <c r="AI439" s="132">
        <f t="shared" si="2"/>
        <v>67</v>
      </c>
      <c r="AJ439" s="132">
        <f t="shared" si="2"/>
        <v>70</v>
      </c>
      <c r="AK439" s="132">
        <f t="shared" si="2"/>
        <v>70</v>
      </c>
      <c r="AL439" s="132">
        <f t="shared" si="2"/>
        <v>70</v>
      </c>
    </row>
    <row r="440" spans="1:38" ht="13">
      <c r="A440" s="107"/>
      <c r="B440" s="107"/>
      <c r="C440" s="107"/>
      <c r="D440" s="107"/>
      <c r="E440" s="107"/>
      <c r="F440" s="107"/>
    </row>
    <row r="441" spans="1:38" ht="13">
      <c r="A441" s="107"/>
      <c r="B441" s="107"/>
      <c r="C441" s="107"/>
      <c r="D441" s="107"/>
      <c r="E441" s="107"/>
      <c r="F441" s="107"/>
    </row>
    <row r="442" spans="1:38" ht="13">
      <c r="A442" s="107"/>
      <c r="B442" s="107"/>
      <c r="C442" s="107"/>
      <c r="D442" s="107"/>
      <c r="E442" s="107"/>
      <c r="F442" s="107"/>
    </row>
    <row r="443" spans="1:38" ht="13">
      <c r="A443" s="107"/>
      <c r="B443" s="107"/>
      <c r="C443" s="107"/>
      <c r="D443" s="107"/>
      <c r="E443" s="107"/>
      <c r="F443" s="107"/>
    </row>
    <row r="444" spans="1:38" ht="13">
      <c r="A444" s="107"/>
      <c r="B444" s="107"/>
      <c r="C444" s="107"/>
      <c r="D444" s="107"/>
      <c r="E444" s="107"/>
      <c r="F444" s="107"/>
    </row>
    <row r="445" spans="1:38" ht="13">
      <c r="A445" s="107"/>
      <c r="B445" s="107"/>
      <c r="C445" s="107"/>
      <c r="D445" s="107"/>
      <c r="E445" s="107"/>
      <c r="F445" s="107"/>
    </row>
    <row r="446" spans="1:38" ht="13">
      <c r="A446" s="107"/>
      <c r="B446" s="107"/>
      <c r="C446" s="107"/>
      <c r="D446" s="107"/>
      <c r="E446" s="107"/>
      <c r="F446" s="107"/>
    </row>
    <row r="447" spans="1:38" ht="13">
      <c r="A447" s="107"/>
      <c r="B447" s="107"/>
      <c r="C447" s="107"/>
      <c r="D447" s="107"/>
      <c r="E447" s="107"/>
      <c r="F447" s="107"/>
    </row>
    <row r="448" spans="1:38" ht="13">
      <c r="A448" s="107"/>
      <c r="B448" s="107"/>
      <c r="C448" s="107"/>
      <c r="D448" s="107"/>
      <c r="E448" s="107"/>
      <c r="F448" s="107"/>
    </row>
    <row r="449" spans="1:6" ht="13">
      <c r="A449" s="107"/>
      <c r="B449" s="107"/>
      <c r="C449" s="107"/>
      <c r="D449" s="107"/>
      <c r="E449" s="107"/>
      <c r="F449" s="107"/>
    </row>
    <row r="450" spans="1:6" ht="13">
      <c r="A450" s="107"/>
      <c r="B450" s="107"/>
      <c r="C450" s="107"/>
      <c r="D450" s="107"/>
      <c r="E450" s="107"/>
      <c r="F450" s="107"/>
    </row>
    <row r="451" spans="1:6" ht="13">
      <c r="A451" s="107"/>
      <c r="B451" s="107"/>
      <c r="C451" s="107"/>
      <c r="D451" s="107"/>
      <c r="E451" s="107"/>
      <c r="F451" s="107"/>
    </row>
    <row r="452" spans="1:6" ht="13">
      <c r="A452" s="107"/>
      <c r="B452" s="107"/>
      <c r="C452" s="107"/>
      <c r="D452" s="107"/>
      <c r="E452" s="107"/>
      <c r="F452" s="107"/>
    </row>
    <row r="453" spans="1:6" ht="13">
      <c r="A453" s="107"/>
      <c r="B453" s="107"/>
      <c r="C453" s="107"/>
      <c r="D453" s="107"/>
      <c r="E453" s="107"/>
      <c r="F453" s="107"/>
    </row>
    <row r="454" spans="1:6" ht="13">
      <c r="A454" s="107"/>
      <c r="B454" s="107"/>
      <c r="C454" s="107"/>
      <c r="D454" s="107"/>
      <c r="E454" s="107"/>
      <c r="F454" s="107"/>
    </row>
    <row r="455" spans="1:6" ht="13">
      <c r="A455" s="107"/>
      <c r="B455" s="107"/>
      <c r="C455" s="107"/>
      <c r="D455" s="107"/>
      <c r="E455" s="107"/>
      <c r="F455" s="107"/>
    </row>
    <row r="456" spans="1:6" ht="13">
      <c r="A456" s="107"/>
      <c r="B456" s="107"/>
      <c r="C456" s="107"/>
      <c r="D456" s="107"/>
      <c r="E456" s="107"/>
      <c r="F456" s="107"/>
    </row>
    <row r="457" spans="1:6" ht="13">
      <c r="A457" s="107"/>
      <c r="B457" s="107"/>
      <c r="C457" s="107"/>
      <c r="D457" s="107"/>
      <c r="E457" s="107"/>
      <c r="F457" s="107"/>
    </row>
    <row r="458" spans="1:6" ht="13">
      <c r="A458" s="107"/>
      <c r="B458" s="107"/>
      <c r="C458" s="107"/>
      <c r="D458" s="107"/>
      <c r="E458" s="107"/>
      <c r="F458" s="107"/>
    </row>
    <row r="459" spans="1:6" ht="13">
      <c r="A459" s="107"/>
      <c r="B459" s="107"/>
      <c r="C459" s="107"/>
      <c r="D459" s="107"/>
      <c r="E459" s="107"/>
      <c r="F459" s="107"/>
    </row>
    <row r="460" spans="1:6" ht="13">
      <c r="A460" s="107"/>
      <c r="B460" s="107"/>
      <c r="C460" s="107"/>
      <c r="D460" s="107"/>
      <c r="E460" s="107"/>
      <c r="F460" s="107"/>
    </row>
    <row r="461" spans="1:6" ht="13">
      <c r="A461" s="107"/>
      <c r="B461" s="107"/>
      <c r="C461" s="107"/>
      <c r="D461" s="107"/>
      <c r="E461" s="107"/>
      <c r="F461" s="107"/>
    </row>
    <row r="462" spans="1:6" ht="13">
      <c r="A462" s="107"/>
      <c r="B462" s="107"/>
      <c r="C462" s="107"/>
      <c r="D462" s="107"/>
      <c r="E462" s="107"/>
      <c r="F462" s="107"/>
    </row>
    <row r="463" spans="1:6" ht="13">
      <c r="A463" s="107"/>
      <c r="B463" s="107"/>
      <c r="C463" s="107"/>
      <c r="D463" s="107"/>
      <c r="E463" s="107"/>
      <c r="F463" s="107"/>
    </row>
    <row r="464" spans="1:6" ht="13">
      <c r="A464" s="107"/>
      <c r="B464" s="107"/>
      <c r="C464" s="107"/>
      <c r="D464" s="107"/>
      <c r="E464" s="107"/>
      <c r="F464" s="107"/>
    </row>
    <row r="465" spans="1:6" ht="13">
      <c r="A465" s="107"/>
      <c r="B465" s="107"/>
      <c r="C465" s="107"/>
      <c r="D465" s="107"/>
      <c r="E465" s="107"/>
      <c r="F465" s="107"/>
    </row>
    <row r="466" spans="1:6" ht="13">
      <c r="A466" s="107"/>
      <c r="B466" s="107"/>
      <c r="C466" s="107"/>
      <c r="D466" s="107"/>
      <c r="E466" s="107"/>
      <c r="F466" s="107"/>
    </row>
    <row r="467" spans="1:6" ht="13">
      <c r="A467" s="107"/>
      <c r="B467" s="107"/>
      <c r="C467" s="107"/>
      <c r="D467" s="107"/>
      <c r="E467" s="107"/>
      <c r="F467" s="107"/>
    </row>
    <row r="468" spans="1:6" ht="13">
      <c r="A468" s="107"/>
      <c r="B468" s="107"/>
      <c r="C468" s="107"/>
      <c r="D468" s="107"/>
      <c r="E468" s="107"/>
      <c r="F468" s="107"/>
    </row>
    <row r="469" spans="1:6" ht="13">
      <c r="A469" s="107"/>
      <c r="B469" s="107"/>
      <c r="C469" s="107"/>
      <c r="D469" s="107"/>
      <c r="E469" s="107"/>
      <c r="F469" s="107"/>
    </row>
    <row r="470" spans="1:6" ht="13">
      <c r="A470" s="107"/>
      <c r="B470" s="107"/>
      <c r="C470" s="107"/>
      <c r="D470" s="107"/>
      <c r="E470" s="107"/>
      <c r="F470" s="107"/>
    </row>
    <row r="471" spans="1:6" ht="13">
      <c r="A471" s="107"/>
      <c r="B471" s="107"/>
      <c r="C471" s="107"/>
      <c r="D471" s="107"/>
      <c r="E471" s="107"/>
      <c r="F471" s="107"/>
    </row>
    <row r="472" spans="1:6" ht="13">
      <c r="A472" s="107"/>
      <c r="B472" s="107"/>
      <c r="C472" s="107"/>
      <c r="D472" s="107"/>
      <c r="E472" s="107"/>
      <c r="F472" s="107"/>
    </row>
    <row r="473" spans="1:6" ht="13">
      <c r="A473" s="107"/>
      <c r="B473" s="107"/>
      <c r="C473" s="107"/>
      <c r="D473" s="107"/>
      <c r="E473" s="107"/>
      <c r="F473" s="107"/>
    </row>
    <row r="474" spans="1:6" ht="13">
      <c r="A474" s="107"/>
      <c r="B474" s="107"/>
      <c r="C474" s="107"/>
      <c r="D474" s="107"/>
      <c r="E474" s="107"/>
      <c r="F474" s="107"/>
    </row>
    <row r="475" spans="1:6" ht="13">
      <c r="A475" s="107"/>
      <c r="B475" s="107"/>
      <c r="C475" s="107"/>
      <c r="D475" s="107"/>
      <c r="E475" s="107"/>
      <c r="F475" s="107"/>
    </row>
    <row r="476" spans="1:6" ht="13">
      <c r="A476" s="107"/>
      <c r="B476" s="107"/>
      <c r="C476" s="107"/>
      <c r="D476" s="107"/>
      <c r="E476" s="107"/>
      <c r="F476" s="107"/>
    </row>
    <row r="477" spans="1:6" ht="13">
      <c r="A477" s="107"/>
      <c r="B477" s="107"/>
      <c r="C477" s="107"/>
      <c r="D477" s="107"/>
      <c r="E477" s="107"/>
      <c r="F477" s="107"/>
    </row>
    <row r="478" spans="1:6" ht="13">
      <c r="A478" s="107"/>
      <c r="B478" s="107"/>
      <c r="C478" s="107"/>
      <c r="D478" s="107"/>
      <c r="E478" s="107"/>
      <c r="F478" s="107"/>
    </row>
    <row r="479" spans="1:6" ht="13">
      <c r="A479" s="107"/>
      <c r="B479" s="107"/>
      <c r="C479" s="107"/>
      <c r="D479" s="107"/>
      <c r="E479" s="107"/>
      <c r="F479" s="107"/>
    </row>
    <row r="480" spans="1:6" ht="13">
      <c r="A480" s="107"/>
      <c r="B480" s="107"/>
      <c r="C480" s="107"/>
      <c r="D480" s="107"/>
      <c r="E480" s="107"/>
      <c r="F480" s="107"/>
    </row>
    <row r="481" spans="1:6" ht="13">
      <c r="A481" s="107"/>
      <c r="B481" s="107"/>
      <c r="C481" s="107"/>
      <c r="D481" s="107"/>
      <c r="E481" s="107"/>
      <c r="F481" s="107"/>
    </row>
    <row r="482" spans="1:6" ht="13">
      <c r="A482" s="107"/>
      <c r="B482" s="107"/>
      <c r="C482" s="107"/>
      <c r="D482" s="107"/>
      <c r="E482" s="107"/>
      <c r="F482" s="107"/>
    </row>
    <row r="483" spans="1:6" ht="13">
      <c r="A483" s="107"/>
      <c r="B483" s="107"/>
      <c r="C483" s="107"/>
      <c r="D483" s="107"/>
      <c r="E483" s="107"/>
      <c r="F483" s="107"/>
    </row>
    <row r="484" spans="1:6" ht="13">
      <c r="A484" s="107"/>
      <c r="B484" s="107"/>
      <c r="C484" s="107"/>
      <c r="D484" s="107"/>
      <c r="E484" s="107"/>
      <c r="F484" s="107"/>
    </row>
    <row r="485" spans="1:6" ht="13">
      <c r="A485" s="107"/>
      <c r="B485" s="107"/>
      <c r="C485" s="107"/>
      <c r="D485" s="107"/>
      <c r="E485" s="107"/>
      <c r="F485" s="107"/>
    </row>
    <row r="486" spans="1:6" ht="13">
      <c r="A486" s="107"/>
      <c r="B486" s="107"/>
      <c r="C486" s="107"/>
      <c r="D486" s="107"/>
      <c r="E486" s="107"/>
      <c r="F486" s="107"/>
    </row>
    <row r="487" spans="1:6" ht="13">
      <c r="A487" s="107"/>
      <c r="B487" s="107"/>
      <c r="C487" s="107"/>
      <c r="D487" s="107"/>
      <c r="E487" s="107"/>
      <c r="F487" s="107"/>
    </row>
    <row r="488" spans="1:6" ht="13">
      <c r="A488" s="107"/>
      <c r="B488" s="107"/>
      <c r="C488" s="107"/>
      <c r="D488" s="107"/>
      <c r="E488" s="107"/>
      <c r="F488" s="107"/>
    </row>
    <row r="489" spans="1:6" ht="13">
      <c r="A489" s="107"/>
      <c r="B489" s="107"/>
      <c r="C489" s="107"/>
      <c r="D489" s="107"/>
      <c r="E489" s="107"/>
      <c r="F489" s="107"/>
    </row>
    <row r="490" spans="1:6" ht="13">
      <c r="A490" s="107"/>
      <c r="B490" s="107"/>
      <c r="C490" s="107"/>
      <c r="D490" s="107"/>
      <c r="E490" s="107"/>
      <c r="F490" s="107"/>
    </row>
    <row r="491" spans="1:6" ht="13">
      <c r="A491" s="107"/>
      <c r="B491" s="107"/>
      <c r="C491" s="107"/>
      <c r="D491" s="107"/>
      <c r="E491" s="107"/>
      <c r="F491" s="107"/>
    </row>
    <row r="492" spans="1:6" ht="13">
      <c r="A492" s="107"/>
      <c r="B492" s="107"/>
      <c r="C492" s="107"/>
      <c r="D492" s="107"/>
      <c r="E492" s="107"/>
      <c r="F492" s="107"/>
    </row>
    <row r="493" spans="1:6" ht="13">
      <c r="A493" s="107"/>
      <c r="B493" s="107"/>
      <c r="C493" s="107"/>
      <c r="D493" s="107"/>
      <c r="E493" s="107"/>
      <c r="F493" s="107"/>
    </row>
    <row r="494" spans="1:6" ht="13">
      <c r="A494" s="107"/>
      <c r="B494" s="107"/>
      <c r="C494" s="107"/>
      <c r="D494" s="107"/>
      <c r="E494" s="107"/>
      <c r="F494" s="107"/>
    </row>
    <row r="495" spans="1:6" ht="13">
      <c r="A495" s="107"/>
      <c r="B495" s="107"/>
      <c r="C495" s="107"/>
      <c r="D495" s="107"/>
      <c r="E495" s="107"/>
      <c r="F495" s="107"/>
    </row>
    <row r="496" spans="1:6" ht="13">
      <c r="A496" s="107"/>
      <c r="B496" s="107"/>
      <c r="C496" s="107"/>
      <c r="D496" s="107"/>
      <c r="E496" s="107"/>
      <c r="F496" s="107"/>
    </row>
    <row r="497" spans="1:6" ht="13">
      <c r="A497" s="107"/>
      <c r="B497" s="107"/>
      <c r="C497" s="107"/>
      <c r="D497" s="107"/>
      <c r="E497" s="107"/>
      <c r="F497" s="107"/>
    </row>
    <row r="498" spans="1:6" ht="13">
      <c r="A498" s="107"/>
      <c r="B498" s="107"/>
      <c r="C498" s="107"/>
      <c r="D498" s="107"/>
      <c r="E498" s="107"/>
      <c r="F498" s="107"/>
    </row>
    <row r="499" spans="1:6" ht="13">
      <c r="A499" s="107"/>
      <c r="B499" s="107"/>
      <c r="C499" s="107"/>
      <c r="D499" s="107"/>
      <c r="E499" s="107"/>
      <c r="F499" s="107"/>
    </row>
    <row r="500" spans="1:6" ht="13">
      <c r="A500" s="107"/>
      <c r="B500" s="107"/>
      <c r="C500" s="107"/>
      <c r="D500" s="107"/>
      <c r="E500" s="107"/>
      <c r="F500" s="107"/>
    </row>
    <row r="501" spans="1:6" ht="13">
      <c r="A501" s="107"/>
      <c r="B501" s="107"/>
      <c r="C501" s="107"/>
      <c r="D501" s="107"/>
      <c r="E501" s="107"/>
      <c r="F501" s="107"/>
    </row>
    <row r="502" spans="1:6" ht="13">
      <c r="A502" s="107"/>
      <c r="B502" s="107"/>
      <c r="C502" s="107"/>
      <c r="D502" s="107"/>
      <c r="E502" s="107"/>
      <c r="F502" s="107"/>
    </row>
    <row r="503" spans="1:6" ht="13">
      <c r="A503" s="107"/>
      <c r="B503" s="107"/>
      <c r="C503" s="107"/>
      <c r="D503" s="107"/>
      <c r="E503" s="107"/>
      <c r="F503" s="107"/>
    </row>
    <row r="504" spans="1:6" ht="13">
      <c r="A504" s="107"/>
      <c r="B504" s="107"/>
      <c r="C504" s="107"/>
      <c r="D504" s="107"/>
      <c r="E504" s="107"/>
      <c r="F504" s="107"/>
    </row>
    <row r="505" spans="1:6" ht="13">
      <c r="A505" s="107"/>
      <c r="B505" s="107"/>
      <c r="C505" s="107"/>
      <c r="D505" s="107"/>
      <c r="E505" s="107"/>
      <c r="F505" s="107"/>
    </row>
    <row r="506" spans="1:6" ht="13">
      <c r="A506" s="107"/>
      <c r="B506" s="107"/>
      <c r="C506" s="107"/>
      <c r="D506" s="107"/>
      <c r="E506" s="107"/>
      <c r="F506" s="107"/>
    </row>
    <row r="507" spans="1:6" ht="13">
      <c r="A507" s="107"/>
      <c r="B507" s="107"/>
      <c r="C507" s="107"/>
      <c r="D507" s="107"/>
      <c r="E507" s="107"/>
      <c r="F507" s="107"/>
    </row>
    <row r="508" spans="1:6" ht="13">
      <c r="A508" s="107"/>
      <c r="B508" s="107"/>
      <c r="C508" s="107"/>
      <c r="D508" s="107"/>
      <c r="E508" s="107"/>
      <c r="F508" s="107"/>
    </row>
    <row r="509" spans="1:6" ht="13">
      <c r="A509" s="107"/>
      <c r="B509" s="107"/>
      <c r="C509" s="107"/>
      <c r="D509" s="107"/>
      <c r="E509" s="107"/>
      <c r="F509" s="107"/>
    </row>
    <row r="510" spans="1:6" ht="13">
      <c r="A510" s="107"/>
      <c r="B510" s="107"/>
      <c r="C510" s="107"/>
      <c r="D510" s="107"/>
      <c r="E510" s="107"/>
      <c r="F510" s="107"/>
    </row>
    <row r="511" spans="1:6" ht="13">
      <c r="A511" s="107"/>
      <c r="B511" s="107"/>
      <c r="C511" s="107"/>
      <c r="D511" s="107"/>
      <c r="E511" s="107"/>
      <c r="F511" s="107"/>
    </row>
    <row r="512" spans="1:6" ht="13">
      <c r="A512" s="107"/>
      <c r="B512" s="107"/>
      <c r="C512" s="107"/>
      <c r="D512" s="107"/>
      <c r="E512" s="107"/>
      <c r="F512" s="107"/>
    </row>
    <row r="513" spans="1:6" ht="13">
      <c r="A513" s="107"/>
      <c r="B513" s="107"/>
      <c r="C513" s="107"/>
      <c r="D513" s="107"/>
      <c r="E513" s="107"/>
      <c r="F513" s="107"/>
    </row>
    <row r="514" spans="1:6" ht="13">
      <c r="A514" s="107"/>
      <c r="B514" s="107"/>
      <c r="C514" s="107"/>
      <c r="D514" s="107"/>
      <c r="E514" s="107"/>
      <c r="F514" s="107"/>
    </row>
    <row r="515" spans="1:6" ht="13">
      <c r="A515" s="107"/>
      <c r="B515" s="107"/>
      <c r="C515" s="107"/>
      <c r="D515" s="107"/>
      <c r="E515" s="107"/>
      <c r="F515" s="107"/>
    </row>
    <row r="516" spans="1:6" ht="13">
      <c r="A516" s="107"/>
      <c r="B516" s="107"/>
      <c r="C516" s="107"/>
      <c r="D516" s="107"/>
      <c r="E516" s="107"/>
      <c r="F516" s="107"/>
    </row>
    <row r="517" spans="1:6" ht="13">
      <c r="A517" s="107"/>
      <c r="B517" s="107"/>
      <c r="C517" s="107"/>
      <c r="D517" s="107"/>
      <c r="E517" s="107"/>
      <c r="F517" s="107"/>
    </row>
    <row r="518" spans="1:6" ht="13">
      <c r="A518" s="107"/>
      <c r="B518" s="107"/>
      <c r="C518" s="107"/>
      <c r="D518" s="107"/>
      <c r="E518" s="107"/>
      <c r="F518" s="107"/>
    </row>
    <row r="519" spans="1:6" ht="13">
      <c r="A519" s="107"/>
      <c r="B519" s="107"/>
      <c r="C519" s="107"/>
      <c r="D519" s="107"/>
      <c r="E519" s="107"/>
      <c r="F519" s="107"/>
    </row>
    <row r="520" spans="1:6" ht="13">
      <c r="A520" s="107"/>
      <c r="B520" s="107"/>
      <c r="C520" s="107"/>
      <c r="D520" s="107"/>
      <c r="E520" s="107"/>
      <c r="F520" s="107"/>
    </row>
    <row r="521" spans="1:6" ht="13">
      <c r="A521" s="107"/>
      <c r="B521" s="107"/>
      <c r="C521" s="107"/>
      <c r="D521" s="107"/>
      <c r="E521" s="107"/>
      <c r="F521" s="107"/>
    </row>
    <row r="522" spans="1:6" ht="13">
      <c r="A522" s="107"/>
      <c r="B522" s="107"/>
      <c r="C522" s="107"/>
      <c r="D522" s="107"/>
      <c r="E522" s="107"/>
      <c r="F522" s="107"/>
    </row>
    <row r="523" spans="1:6" ht="13">
      <c r="A523" s="107"/>
      <c r="B523" s="107"/>
      <c r="C523" s="107"/>
      <c r="D523" s="107"/>
      <c r="E523" s="107"/>
      <c r="F523" s="107"/>
    </row>
    <row r="524" spans="1:6" ht="13">
      <c r="A524" s="107"/>
      <c r="B524" s="107"/>
      <c r="C524" s="107"/>
      <c r="D524" s="107"/>
      <c r="E524" s="107"/>
      <c r="F524" s="107"/>
    </row>
    <row r="525" spans="1:6" ht="13">
      <c r="A525" s="107"/>
      <c r="B525" s="107"/>
      <c r="C525" s="107"/>
      <c r="D525" s="107"/>
      <c r="E525" s="107"/>
      <c r="F525" s="107"/>
    </row>
    <row r="526" spans="1:6" ht="13">
      <c r="A526" s="107"/>
      <c r="B526" s="107"/>
      <c r="C526" s="107"/>
      <c r="D526" s="107"/>
      <c r="E526" s="107"/>
      <c r="F526" s="107"/>
    </row>
    <row r="527" spans="1:6" ht="13">
      <c r="A527" s="107"/>
      <c r="B527" s="107"/>
      <c r="C527" s="107"/>
      <c r="D527" s="107"/>
      <c r="E527" s="107"/>
      <c r="F527" s="107"/>
    </row>
    <row r="528" spans="1:6" ht="13">
      <c r="A528" s="107"/>
      <c r="B528" s="107"/>
      <c r="C528" s="107"/>
      <c r="D528" s="107"/>
      <c r="E528" s="107"/>
      <c r="F528" s="107"/>
    </row>
    <row r="529" spans="1:6" ht="13">
      <c r="A529" s="107"/>
      <c r="B529" s="107"/>
      <c r="C529" s="107"/>
      <c r="D529" s="107"/>
      <c r="E529" s="107"/>
      <c r="F529" s="107"/>
    </row>
    <row r="530" spans="1:6" ht="13">
      <c r="A530" s="107"/>
      <c r="B530" s="107"/>
      <c r="C530" s="107"/>
      <c r="D530" s="107"/>
      <c r="E530" s="107"/>
      <c r="F530" s="107"/>
    </row>
    <row r="531" spans="1:6" ht="13">
      <c r="A531" s="107"/>
      <c r="B531" s="107"/>
      <c r="C531" s="107"/>
      <c r="D531" s="107"/>
      <c r="E531" s="107"/>
      <c r="F531" s="107"/>
    </row>
    <row r="532" spans="1:6" ht="13">
      <c r="A532" s="107"/>
      <c r="B532" s="107"/>
      <c r="C532" s="107"/>
      <c r="D532" s="107"/>
      <c r="E532" s="107"/>
      <c r="F532" s="107"/>
    </row>
    <row r="533" spans="1:6" ht="13">
      <c r="A533" s="107"/>
      <c r="B533" s="107"/>
      <c r="C533" s="107"/>
      <c r="D533" s="107"/>
      <c r="E533" s="107"/>
      <c r="F533" s="107"/>
    </row>
    <row r="534" spans="1:6" ht="13">
      <c r="A534" s="107"/>
      <c r="B534" s="107"/>
      <c r="C534" s="107"/>
      <c r="D534" s="107"/>
      <c r="E534" s="107"/>
      <c r="F534" s="107"/>
    </row>
    <row r="535" spans="1:6" ht="13">
      <c r="A535" s="107"/>
      <c r="B535" s="107"/>
      <c r="C535" s="107"/>
      <c r="D535" s="107"/>
      <c r="E535" s="107"/>
      <c r="F535" s="107"/>
    </row>
    <row r="536" spans="1:6" ht="13">
      <c r="A536" s="107"/>
      <c r="B536" s="107"/>
      <c r="C536" s="107"/>
      <c r="D536" s="107"/>
      <c r="E536" s="107"/>
      <c r="F536" s="107"/>
    </row>
    <row r="537" spans="1:6" ht="13">
      <c r="A537" s="107"/>
      <c r="B537" s="107"/>
      <c r="C537" s="107"/>
      <c r="D537" s="107"/>
      <c r="E537" s="107"/>
      <c r="F537" s="107"/>
    </row>
    <row r="538" spans="1:6" ht="13">
      <c r="A538" s="107"/>
      <c r="B538" s="107"/>
      <c r="C538" s="107"/>
      <c r="D538" s="107"/>
      <c r="E538" s="107"/>
      <c r="F538" s="107"/>
    </row>
    <row r="539" spans="1:6" ht="13">
      <c r="A539" s="107"/>
      <c r="B539" s="107"/>
      <c r="C539" s="107"/>
      <c r="D539" s="107"/>
      <c r="E539" s="107"/>
      <c r="F539" s="107"/>
    </row>
    <row r="540" spans="1:6" ht="13">
      <c r="A540" s="107"/>
      <c r="B540" s="107"/>
      <c r="C540" s="107"/>
      <c r="D540" s="107"/>
      <c r="E540" s="107"/>
      <c r="F540" s="107"/>
    </row>
    <row r="541" spans="1:6" ht="13">
      <c r="A541" s="107"/>
      <c r="B541" s="107"/>
      <c r="C541" s="107"/>
      <c r="D541" s="107"/>
      <c r="E541" s="107"/>
      <c r="F541" s="107"/>
    </row>
    <row r="542" spans="1:6" ht="13">
      <c r="A542" s="107"/>
      <c r="B542" s="107"/>
      <c r="C542" s="107"/>
      <c r="D542" s="107"/>
      <c r="E542" s="107"/>
      <c r="F542" s="107"/>
    </row>
    <row r="543" spans="1:6" ht="13">
      <c r="A543" s="107"/>
      <c r="B543" s="107"/>
      <c r="C543" s="107"/>
      <c r="D543" s="107"/>
      <c r="E543" s="107"/>
      <c r="F543" s="107"/>
    </row>
    <row r="544" spans="1:6" ht="13">
      <c r="A544" s="107"/>
      <c r="B544" s="107"/>
      <c r="C544" s="107"/>
      <c r="D544" s="107"/>
      <c r="E544" s="107"/>
      <c r="F544" s="107"/>
    </row>
    <row r="545" spans="1:6" ht="13">
      <c r="A545" s="107"/>
      <c r="B545" s="107"/>
      <c r="C545" s="107"/>
      <c r="D545" s="107"/>
      <c r="E545" s="107"/>
      <c r="F545" s="107"/>
    </row>
    <row r="546" spans="1:6" ht="13">
      <c r="A546" s="107"/>
      <c r="B546" s="107"/>
      <c r="C546" s="107"/>
      <c r="D546" s="107"/>
      <c r="E546" s="107"/>
      <c r="F546" s="107"/>
    </row>
    <row r="547" spans="1:6" ht="13">
      <c r="A547" s="107"/>
      <c r="B547" s="107"/>
      <c r="C547" s="107"/>
      <c r="D547" s="107"/>
      <c r="E547" s="107"/>
      <c r="F547" s="107"/>
    </row>
    <row r="548" spans="1:6" ht="13">
      <c r="A548" s="107"/>
      <c r="B548" s="107"/>
      <c r="C548" s="107"/>
      <c r="D548" s="107"/>
      <c r="E548" s="107"/>
      <c r="F548" s="107"/>
    </row>
    <row r="549" spans="1:6" ht="13">
      <c r="A549" s="107"/>
      <c r="B549" s="107"/>
      <c r="C549" s="107"/>
      <c r="D549" s="107"/>
      <c r="E549" s="107"/>
      <c r="F549" s="107"/>
    </row>
    <row r="550" spans="1:6" ht="13">
      <c r="A550" s="107"/>
      <c r="B550" s="107"/>
      <c r="C550" s="107"/>
      <c r="D550" s="107"/>
      <c r="E550" s="107"/>
      <c r="F550" s="107"/>
    </row>
    <row r="551" spans="1:6" ht="13">
      <c r="A551" s="107"/>
      <c r="B551" s="107"/>
      <c r="C551" s="107"/>
      <c r="D551" s="107"/>
      <c r="E551" s="107"/>
      <c r="F551" s="107"/>
    </row>
    <row r="552" spans="1:6" ht="13">
      <c r="A552" s="107"/>
      <c r="B552" s="107"/>
      <c r="C552" s="107"/>
      <c r="D552" s="107"/>
      <c r="E552" s="107"/>
      <c r="F552" s="107"/>
    </row>
    <row r="553" spans="1:6" ht="13">
      <c r="A553" s="107"/>
      <c r="B553" s="107"/>
      <c r="C553" s="107"/>
      <c r="D553" s="107"/>
      <c r="E553" s="107"/>
      <c r="F553" s="107"/>
    </row>
    <row r="554" spans="1:6" ht="13">
      <c r="A554" s="107"/>
      <c r="B554" s="107"/>
      <c r="C554" s="107"/>
      <c r="D554" s="107"/>
      <c r="E554" s="107"/>
      <c r="F554" s="107"/>
    </row>
    <row r="555" spans="1:6" ht="13">
      <c r="A555" s="107"/>
      <c r="B555" s="107"/>
      <c r="C555" s="107"/>
      <c r="D555" s="107"/>
      <c r="E555" s="107"/>
      <c r="F555" s="107"/>
    </row>
    <row r="556" spans="1:6" ht="13">
      <c r="A556" s="107"/>
      <c r="B556" s="107"/>
      <c r="C556" s="107"/>
      <c r="D556" s="107"/>
      <c r="E556" s="107"/>
      <c r="F556" s="107"/>
    </row>
    <row r="557" spans="1:6" ht="13">
      <c r="A557" s="107"/>
      <c r="B557" s="107"/>
      <c r="C557" s="107"/>
      <c r="D557" s="107"/>
      <c r="E557" s="107"/>
      <c r="F557" s="107"/>
    </row>
    <row r="558" spans="1:6" ht="13">
      <c r="A558" s="107"/>
      <c r="B558" s="107"/>
      <c r="C558" s="107"/>
      <c r="D558" s="107"/>
      <c r="E558" s="107"/>
      <c r="F558" s="107"/>
    </row>
    <row r="559" spans="1:6" ht="13">
      <c r="A559" s="107"/>
      <c r="B559" s="107"/>
      <c r="C559" s="107"/>
      <c r="D559" s="107"/>
      <c r="E559" s="107"/>
      <c r="F559" s="107"/>
    </row>
    <row r="560" spans="1:6" ht="13">
      <c r="A560" s="107"/>
      <c r="B560" s="107"/>
      <c r="C560" s="107"/>
      <c r="D560" s="107"/>
      <c r="E560" s="107"/>
      <c r="F560" s="107"/>
    </row>
    <row r="561" spans="1:6" ht="13">
      <c r="A561" s="107"/>
      <c r="B561" s="107"/>
      <c r="C561" s="107"/>
      <c r="D561" s="107"/>
      <c r="E561" s="107"/>
      <c r="F561" s="107"/>
    </row>
    <row r="562" spans="1:6" ht="13">
      <c r="A562" s="107"/>
      <c r="B562" s="107"/>
      <c r="C562" s="107"/>
      <c r="D562" s="107"/>
      <c r="E562" s="107"/>
      <c r="F562" s="107"/>
    </row>
    <row r="563" spans="1:6" ht="13">
      <c r="A563" s="107"/>
      <c r="B563" s="107"/>
      <c r="C563" s="107"/>
      <c r="D563" s="107"/>
      <c r="E563" s="107"/>
      <c r="F563" s="107"/>
    </row>
    <row r="564" spans="1:6" ht="13">
      <c r="A564" s="107"/>
      <c r="B564" s="107"/>
      <c r="C564" s="107"/>
      <c r="D564" s="107"/>
      <c r="E564" s="107"/>
      <c r="F564" s="107"/>
    </row>
    <row r="565" spans="1:6" ht="13">
      <c r="A565" s="107"/>
      <c r="B565" s="107"/>
      <c r="C565" s="107"/>
      <c r="D565" s="107"/>
      <c r="E565" s="107"/>
      <c r="F565" s="107"/>
    </row>
    <row r="566" spans="1:6" ht="13">
      <c r="A566" s="107"/>
      <c r="B566" s="107"/>
      <c r="C566" s="107"/>
      <c r="D566" s="107"/>
      <c r="E566" s="107"/>
      <c r="F566" s="107"/>
    </row>
    <row r="567" spans="1:6" ht="13">
      <c r="A567" s="107"/>
      <c r="B567" s="107"/>
      <c r="C567" s="107"/>
      <c r="D567" s="107"/>
      <c r="E567" s="107"/>
      <c r="F567" s="107"/>
    </row>
    <row r="568" spans="1:6" ht="13">
      <c r="A568" s="107"/>
      <c r="B568" s="107"/>
      <c r="C568" s="107"/>
      <c r="D568" s="107"/>
      <c r="E568" s="107"/>
      <c r="F568" s="107"/>
    </row>
    <row r="569" spans="1:6" ht="13">
      <c r="A569" s="107"/>
      <c r="B569" s="107"/>
      <c r="C569" s="107"/>
      <c r="D569" s="107"/>
      <c r="E569" s="107"/>
      <c r="F569" s="107"/>
    </row>
    <row r="570" spans="1:6" ht="13">
      <c r="A570" s="107"/>
      <c r="B570" s="107"/>
      <c r="C570" s="107"/>
      <c r="D570" s="107"/>
      <c r="E570" s="107"/>
      <c r="F570" s="107"/>
    </row>
    <row r="571" spans="1:6" ht="13">
      <c r="A571" s="107"/>
      <c r="B571" s="107"/>
      <c r="C571" s="107"/>
      <c r="D571" s="107"/>
      <c r="E571" s="107"/>
      <c r="F571" s="107"/>
    </row>
    <row r="572" spans="1:6" ht="13">
      <c r="A572" s="107"/>
      <c r="B572" s="107"/>
      <c r="C572" s="107"/>
      <c r="D572" s="107"/>
      <c r="E572" s="107"/>
      <c r="F572" s="107"/>
    </row>
    <row r="573" spans="1:6" ht="13">
      <c r="A573" s="107"/>
      <c r="B573" s="107"/>
      <c r="C573" s="107"/>
      <c r="D573" s="107"/>
      <c r="E573" s="107"/>
      <c r="F573" s="107"/>
    </row>
    <row r="574" spans="1:6" ht="13">
      <c r="A574" s="107"/>
      <c r="B574" s="107"/>
      <c r="C574" s="107"/>
      <c r="D574" s="107"/>
      <c r="E574" s="107"/>
      <c r="F574" s="107"/>
    </row>
    <row r="575" spans="1:6" ht="13">
      <c r="A575" s="107"/>
      <c r="B575" s="107"/>
      <c r="C575" s="107"/>
      <c r="D575" s="107"/>
      <c r="E575" s="107"/>
      <c r="F575" s="107"/>
    </row>
    <row r="576" spans="1:6" ht="13">
      <c r="A576" s="107"/>
      <c r="B576" s="107"/>
      <c r="C576" s="107"/>
      <c r="D576" s="107"/>
      <c r="E576" s="107"/>
      <c r="F576" s="107"/>
    </row>
    <row r="577" spans="1:6" ht="13">
      <c r="A577" s="107"/>
      <c r="B577" s="107"/>
      <c r="C577" s="107"/>
      <c r="D577" s="107"/>
      <c r="E577" s="107"/>
      <c r="F577" s="107"/>
    </row>
    <row r="578" spans="1:6" ht="13">
      <c r="A578" s="107"/>
      <c r="B578" s="107"/>
      <c r="C578" s="107"/>
      <c r="D578" s="107"/>
      <c r="E578" s="107"/>
      <c r="F578" s="107"/>
    </row>
    <row r="579" spans="1:6" ht="13">
      <c r="A579" s="107"/>
      <c r="B579" s="107"/>
      <c r="C579" s="107"/>
      <c r="D579" s="107"/>
      <c r="E579" s="107"/>
      <c r="F579" s="107"/>
    </row>
    <row r="580" spans="1:6" ht="13">
      <c r="A580" s="107"/>
      <c r="B580" s="107"/>
      <c r="C580" s="107"/>
      <c r="D580" s="107"/>
      <c r="E580" s="107"/>
      <c r="F580" s="107"/>
    </row>
    <row r="581" spans="1:6" ht="13">
      <c r="A581" s="107"/>
      <c r="B581" s="107"/>
      <c r="C581" s="107"/>
      <c r="D581" s="107"/>
      <c r="E581" s="107"/>
      <c r="F581" s="107"/>
    </row>
    <row r="582" spans="1:6" ht="13">
      <c r="A582" s="107"/>
      <c r="B582" s="107"/>
      <c r="C582" s="107"/>
      <c r="D582" s="107"/>
      <c r="E582" s="107"/>
      <c r="F582" s="107"/>
    </row>
    <row r="583" spans="1:6" ht="13">
      <c r="A583" s="107"/>
      <c r="B583" s="107"/>
      <c r="C583" s="107"/>
      <c r="D583" s="107"/>
      <c r="E583" s="107"/>
      <c r="F583" s="107"/>
    </row>
    <row r="584" spans="1:6" ht="13">
      <c r="A584" s="107"/>
      <c r="B584" s="107"/>
      <c r="C584" s="107"/>
      <c r="D584" s="107"/>
      <c r="E584" s="107"/>
      <c r="F584" s="107"/>
    </row>
    <row r="585" spans="1:6" ht="13">
      <c r="A585" s="107"/>
      <c r="B585" s="107"/>
      <c r="C585" s="107"/>
      <c r="D585" s="107"/>
      <c r="E585" s="107"/>
      <c r="F585" s="107"/>
    </row>
    <row r="586" spans="1:6" ht="13">
      <c r="A586" s="107"/>
      <c r="B586" s="107"/>
      <c r="C586" s="107"/>
      <c r="D586" s="107"/>
      <c r="E586" s="107"/>
      <c r="F586" s="107"/>
    </row>
    <row r="587" spans="1:6" ht="13">
      <c r="A587" s="107"/>
      <c r="B587" s="107"/>
      <c r="C587" s="107"/>
      <c r="D587" s="107"/>
      <c r="E587" s="107"/>
      <c r="F587" s="107"/>
    </row>
    <row r="588" spans="1:6" ht="13">
      <c r="A588" s="107"/>
      <c r="B588" s="107"/>
      <c r="C588" s="107"/>
      <c r="D588" s="107"/>
      <c r="E588" s="107"/>
      <c r="F588" s="107"/>
    </row>
    <row r="589" spans="1:6" ht="13">
      <c r="A589" s="107"/>
      <c r="B589" s="107"/>
      <c r="C589" s="107"/>
      <c r="D589" s="107"/>
      <c r="E589" s="107"/>
      <c r="F589" s="107"/>
    </row>
    <row r="590" spans="1:6" ht="13">
      <c r="A590" s="107"/>
      <c r="B590" s="107"/>
      <c r="C590" s="107"/>
      <c r="D590" s="107"/>
      <c r="E590" s="107"/>
      <c r="F590" s="107"/>
    </row>
    <row r="591" spans="1:6" ht="13">
      <c r="A591" s="107"/>
      <c r="B591" s="107"/>
      <c r="C591" s="107"/>
      <c r="D591" s="107"/>
      <c r="E591" s="107"/>
      <c r="F591" s="107"/>
    </row>
    <row r="592" spans="1:6" ht="13">
      <c r="A592" s="107"/>
      <c r="B592" s="107"/>
      <c r="C592" s="107"/>
      <c r="D592" s="107"/>
      <c r="E592" s="107"/>
      <c r="F592" s="107"/>
    </row>
    <row r="593" spans="1:6" ht="13">
      <c r="A593" s="107"/>
      <c r="B593" s="107"/>
      <c r="C593" s="107"/>
      <c r="D593" s="107"/>
      <c r="E593" s="107"/>
      <c r="F593" s="107"/>
    </row>
    <row r="594" spans="1:6" ht="13">
      <c r="A594" s="107"/>
      <c r="B594" s="107"/>
      <c r="C594" s="107"/>
      <c r="D594" s="107"/>
      <c r="E594" s="107"/>
      <c r="F594" s="107"/>
    </row>
    <row r="595" spans="1:6" ht="13">
      <c r="A595" s="107"/>
      <c r="B595" s="107"/>
      <c r="C595" s="107"/>
      <c r="D595" s="107"/>
      <c r="E595" s="107"/>
      <c r="F595" s="107"/>
    </row>
    <row r="596" spans="1:6" ht="13">
      <c r="A596" s="107"/>
      <c r="B596" s="107"/>
      <c r="C596" s="107"/>
      <c r="D596" s="107"/>
      <c r="E596" s="107"/>
      <c r="F596" s="107"/>
    </row>
    <row r="597" spans="1:6" ht="13">
      <c r="A597" s="107"/>
      <c r="B597" s="107"/>
      <c r="C597" s="107"/>
      <c r="D597" s="107"/>
      <c r="E597" s="107"/>
      <c r="F597" s="107"/>
    </row>
    <row r="598" spans="1:6" ht="13">
      <c r="A598" s="107"/>
      <c r="B598" s="107"/>
      <c r="C598" s="107"/>
      <c r="D598" s="107"/>
      <c r="E598" s="107"/>
      <c r="F598" s="107"/>
    </row>
    <row r="599" spans="1:6" ht="13">
      <c r="A599" s="107"/>
      <c r="B599" s="107"/>
      <c r="C599" s="107"/>
      <c r="D599" s="107"/>
      <c r="E599" s="107"/>
      <c r="F599" s="107"/>
    </row>
    <row r="600" spans="1:6" ht="13">
      <c r="A600" s="107"/>
      <c r="B600" s="107"/>
      <c r="C600" s="107"/>
      <c r="D600" s="107"/>
      <c r="E600" s="107"/>
      <c r="F600" s="107"/>
    </row>
    <row r="601" spans="1:6" ht="13">
      <c r="A601" s="107"/>
      <c r="B601" s="107"/>
      <c r="C601" s="107"/>
      <c r="D601" s="107"/>
      <c r="E601" s="107"/>
      <c r="F601" s="107"/>
    </row>
    <row r="602" spans="1:6" ht="13">
      <c r="A602" s="107"/>
      <c r="B602" s="107"/>
      <c r="C602" s="107"/>
      <c r="D602" s="107"/>
      <c r="E602" s="107"/>
      <c r="F602" s="107"/>
    </row>
    <row r="603" spans="1:6" ht="13">
      <c r="A603" s="107"/>
      <c r="B603" s="107"/>
      <c r="C603" s="107"/>
      <c r="D603" s="107"/>
      <c r="E603" s="107"/>
      <c r="F603" s="107"/>
    </row>
    <row r="604" spans="1:6" ht="13">
      <c r="A604" s="107"/>
      <c r="B604" s="107"/>
      <c r="C604" s="107"/>
      <c r="D604" s="107"/>
      <c r="E604" s="107"/>
      <c r="F604" s="107"/>
    </row>
    <row r="605" spans="1:6" ht="13">
      <c r="A605" s="107"/>
      <c r="B605" s="107"/>
      <c r="C605" s="107"/>
      <c r="D605" s="107"/>
      <c r="E605" s="107"/>
      <c r="F605" s="107"/>
    </row>
    <row r="606" spans="1:6" ht="13">
      <c r="A606" s="107"/>
      <c r="B606" s="107"/>
      <c r="C606" s="107"/>
      <c r="D606" s="107"/>
      <c r="E606" s="107"/>
      <c r="F606" s="107"/>
    </row>
    <row r="607" spans="1:6" ht="13">
      <c r="A607" s="107"/>
      <c r="B607" s="107"/>
      <c r="C607" s="107"/>
      <c r="D607" s="107"/>
      <c r="E607" s="107"/>
      <c r="F607" s="107"/>
    </row>
    <row r="608" spans="1:6" ht="13">
      <c r="A608" s="107"/>
      <c r="B608" s="107"/>
      <c r="C608" s="107"/>
      <c r="D608" s="107"/>
      <c r="E608" s="107"/>
      <c r="F608" s="107"/>
    </row>
    <row r="609" spans="1:6" ht="13">
      <c r="A609" s="107"/>
      <c r="B609" s="107"/>
      <c r="C609" s="107"/>
      <c r="D609" s="107"/>
      <c r="E609" s="107"/>
      <c r="F609" s="107"/>
    </row>
    <row r="610" spans="1:6" ht="13">
      <c r="A610" s="107"/>
      <c r="B610" s="107"/>
      <c r="C610" s="107"/>
      <c r="D610" s="107"/>
      <c r="E610" s="107"/>
      <c r="F610" s="107"/>
    </row>
    <row r="611" spans="1:6" ht="13">
      <c r="A611" s="107"/>
      <c r="B611" s="107"/>
      <c r="C611" s="107"/>
      <c r="D611" s="107"/>
      <c r="E611" s="107"/>
      <c r="F611" s="107"/>
    </row>
    <row r="612" spans="1:6" ht="13">
      <c r="A612" s="107"/>
      <c r="B612" s="107"/>
      <c r="C612" s="107"/>
      <c r="D612" s="107"/>
      <c r="E612" s="107"/>
      <c r="F612" s="107"/>
    </row>
    <row r="613" spans="1:6" ht="13">
      <c r="A613" s="107"/>
      <c r="B613" s="107"/>
      <c r="C613" s="107"/>
      <c r="D613" s="107"/>
      <c r="E613" s="107"/>
      <c r="F613" s="107"/>
    </row>
    <row r="614" spans="1:6" ht="13">
      <c r="A614" s="107"/>
      <c r="B614" s="107"/>
      <c r="C614" s="107"/>
      <c r="D614" s="107"/>
      <c r="E614" s="107"/>
      <c r="F614" s="107"/>
    </row>
    <row r="615" spans="1:6" ht="13">
      <c r="A615" s="107"/>
      <c r="B615" s="107"/>
      <c r="C615" s="107"/>
      <c r="D615" s="107"/>
      <c r="E615" s="107"/>
      <c r="F615" s="107"/>
    </row>
    <row r="616" spans="1:6" ht="13">
      <c r="A616" s="107"/>
      <c r="B616" s="107"/>
      <c r="C616" s="107"/>
      <c r="D616" s="107"/>
      <c r="E616" s="107"/>
      <c r="F616" s="107"/>
    </row>
    <row r="617" spans="1:6" ht="13">
      <c r="A617" s="107"/>
      <c r="B617" s="107"/>
      <c r="C617" s="107"/>
      <c r="D617" s="107"/>
      <c r="E617" s="107"/>
      <c r="F617" s="107"/>
    </row>
    <row r="618" spans="1:6" ht="13">
      <c r="A618" s="107"/>
      <c r="B618" s="107"/>
      <c r="C618" s="107"/>
      <c r="D618" s="107"/>
      <c r="E618" s="107"/>
      <c r="F618" s="107"/>
    </row>
    <row r="619" spans="1:6" ht="13">
      <c r="A619" s="107"/>
      <c r="B619" s="107"/>
      <c r="C619" s="107"/>
      <c r="D619" s="107"/>
      <c r="E619" s="107"/>
      <c r="F619" s="107"/>
    </row>
    <row r="620" spans="1:6" ht="13">
      <c r="A620" s="107"/>
      <c r="B620" s="107"/>
      <c r="C620" s="107"/>
      <c r="D620" s="107"/>
      <c r="E620" s="107"/>
      <c r="F620" s="107"/>
    </row>
    <row r="621" spans="1:6" ht="13">
      <c r="A621" s="107"/>
      <c r="B621" s="107"/>
      <c r="C621" s="107"/>
      <c r="D621" s="107"/>
      <c r="E621" s="107"/>
      <c r="F621" s="107"/>
    </row>
    <row r="622" spans="1:6" ht="13">
      <c r="A622" s="107"/>
      <c r="B622" s="107"/>
      <c r="C622" s="107"/>
      <c r="D622" s="107"/>
      <c r="E622" s="107"/>
      <c r="F622" s="107"/>
    </row>
    <row r="623" spans="1:6" ht="13">
      <c r="A623" s="107"/>
      <c r="B623" s="107"/>
      <c r="C623" s="107"/>
      <c r="D623" s="107"/>
      <c r="E623" s="107"/>
      <c r="F623" s="107"/>
    </row>
    <row r="624" spans="1:6" ht="13">
      <c r="A624" s="107"/>
      <c r="B624" s="107"/>
      <c r="C624" s="107"/>
      <c r="D624" s="107"/>
      <c r="E624" s="107"/>
      <c r="F624" s="107"/>
    </row>
    <row r="625" spans="1:6" ht="13">
      <c r="A625" s="107"/>
      <c r="B625" s="107"/>
      <c r="C625" s="107"/>
      <c r="D625" s="107"/>
      <c r="E625" s="107"/>
      <c r="F625" s="107"/>
    </row>
    <row r="626" spans="1:6" ht="13">
      <c r="A626" s="107"/>
      <c r="B626" s="107"/>
      <c r="C626" s="107"/>
      <c r="D626" s="107"/>
      <c r="E626" s="107"/>
      <c r="F626" s="107"/>
    </row>
    <row r="627" spans="1:6" ht="13">
      <c r="A627" s="107"/>
      <c r="B627" s="107"/>
      <c r="C627" s="107"/>
      <c r="D627" s="107"/>
      <c r="E627" s="107"/>
      <c r="F627" s="107"/>
    </row>
    <row r="628" spans="1:6" ht="13">
      <c r="A628" s="107"/>
      <c r="B628" s="107"/>
      <c r="C628" s="107"/>
      <c r="D628" s="107"/>
      <c r="E628" s="107"/>
      <c r="F628" s="107"/>
    </row>
    <row r="629" spans="1:6" ht="13">
      <c r="A629" s="107"/>
      <c r="B629" s="107"/>
      <c r="C629" s="107"/>
      <c r="D629" s="107"/>
      <c r="E629" s="107"/>
      <c r="F629" s="107"/>
    </row>
    <row r="630" spans="1:6" ht="13">
      <c r="A630" s="107"/>
      <c r="B630" s="107"/>
      <c r="C630" s="107"/>
      <c r="D630" s="107"/>
      <c r="E630" s="107"/>
      <c r="F630" s="107"/>
    </row>
    <row r="631" spans="1:6" ht="13">
      <c r="A631" s="107"/>
      <c r="B631" s="107"/>
      <c r="C631" s="107"/>
      <c r="D631" s="107"/>
      <c r="E631" s="107"/>
      <c r="F631" s="107"/>
    </row>
    <row r="632" spans="1:6" ht="13">
      <c r="A632" s="107"/>
      <c r="B632" s="107"/>
      <c r="C632" s="107"/>
      <c r="D632" s="107"/>
      <c r="E632" s="107"/>
      <c r="F632" s="107"/>
    </row>
    <row r="633" spans="1:6" ht="13">
      <c r="A633" s="107"/>
      <c r="B633" s="107"/>
      <c r="C633" s="107"/>
      <c r="D633" s="107"/>
      <c r="E633" s="107"/>
      <c r="F633" s="107"/>
    </row>
    <row r="634" spans="1:6" ht="13">
      <c r="A634" s="107"/>
      <c r="B634" s="107"/>
      <c r="C634" s="107"/>
      <c r="D634" s="107"/>
      <c r="E634" s="107"/>
      <c r="F634" s="107"/>
    </row>
    <row r="635" spans="1:6" ht="13">
      <c r="A635" s="107"/>
      <c r="B635" s="107"/>
      <c r="C635" s="107"/>
      <c r="D635" s="107"/>
      <c r="E635" s="107"/>
      <c r="F635" s="107"/>
    </row>
    <row r="636" spans="1:6" ht="13">
      <c r="A636" s="107"/>
      <c r="B636" s="107"/>
      <c r="C636" s="107"/>
      <c r="D636" s="107"/>
      <c r="E636" s="107"/>
      <c r="F636" s="107"/>
    </row>
    <row r="637" spans="1:6" ht="13">
      <c r="A637" s="107"/>
      <c r="B637" s="107"/>
      <c r="C637" s="107"/>
      <c r="D637" s="107"/>
      <c r="E637" s="107"/>
      <c r="F637" s="107"/>
    </row>
    <row r="638" spans="1:6" ht="13">
      <c r="A638" s="107"/>
      <c r="B638" s="107"/>
      <c r="C638" s="107"/>
      <c r="D638" s="107"/>
      <c r="E638" s="107"/>
      <c r="F638" s="107"/>
    </row>
    <row r="639" spans="1:6" ht="13">
      <c r="A639" s="107"/>
      <c r="B639" s="107"/>
      <c r="C639" s="107"/>
      <c r="D639" s="107"/>
      <c r="E639" s="107"/>
      <c r="F639" s="107"/>
    </row>
    <row r="640" spans="1:6" ht="13">
      <c r="A640" s="107"/>
      <c r="B640" s="107"/>
      <c r="C640" s="107"/>
      <c r="D640" s="107"/>
      <c r="E640" s="107"/>
      <c r="F640" s="107"/>
    </row>
    <row r="641" spans="1:6" ht="13">
      <c r="A641" s="107"/>
      <c r="B641" s="107"/>
      <c r="C641" s="107"/>
      <c r="D641" s="107"/>
      <c r="E641" s="107"/>
      <c r="F641" s="107"/>
    </row>
    <row r="642" spans="1:6" ht="13">
      <c r="A642" s="107"/>
      <c r="B642" s="107"/>
      <c r="C642" s="107"/>
      <c r="D642" s="107"/>
      <c r="E642" s="107"/>
      <c r="F642" s="107"/>
    </row>
    <row r="643" spans="1:6" ht="13">
      <c r="A643" s="107"/>
      <c r="B643" s="107"/>
      <c r="C643" s="107"/>
      <c r="D643" s="107"/>
      <c r="E643" s="107"/>
      <c r="F643" s="107"/>
    </row>
    <row r="644" spans="1:6" ht="13">
      <c r="A644" s="107"/>
      <c r="B644" s="107"/>
      <c r="C644" s="107"/>
      <c r="D644" s="107"/>
      <c r="E644" s="107"/>
      <c r="F644" s="107"/>
    </row>
    <row r="645" spans="1:6" ht="13">
      <c r="A645" s="107"/>
      <c r="B645" s="107"/>
      <c r="C645" s="107"/>
      <c r="D645" s="107"/>
      <c r="E645" s="107"/>
      <c r="F645" s="107"/>
    </row>
    <row r="646" spans="1:6" ht="13">
      <c r="A646" s="107"/>
      <c r="B646" s="107"/>
      <c r="C646" s="107"/>
      <c r="D646" s="107"/>
      <c r="E646" s="107"/>
      <c r="F646" s="107"/>
    </row>
    <row r="647" spans="1:6" ht="13">
      <c r="A647" s="107"/>
      <c r="B647" s="107"/>
      <c r="C647" s="107"/>
      <c r="D647" s="107"/>
      <c r="E647" s="107"/>
      <c r="F647" s="107"/>
    </row>
    <row r="648" spans="1:6" ht="13">
      <c r="A648" s="107"/>
      <c r="B648" s="107"/>
      <c r="C648" s="107"/>
      <c r="D648" s="107"/>
      <c r="E648" s="107"/>
      <c r="F648" s="107"/>
    </row>
    <row r="649" spans="1:6" ht="13">
      <c r="A649" s="107"/>
      <c r="B649" s="107"/>
      <c r="C649" s="107"/>
      <c r="D649" s="107"/>
      <c r="E649" s="107"/>
      <c r="F649" s="107"/>
    </row>
    <row r="650" spans="1:6" ht="13">
      <c r="A650" s="107"/>
      <c r="B650" s="107"/>
      <c r="C650" s="107"/>
      <c r="D650" s="107"/>
      <c r="E650" s="107"/>
      <c r="F650" s="107"/>
    </row>
    <row r="651" spans="1:6" ht="13">
      <c r="A651" s="107"/>
      <c r="B651" s="107"/>
      <c r="C651" s="107"/>
      <c r="D651" s="107"/>
      <c r="E651" s="107"/>
      <c r="F651" s="107"/>
    </row>
    <row r="652" spans="1:6" ht="13">
      <c r="A652" s="107"/>
      <c r="B652" s="107"/>
      <c r="C652" s="107"/>
      <c r="D652" s="107"/>
      <c r="E652" s="107"/>
      <c r="F652" s="107"/>
    </row>
    <row r="653" spans="1:6" ht="13">
      <c r="A653" s="107"/>
      <c r="B653" s="107"/>
      <c r="C653" s="107"/>
      <c r="D653" s="107"/>
      <c r="E653" s="107"/>
      <c r="F653" s="107"/>
    </row>
    <row r="654" spans="1:6" ht="13">
      <c r="A654" s="107"/>
      <c r="B654" s="107"/>
      <c r="C654" s="107"/>
      <c r="D654" s="107"/>
      <c r="E654" s="107"/>
      <c r="F654" s="107"/>
    </row>
    <row r="655" spans="1:6" ht="13">
      <c r="A655" s="107"/>
      <c r="B655" s="107"/>
      <c r="C655" s="107"/>
      <c r="D655" s="107"/>
      <c r="E655" s="107"/>
      <c r="F655" s="107"/>
    </row>
    <row r="656" spans="1:6" ht="13">
      <c r="A656" s="107"/>
      <c r="B656" s="107"/>
      <c r="C656" s="107"/>
      <c r="D656" s="107"/>
      <c r="E656" s="107"/>
      <c r="F656" s="107"/>
    </row>
    <row r="657" spans="1:6" ht="13">
      <c r="A657" s="107"/>
      <c r="B657" s="107"/>
      <c r="C657" s="107"/>
      <c r="D657" s="107"/>
      <c r="E657" s="107"/>
      <c r="F657" s="107"/>
    </row>
    <row r="658" spans="1:6" ht="13">
      <c r="A658" s="107"/>
      <c r="B658" s="107"/>
      <c r="C658" s="107"/>
      <c r="D658" s="107"/>
      <c r="E658" s="107"/>
      <c r="F658" s="107"/>
    </row>
    <row r="659" spans="1:6" ht="13">
      <c r="A659" s="107"/>
      <c r="B659" s="107"/>
      <c r="C659" s="107"/>
      <c r="D659" s="107"/>
      <c r="E659" s="107"/>
      <c r="F659" s="107"/>
    </row>
    <row r="660" spans="1:6" ht="13">
      <c r="A660" s="107"/>
      <c r="B660" s="107"/>
      <c r="C660" s="107"/>
      <c r="D660" s="107"/>
      <c r="E660" s="107"/>
      <c r="F660" s="107"/>
    </row>
    <row r="661" spans="1:6" ht="13">
      <c r="A661" s="107"/>
      <c r="B661" s="107"/>
      <c r="C661" s="107"/>
      <c r="D661" s="107"/>
      <c r="E661" s="107"/>
      <c r="F661" s="107"/>
    </row>
    <row r="662" spans="1:6" ht="13">
      <c r="A662" s="107"/>
      <c r="B662" s="107"/>
      <c r="C662" s="107"/>
      <c r="D662" s="107"/>
      <c r="E662" s="107"/>
      <c r="F662" s="107"/>
    </row>
    <row r="663" spans="1:6" ht="13">
      <c r="A663" s="107"/>
      <c r="B663" s="107"/>
      <c r="C663" s="107"/>
      <c r="D663" s="107"/>
      <c r="E663" s="107"/>
      <c r="F663" s="107"/>
    </row>
    <row r="664" spans="1:6" ht="13">
      <c r="A664" s="107"/>
      <c r="B664" s="107"/>
      <c r="C664" s="107"/>
      <c r="D664" s="107"/>
      <c r="E664" s="107"/>
      <c r="F664" s="107"/>
    </row>
    <row r="665" spans="1:6" ht="13">
      <c r="A665" s="107"/>
      <c r="B665" s="107"/>
      <c r="C665" s="107"/>
      <c r="D665" s="107"/>
      <c r="E665" s="107"/>
      <c r="F665" s="107"/>
    </row>
    <row r="666" spans="1:6" ht="13">
      <c r="A666" s="107"/>
      <c r="B666" s="107"/>
      <c r="C666" s="107"/>
      <c r="D666" s="107"/>
      <c r="E666" s="107"/>
      <c r="F666" s="107"/>
    </row>
    <row r="667" spans="1:6" ht="13">
      <c r="A667" s="107"/>
      <c r="B667" s="107"/>
      <c r="C667" s="107"/>
      <c r="D667" s="107"/>
      <c r="E667" s="107"/>
      <c r="F667" s="107"/>
    </row>
    <row r="668" spans="1:6" ht="13">
      <c r="A668" s="107"/>
      <c r="B668" s="107"/>
      <c r="C668" s="107"/>
      <c r="D668" s="107"/>
      <c r="E668" s="107"/>
      <c r="F668" s="107"/>
    </row>
    <row r="669" spans="1:6" ht="13">
      <c r="A669" s="107"/>
      <c r="B669" s="107"/>
      <c r="C669" s="107"/>
      <c r="D669" s="107"/>
      <c r="E669" s="107"/>
      <c r="F669" s="107"/>
    </row>
    <row r="670" spans="1:6" ht="13">
      <c r="A670" s="107"/>
      <c r="B670" s="107"/>
      <c r="C670" s="107"/>
      <c r="D670" s="107"/>
      <c r="E670" s="107"/>
      <c r="F670" s="107"/>
    </row>
    <row r="671" spans="1:6" ht="13">
      <c r="A671" s="107"/>
      <c r="B671" s="107"/>
      <c r="C671" s="107"/>
      <c r="D671" s="107"/>
      <c r="E671" s="107"/>
      <c r="F671" s="107"/>
    </row>
    <row r="672" spans="1:6" ht="13">
      <c r="A672" s="107"/>
      <c r="B672" s="107"/>
      <c r="C672" s="107"/>
      <c r="D672" s="107"/>
      <c r="E672" s="107"/>
      <c r="F672" s="107"/>
    </row>
    <row r="673" spans="1:6" ht="13">
      <c r="A673" s="107"/>
      <c r="B673" s="107"/>
      <c r="C673" s="107"/>
      <c r="D673" s="107"/>
      <c r="E673" s="107"/>
      <c r="F673" s="107"/>
    </row>
    <row r="674" spans="1:6" ht="13">
      <c r="A674" s="107"/>
      <c r="B674" s="107"/>
      <c r="C674" s="107"/>
      <c r="D674" s="107"/>
      <c r="E674" s="107"/>
      <c r="F674" s="107"/>
    </row>
    <row r="675" spans="1:6" ht="13">
      <c r="A675" s="107"/>
      <c r="B675" s="107"/>
      <c r="C675" s="107"/>
      <c r="D675" s="107"/>
      <c r="E675" s="107"/>
      <c r="F675" s="107"/>
    </row>
    <row r="676" spans="1:6" ht="13">
      <c r="A676" s="107"/>
      <c r="B676" s="107"/>
      <c r="C676" s="107"/>
      <c r="D676" s="107"/>
      <c r="E676" s="107"/>
      <c r="F676" s="107"/>
    </row>
    <row r="677" spans="1:6" ht="13">
      <c r="A677" s="107"/>
      <c r="B677" s="107"/>
      <c r="C677" s="107"/>
      <c r="D677" s="107"/>
      <c r="E677" s="107"/>
      <c r="F677" s="107"/>
    </row>
    <row r="678" spans="1:6" ht="13">
      <c r="A678" s="107"/>
      <c r="B678" s="107"/>
      <c r="C678" s="107"/>
      <c r="D678" s="107"/>
      <c r="E678" s="107"/>
      <c r="F678" s="107"/>
    </row>
    <row r="679" spans="1:6" ht="13">
      <c r="A679" s="107"/>
      <c r="B679" s="107"/>
      <c r="C679" s="107"/>
      <c r="D679" s="107"/>
      <c r="E679" s="107"/>
      <c r="F679" s="107"/>
    </row>
    <row r="680" spans="1:6" ht="13">
      <c r="A680" s="107"/>
      <c r="B680" s="107"/>
      <c r="C680" s="107"/>
      <c r="D680" s="107"/>
      <c r="E680" s="107"/>
      <c r="F680" s="107"/>
    </row>
    <row r="681" spans="1:6" ht="13">
      <c r="A681" s="107"/>
      <c r="B681" s="107"/>
      <c r="C681" s="107"/>
      <c r="D681" s="107"/>
      <c r="E681" s="107"/>
      <c r="F681" s="107"/>
    </row>
    <row r="682" spans="1:6" ht="13">
      <c r="A682" s="107"/>
      <c r="B682" s="107"/>
      <c r="C682" s="107"/>
      <c r="D682" s="107"/>
      <c r="E682" s="107"/>
      <c r="F682" s="107"/>
    </row>
    <row r="683" spans="1:6" ht="13">
      <c r="A683" s="107"/>
      <c r="B683" s="107"/>
      <c r="C683" s="107"/>
      <c r="D683" s="107"/>
      <c r="E683" s="107"/>
      <c r="F683" s="107"/>
    </row>
    <row r="684" spans="1:6" ht="13">
      <c r="A684" s="107"/>
      <c r="B684" s="107"/>
      <c r="C684" s="107"/>
      <c r="D684" s="107"/>
      <c r="E684" s="107"/>
      <c r="F684" s="107"/>
    </row>
    <row r="685" spans="1:6" ht="13">
      <c r="A685" s="107"/>
      <c r="B685" s="107"/>
      <c r="C685" s="107"/>
      <c r="D685" s="107"/>
      <c r="E685" s="107"/>
      <c r="F685" s="107"/>
    </row>
    <row r="686" spans="1:6" ht="13">
      <c r="A686" s="107"/>
      <c r="B686" s="107"/>
      <c r="C686" s="107"/>
      <c r="D686" s="107"/>
      <c r="E686" s="107"/>
      <c r="F686" s="107"/>
    </row>
    <row r="687" spans="1:6" ht="13">
      <c r="A687" s="107"/>
      <c r="B687" s="107"/>
      <c r="C687" s="107"/>
      <c r="D687" s="107"/>
      <c r="E687" s="107"/>
      <c r="F687" s="107"/>
    </row>
    <row r="688" spans="1:6" ht="13">
      <c r="A688" s="107"/>
      <c r="B688" s="107"/>
      <c r="C688" s="107"/>
      <c r="D688" s="107"/>
      <c r="E688" s="107"/>
      <c r="F688" s="107"/>
    </row>
    <row r="689" spans="1:6" ht="13">
      <c r="A689" s="107"/>
      <c r="B689" s="107"/>
      <c r="C689" s="107"/>
      <c r="D689" s="107"/>
      <c r="E689" s="107"/>
      <c r="F689" s="107"/>
    </row>
    <row r="690" spans="1:6" ht="13">
      <c r="A690" s="107"/>
      <c r="B690" s="107"/>
      <c r="C690" s="107"/>
      <c r="D690" s="107"/>
      <c r="E690" s="107"/>
      <c r="F690" s="107"/>
    </row>
    <row r="691" spans="1:6" ht="13">
      <c r="A691" s="107"/>
      <c r="B691" s="107"/>
      <c r="C691" s="107"/>
      <c r="D691" s="107"/>
      <c r="E691" s="107"/>
      <c r="F691" s="107"/>
    </row>
    <row r="692" spans="1:6" ht="13">
      <c r="A692" s="107"/>
      <c r="B692" s="107"/>
      <c r="C692" s="107"/>
      <c r="D692" s="107"/>
      <c r="E692" s="107"/>
      <c r="F692" s="107"/>
    </row>
    <row r="693" spans="1:6" ht="13">
      <c r="A693" s="107"/>
      <c r="B693" s="107"/>
      <c r="C693" s="107"/>
      <c r="D693" s="107"/>
      <c r="E693" s="107"/>
      <c r="F693" s="107"/>
    </row>
    <row r="694" spans="1:6" ht="13">
      <c r="A694" s="107"/>
      <c r="B694" s="107"/>
      <c r="C694" s="107"/>
      <c r="D694" s="107"/>
      <c r="E694" s="107"/>
      <c r="F694" s="107"/>
    </row>
    <row r="695" spans="1:6" ht="13">
      <c r="A695" s="107"/>
      <c r="B695" s="107"/>
      <c r="C695" s="107"/>
      <c r="D695" s="107"/>
      <c r="E695" s="107"/>
      <c r="F695" s="107"/>
    </row>
    <row r="696" spans="1:6" ht="13">
      <c r="A696" s="107"/>
      <c r="B696" s="107"/>
      <c r="C696" s="107"/>
      <c r="D696" s="107"/>
      <c r="E696" s="107"/>
      <c r="F696" s="107"/>
    </row>
    <row r="697" spans="1:6" ht="13">
      <c r="A697" s="107"/>
      <c r="B697" s="107"/>
      <c r="C697" s="107"/>
      <c r="D697" s="107"/>
      <c r="E697" s="107"/>
      <c r="F697" s="107"/>
    </row>
    <row r="698" spans="1:6" ht="13">
      <c r="A698" s="107"/>
      <c r="B698" s="107"/>
      <c r="C698" s="107"/>
      <c r="D698" s="107"/>
      <c r="E698" s="107"/>
      <c r="F698" s="107"/>
    </row>
    <row r="699" spans="1:6" ht="13">
      <c r="A699" s="107"/>
      <c r="B699" s="107"/>
      <c r="C699" s="107"/>
      <c r="D699" s="107"/>
      <c r="E699" s="107"/>
      <c r="F699" s="107"/>
    </row>
    <row r="700" spans="1:6" ht="13">
      <c r="A700" s="107"/>
      <c r="B700" s="107"/>
      <c r="C700" s="107"/>
      <c r="D700" s="107"/>
      <c r="E700" s="107"/>
      <c r="F700" s="107"/>
    </row>
    <row r="701" spans="1:6" ht="13">
      <c r="A701" s="107"/>
      <c r="B701" s="107"/>
      <c r="C701" s="107"/>
      <c r="D701" s="107"/>
      <c r="E701" s="107"/>
      <c r="F701" s="107"/>
    </row>
    <row r="702" spans="1:6" ht="13">
      <c r="A702" s="107"/>
      <c r="B702" s="107"/>
      <c r="C702" s="107"/>
      <c r="D702" s="107"/>
      <c r="E702" s="107"/>
      <c r="F702" s="107"/>
    </row>
    <row r="703" spans="1:6" ht="13">
      <c r="A703" s="107"/>
      <c r="B703" s="107"/>
      <c r="C703" s="107"/>
      <c r="D703" s="107"/>
      <c r="E703" s="107"/>
      <c r="F703" s="107"/>
    </row>
    <row r="704" spans="1:6" ht="13">
      <c r="A704" s="107"/>
      <c r="B704" s="107"/>
      <c r="C704" s="107"/>
      <c r="D704" s="107"/>
      <c r="E704" s="107"/>
      <c r="F704" s="107"/>
    </row>
    <row r="705" spans="1:6" ht="13">
      <c r="A705" s="107"/>
      <c r="B705" s="107"/>
      <c r="C705" s="107"/>
      <c r="D705" s="107"/>
      <c r="E705" s="107"/>
      <c r="F705" s="107"/>
    </row>
    <row r="706" spans="1:6" ht="13">
      <c r="A706" s="107"/>
      <c r="B706" s="107"/>
      <c r="C706" s="107"/>
      <c r="D706" s="107"/>
      <c r="E706" s="107"/>
      <c r="F706" s="107"/>
    </row>
    <row r="707" spans="1:6" ht="13">
      <c r="A707" s="107"/>
      <c r="B707" s="107"/>
      <c r="C707" s="107"/>
      <c r="D707" s="107"/>
      <c r="E707" s="107"/>
      <c r="F707" s="107"/>
    </row>
    <row r="708" spans="1:6" ht="13">
      <c r="A708" s="107"/>
      <c r="B708" s="107"/>
      <c r="C708" s="107"/>
      <c r="D708" s="107"/>
      <c r="E708" s="107"/>
      <c r="F708" s="107"/>
    </row>
    <row r="709" spans="1:6" ht="13">
      <c r="A709" s="107"/>
      <c r="B709" s="107"/>
      <c r="C709" s="107"/>
      <c r="D709" s="107"/>
      <c r="E709" s="107"/>
      <c r="F709" s="107"/>
    </row>
    <row r="710" spans="1:6" ht="13">
      <c r="A710" s="107"/>
      <c r="B710" s="107"/>
      <c r="C710" s="107"/>
      <c r="D710" s="107"/>
      <c r="E710" s="107"/>
      <c r="F710" s="107"/>
    </row>
    <row r="711" spans="1:6" ht="13">
      <c r="A711" s="107"/>
      <c r="B711" s="107"/>
      <c r="C711" s="107"/>
      <c r="D711" s="107"/>
      <c r="E711" s="107"/>
      <c r="F711" s="107"/>
    </row>
    <row r="712" spans="1:6" ht="13">
      <c r="A712" s="107"/>
      <c r="B712" s="107"/>
      <c r="C712" s="107"/>
      <c r="D712" s="107"/>
      <c r="E712" s="107"/>
      <c r="F712" s="107"/>
    </row>
    <row r="713" spans="1:6" ht="13">
      <c r="A713" s="107"/>
      <c r="B713" s="107"/>
      <c r="C713" s="107"/>
      <c r="D713" s="107"/>
      <c r="E713" s="107"/>
      <c r="F713" s="107"/>
    </row>
    <row r="714" spans="1:6" ht="13">
      <c r="A714" s="107"/>
      <c r="B714" s="107"/>
      <c r="C714" s="107"/>
      <c r="D714" s="107"/>
      <c r="E714" s="107"/>
      <c r="F714" s="107"/>
    </row>
    <row r="715" spans="1:6" ht="13">
      <c r="A715" s="107"/>
      <c r="B715" s="107"/>
      <c r="C715" s="107"/>
      <c r="D715" s="107"/>
      <c r="E715" s="107"/>
      <c r="F715" s="107"/>
    </row>
    <row r="716" spans="1:6" ht="13">
      <c r="A716" s="107"/>
      <c r="B716" s="107"/>
      <c r="C716" s="107"/>
      <c r="D716" s="107"/>
      <c r="E716" s="107"/>
      <c r="F716" s="107"/>
    </row>
    <row r="717" spans="1:6" ht="13">
      <c r="A717" s="107"/>
      <c r="B717" s="107"/>
      <c r="C717" s="107"/>
      <c r="D717" s="107"/>
      <c r="E717" s="107"/>
      <c r="F717" s="107"/>
    </row>
    <row r="718" spans="1:6" ht="13">
      <c r="A718" s="107"/>
      <c r="B718" s="107"/>
      <c r="C718" s="107"/>
      <c r="D718" s="107"/>
      <c r="E718" s="107"/>
      <c r="F718" s="107"/>
    </row>
    <row r="719" spans="1:6" ht="13">
      <c r="A719" s="107"/>
      <c r="B719" s="107"/>
      <c r="C719" s="107"/>
      <c r="D719" s="107"/>
      <c r="E719" s="107"/>
      <c r="F719" s="107"/>
    </row>
    <row r="720" spans="1:6" ht="13">
      <c r="A720" s="107"/>
      <c r="B720" s="107"/>
      <c r="C720" s="107"/>
      <c r="D720" s="107"/>
      <c r="E720" s="107"/>
      <c r="F720" s="107"/>
    </row>
    <row r="721" spans="1:6" ht="13">
      <c r="A721" s="107"/>
      <c r="B721" s="107"/>
      <c r="C721" s="107"/>
      <c r="D721" s="107"/>
      <c r="E721" s="107"/>
      <c r="F721" s="107"/>
    </row>
    <row r="722" spans="1:6" ht="13">
      <c r="A722" s="107"/>
      <c r="B722" s="107"/>
      <c r="C722" s="107"/>
      <c r="D722" s="107"/>
      <c r="E722" s="107"/>
      <c r="F722" s="107"/>
    </row>
    <row r="723" spans="1:6" ht="13">
      <c r="A723" s="107"/>
      <c r="B723" s="107"/>
      <c r="C723" s="107"/>
      <c r="D723" s="107"/>
      <c r="E723" s="107"/>
      <c r="F723" s="107"/>
    </row>
    <row r="724" spans="1:6" ht="13">
      <c r="A724" s="107"/>
      <c r="B724" s="107"/>
      <c r="C724" s="107"/>
      <c r="D724" s="107"/>
      <c r="E724" s="107"/>
      <c r="F724" s="107"/>
    </row>
    <row r="725" spans="1:6" ht="13">
      <c r="A725" s="107"/>
      <c r="B725" s="107"/>
      <c r="C725" s="107"/>
      <c r="D725" s="107"/>
      <c r="E725" s="107"/>
      <c r="F725" s="107"/>
    </row>
    <row r="726" spans="1:6" ht="13">
      <c r="A726" s="107"/>
      <c r="B726" s="107"/>
      <c r="C726" s="107"/>
      <c r="D726" s="107"/>
      <c r="E726" s="107"/>
      <c r="F726" s="107"/>
    </row>
    <row r="727" spans="1:6" ht="13">
      <c r="A727" s="107"/>
      <c r="B727" s="107"/>
      <c r="C727" s="107"/>
      <c r="D727" s="107"/>
      <c r="E727" s="107"/>
      <c r="F727" s="107"/>
    </row>
    <row r="728" spans="1:6" ht="13">
      <c r="A728" s="107"/>
      <c r="B728" s="107"/>
      <c r="C728" s="107"/>
      <c r="D728" s="107"/>
      <c r="E728" s="107"/>
      <c r="F728" s="107"/>
    </row>
    <row r="729" spans="1:6" ht="13">
      <c r="A729" s="107"/>
      <c r="B729" s="107"/>
      <c r="C729" s="107"/>
      <c r="D729" s="107"/>
      <c r="E729" s="107"/>
      <c r="F729" s="107"/>
    </row>
    <row r="730" spans="1:6" ht="13">
      <c r="A730" s="107"/>
      <c r="B730" s="107"/>
      <c r="C730" s="107"/>
      <c r="D730" s="107"/>
      <c r="E730" s="107"/>
      <c r="F730" s="107"/>
    </row>
    <row r="731" spans="1:6" ht="13">
      <c r="A731" s="107"/>
      <c r="B731" s="107"/>
      <c r="C731" s="107"/>
      <c r="D731" s="107"/>
      <c r="E731" s="107"/>
      <c r="F731" s="107"/>
    </row>
    <row r="732" spans="1:6" ht="13">
      <c r="A732" s="107"/>
      <c r="B732" s="107"/>
      <c r="C732" s="107"/>
      <c r="D732" s="107"/>
      <c r="E732" s="107"/>
      <c r="F732" s="107"/>
    </row>
    <row r="733" spans="1:6" ht="13">
      <c r="A733" s="107"/>
      <c r="B733" s="107"/>
      <c r="C733" s="107"/>
      <c r="D733" s="107"/>
      <c r="E733" s="107"/>
      <c r="F733" s="107"/>
    </row>
    <row r="734" spans="1:6" ht="13">
      <c r="A734" s="107"/>
      <c r="B734" s="107"/>
      <c r="C734" s="107"/>
      <c r="D734" s="107"/>
      <c r="E734" s="107"/>
      <c r="F734" s="107"/>
    </row>
    <row r="735" spans="1:6" ht="13">
      <c r="A735" s="107"/>
      <c r="B735" s="107"/>
      <c r="C735" s="107"/>
      <c r="D735" s="107"/>
      <c r="E735" s="107"/>
      <c r="F735" s="107"/>
    </row>
    <row r="736" spans="1:6" ht="13">
      <c r="A736" s="107"/>
      <c r="B736" s="107"/>
      <c r="C736" s="107"/>
      <c r="D736" s="107"/>
      <c r="E736" s="107"/>
      <c r="F736" s="107"/>
    </row>
    <row r="737" spans="1:6" ht="13">
      <c r="A737" s="107"/>
      <c r="B737" s="107"/>
      <c r="C737" s="107"/>
      <c r="D737" s="107"/>
      <c r="E737" s="107"/>
      <c r="F737" s="107"/>
    </row>
    <row r="738" spans="1:6" ht="13">
      <c r="A738" s="107"/>
      <c r="B738" s="107"/>
      <c r="C738" s="107"/>
      <c r="D738" s="107"/>
      <c r="E738" s="107"/>
      <c r="F738" s="107"/>
    </row>
    <row r="739" spans="1:6" ht="13">
      <c r="A739" s="107"/>
      <c r="B739" s="107"/>
      <c r="C739" s="107"/>
      <c r="D739" s="107"/>
      <c r="E739" s="107"/>
      <c r="F739" s="107"/>
    </row>
    <row r="740" spans="1:6" ht="13">
      <c r="A740" s="107"/>
      <c r="B740" s="107"/>
      <c r="C740" s="107"/>
      <c r="D740" s="107"/>
      <c r="E740" s="107"/>
      <c r="F740" s="107"/>
    </row>
    <row r="741" spans="1:6" ht="13">
      <c r="A741" s="107"/>
      <c r="B741" s="107"/>
      <c r="C741" s="107"/>
      <c r="D741" s="107"/>
      <c r="E741" s="107"/>
      <c r="F741" s="107"/>
    </row>
    <row r="742" spans="1:6" ht="13">
      <c r="A742" s="107"/>
      <c r="B742" s="107"/>
      <c r="C742" s="107"/>
      <c r="D742" s="107"/>
      <c r="E742" s="107"/>
      <c r="F742" s="107"/>
    </row>
    <row r="743" spans="1:6" ht="13">
      <c r="A743" s="107"/>
      <c r="B743" s="107"/>
      <c r="C743" s="107"/>
      <c r="D743" s="107"/>
      <c r="E743" s="107"/>
      <c r="F743" s="107"/>
    </row>
    <row r="744" spans="1:6" ht="13">
      <c r="A744" s="107"/>
      <c r="B744" s="107"/>
      <c r="C744" s="107"/>
      <c r="D744" s="107"/>
      <c r="E744" s="107"/>
      <c r="F744" s="107"/>
    </row>
    <row r="745" spans="1:6" ht="13">
      <c r="A745" s="107"/>
      <c r="B745" s="107"/>
      <c r="C745" s="107"/>
      <c r="D745" s="107"/>
      <c r="E745" s="107"/>
      <c r="F745" s="107"/>
    </row>
    <row r="746" spans="1:6" ht="13">
      <c r="A746" s="107"/>
      <c r="B746" s="107"/>
      <c r="C746" s="107"/>
      <c r="D746" s="107"/>
      <c r="E746" s="107"/>
      <c r="F746" s="107"/>
    </row>
    <row r="747" spans="1:6" ht="13">
      <c r="A747" s="107"/>
      <c r="B747" s="107"/>
      <c r="C747" s="107"/>
      <c r="D747" s="107"/>
      <c r="E747" s="107"/>
      <c r="F747" s="107"/>
    </row>
    <row r="748" spans="1:6" ht="13">
      <c r="A748" s="107"/>
      <c r="B748" s="107"/>
      <c r="C748" s="107"/>
      <c r="D748" s="107"/>
      <c r="E748" s="107"/>
      <c r="F748" s="107"/>
    </row>
    <row r="749" spans="1:6" ht="13">
      <c r="A749" s="107"/>
      <c r="B749" s="107"/>
      <c r="C749" s="107"/>
      <c r="D749" s="107"/>
      <c r="E749" s="107"/>
      <c r="F749" s="107"/>
    </row>
    <row r="750" spans="1:6" ht="13">
      <c r="A750" s="107"/>
      <c r="B750" s="107"/>
      <c r="C750" s="107"/>
      <c r="D750" s="107"/>
      <c r="E750" s="107"/>
      <c r="F750" s="107"/>
    </row>
    <row r="751" spans="1:6" ht="13">
      <c r="A751" s="107"/>
      <c r="B751" s="107"/>
      <c r="C751" s="107"/>
      <c r="D751" s="107"/>
      <c r="E751" s="107"/>
      <c r="F751" s="107"/>
    </row>
    <row r="752" spans="1:6" ht="13">
      <c r="A752" s="107"/>
      <c r="B752" s="107"/>
      <c r="C752" s="107"/>
      <c r="D752" s="107"/>
      <c r="E752" s="107"/>
      <c r="F752" s="107"/>
    </row>
    <row r="753" spans="1:6" ht="13">
      <c r="A753" s="107"/>
      <c r="B753" s="107"/>
      <c r="C753" s="107"/>
      <c r="D753" s="107"/>
      <c r="E753" s="107"/>
      <c r="F753" s="107"/>
    </row>
    <row r="754" spans="1:6" ht="13">
      <c r="A754" s="107"/>
      <c r="B754" s="107"/>
      <c r="C754" s="107"/>
      <c r="D754" s="107"/>
      <c r="E754" s="107"/>
      <c r="F754" s="107"/>
    </row>
    <row r="755" spans="1:6" ht="13">
      <c r="A755" s="107"/>
      <c r="B755" s="107"/>
      <c r="C755" s="107"/>
      <c r="D755" s="107"/>
      <c r="E755" s="107"/>
      <c r="F755" s="107"/>
    </row>
    <row r="756" spans="1:6" ht="13">
      <c r="A756" s="107"/>
      <c r="B756" s="107"/>
      <c r="C756" s="107"/>
      <c r="D756" s="107"/>
      <c r="E756" s="107"/>
      <c r="F756" s="107"/>
    </row>
    <row r="757" spans="1:6" ht="13">
      <c r="A757" s="107"/>
      <c r="B757" s="107"/>
      <c r="C757" s="107"/>
      <c r="D757" s="107"/>
      <c r="E757" s="107"/>
      <c r="F757" s="107"/>
    </row>
    <row r="758" spans="1:6" ht="13">
      <c r="A758" s="107"/>
      <c r="B758" s="107"/>
      <c r="C758" s="107"/>
      <c r="D758" s="107"/>
      <c r="E758" s="107"/>
      <c r="F758" s="107"/>
    </row>
    <row r="759" spans="1:6" ht="13">
      <c r="A759" s="107"/>
      <c r="B759" s="107"/>
      <c r="C759" s="107"/>
      <c r="D759" s="107"/>
      <c r="E759" s="107"/>
      <c r="F759" s="107"/>
    </row>
    <row r="760" spans="1:6" ht="13">
      <c r="A760" s="107"/>
      <c r="B760" s="107"/>
      <c r="C760" s="107"/>
      <c r="D760" s="107"/>
      <c r="E760" s="107"/>
      <c r="F760" s="107"/>
    </row>
    <row r="761" spans="1:6" ht="13">
      <c r="A761" s="107"/>
      <c r="B761" s="107"/>
      <c r="C761" s="107"/>
      <c r="D761" s="107"/>
      <c r="E761" s="107"/>
      <c r="F761" s="107"/>
    </row>
    <row r="762" spans="1:6" ht="13">
      <c r="A762" s="107"/>
      <c r="B762" s="107"/>
      <c r="C762" s="107"/>
      <c r="D762" s="107"/>
      <c r="E762" s="107"/>
      <c r="F762" s="107"/>
    </row>
    <row r="763" spans="1:6" ht="13">
      <c r="A763" s="107"/>
      <c r="B763" s="107"/>
      <c r="C763" s="107"/>
      <c r="D763" s="107"/>
      <c r="E763" s="107"/>
      <c r="F763" s="107"/>
    </row>
    <row r="764" spans="1:6" ht="13">
      <c r="A764" s="107"/>
      <c r="B764" s="107"/>
      <c r="C764" s="107"/>
      <c r="D764" s="107"/>
      <c r="E764" s="107"/>
      <c r="F764" s="107"/>
    </row>
    <row r="765" spans="1:6" ht="13">
      <c r="A765" s="107"/>
      <c r="B765" s="107"/>
      <c r="C765" s="107"/>
      <c r="D765" s="107"/>
      <c r="E765" s="107"/>
      <c r="F765" s="107"/>
    </row>
    <row r="766" spans="1:6" ht="13">
      <c r="A766" s="107"/>
      <c r="B766" s="107"/>
      <c r="C766" s="107"/>
      <c r="D766" s="107"/>
      <c r="E766" s="107"/>
      <c r="F766" s="107"/>
    </row>
    <row r="767" spans="1:6" ht="13">
      <c r="A767" s="107"/>
      <c r="B767" s="107"/>
      <c r="C767" s="107"/>
      <c r="D767" s="107"/>
      <c r="E767" s="107"/>
      <c r="F767" s="107"/>
    </row>
    <row r="768" spans="1:6" ht="13">
      <c r="A768" s="107"/>
      <c r="B768" s="107"/>
      <c r="C768" s="107"/>
      <c r="D768" s="107"/>
      <c r="E768" s="107"/>
      <c r="F768" s="107"/>
    </row>
    <row r="769" spans="1:6" ht="13">
      <c r="A769" s="107"/>
      <c r="B769" s="107"/>
      <c r="C769" s="107"/>
      <c r="D769" s="107"/>
      <c r="E769" s="107"/>
      <c r="F769" s="107"/>
    </row>
    <row r="770" spans="1:6" ht="13">
      <c r="A770" s="107"/>
      <c r="B770" s="107"/>
      <c r="C770" s="107"/>
      <c r="D770" s="107"/>
      <c r="E770" s="107"/>
      <c r="F770" s="107"/>
    </row>
    <row r="771" spans="1:6" ht="13">
      <c r="A771" s="107"/>
      <c r="B771" s="107"/>
      <c r="C771" s="107"/>
      <c r="D771" s="107"/>
      <c r="E771" s="107"/>
      <c r="F771" s="107"/>
    </row>
    <row r="772" spans="1:6" ht="13">
      <c r="A772" s="107"/>
      <c r="B772" s="107"/>
      <c r="C772" s="107"/>
      <c r="D772" s="107"/>
      <c r="E772" s="107"/>
      <c r="F772" s="107"/>
    </row>
    <row r="773" spans="1:6" ht="13">
      <c r="A773" s="107"/>
      <c r="B773" s="107"/>
      <c r="C773" s="107"/>
      <c r="D773" s="107"/>
      <c r="E773" s="107"/>
      <c r="F773" s="107"/>
    </row>
    <row r="774" spans="1:6" ht="13">
      <c r="A774" s="107"/>
      <c r="B774" s="107"/>
      <c r="C774" s="107"/>
      <c r="D774" s="107"/>
      <c r="E774" s="107"/>
      <c r="F774" s="107"/>
    </row>
    <row r="775" spans="1:6" ht="13">
      <c r="A775" s="107"/>
      <c r="B775" s="107"/>
      <c r="C775" s="107"/>
      <c r="D775" s="107"/>
      <c r="E775" s="107"/>
      <c r="F775" s="107"/>
    </row>
    <row r="776" spans="1:6" ht="13">
      <c r="A776" s="107"/>
      <c r="B776" s="107"/>
      <c r="C776" s="107"/>
      <c r="D776" s="107"/>
      <c r="E776" s="107"/>
      <c r="F776" s="107"/>
    </row>
    <row r="777" spans="1:6" ht="13">
      <c r="A777" s="107"/>
      <c r="B777" s="107"/>
      <c r="C777" s="107"/>
      <c r="D777" s="107"/>
      <c r="E777" s="107"/>
      <c r="F777" s="107"/>
    </row>
    <row r="778" spans="1:6" ht="13">
      <c r="A778" s="107"/>
      <c r="B778" s="107"/>
      <c r="C778" s="107"/>
      <c r="D778" s="107"/>
      <c r="E778" s="107"/>
      <c r="F778" s="107"/>
    </row>
    <row r="779" spans="1:6" ht="13">
      <c r="A779" s="107"/>
      <c r="B779" s="107"/>
      <c r="C779" s="107"/>
      <c r="D779" s="107"/>
      <c r="E779" s="107"/>
      <c r="F779" s="107"/>
    </row>
    <row r="780" spans="1:6" ht="13">
      <c r="A780" s="107"/>
      <c r="B780" s="107"/>
      <c r="C780" s="107"/>
      <c r="D780" s="107"/>
      <c r="E780" s="107"/>
      <c r="F780" s="107"/>
    </row>
    <row r="781" spans="1:6" ht="13">
      <c r="A781" s="107"/>
      <c r="B781" s="107"/>
      <c r="C781" s="107"/>
      <c r="D781" s="107"/>
      <c r="E781" s="107"/>
      <c r="F781" s="107"/>
    </row>
    <row r="782" spans="1:6" ht="13">
      <c r="A782" s="107"/>
      <c r="B782" s="107"/>
      <c r="C782" s="107"/>
      <c r="D782" s="107"/>
      <c r="E782" s="107"/>
      <c r="F782" s="107"/>
    </row>
    <row r="783" spans="1:6" ht="13">
      <c r="A783" s="107"/>
      <c r="B783" s="107"/>
      <c r="C783" s="107"/>
      <c r="D783" s="107"/>
      <c r="E783" s="107"/>
      <c r="F783" s="107"/>
    </row>
    <row r="784" spans="1:6" ht="13">
      <c r="A784" s="107"/>
      <c r="B784" s="107"/>
      <c r="C784" s="107"/>
      <c r="D784" s="107"/>
      <c r="E784" s="107"/>
      <c r="F784" s="107"/>
    </row>
    <row r="785" spans="1:6" ht="13">
      <c r="A785" s="107"/>
      <c r="B785" s="107"/>
      <c r="C785" s="107"/>
      <c r="D785" s="107"/>
      <c r="E785" s="107"/>
      <c r="F785" s="107"/>
    </row>
    <row r="786" spans="1:6" ht="13">
      <c r="A786" s="107"/>
      <c r="B786" s="107"/>
      <c r="C786" s="107"/>
      <c r="D786" s="107"/>
      <c r="E786" s="107"/>
      <c r="F786" s="107"/>
    </row>
    <row r="787" spans="1:6" ht="13">
      <c r="A787" s="107"/>
      <c r="B787" s="107"/>
      <c r="C787" s="107"/>
      <c r="D787" s="107"/>
      <c r="E787" s="107"/>
      <c r="F787" s="107"/>
    </row>
    <row r="788" spans="1:6" ht="13">
      <c r="A788" s="107"/>
      <c r="B788" s="107"/>
      <c r="C788" s="107"/>
      <c r="D788" s="107"/>
      <c r="E788" s="107"/>
      <c r="F788" s="107"/>
    </row>
    <row r="789" spans="1:6" ht="13">
      <c r="A789" s="107"/>
      <c r="B789" s="107"/>
      <c r="C789" s="107"/>
      <c r="D789" s="107"/>
      <c r="E789" s="107"/>
      <c r="F789" s="107"/>
    </row>
    <row r="790" spans="1:6" ht="13">
      <c r="A790" s="107"/>
      <c r="B790" s="107"/>
      <c r="C790" s="107"/>
      <c r="D790" s="107"/>
      <c r="E790" s="107"/>
      <c r="F790" s="107"/>
    </row>
    <row r="791" spans="1:6" ht="13">
      <c r="A791" s="107"/>
      <c r="B791" s="107"/>
      <c r="C791" s="107"/>
      <c r="D791" s="107"/>
      <c r="E791" s="107"/>
      <c r="F791" s="107"/>
    </row>
    <row r="792" spans="1:6" ht="13">
      <c r="A792" s="107"/>
      <c r="B792" s="107"/>
      <c r="C792" s="107"/>
      <c r="D792" s="107"/>
      <c r="E792" s="107"/>
      <c r="F792" s="107"/>
    </row>
    <row r="793" spans="1:6" ht="13">
      <c r="A793" s="107"/>
      <c r="B793" s="107"/>
      <c r="C793" s="107"/>
      <c r="D793" s="107"/>
      <c r="E793" s="107"/>
      <c r="F793" s="107"/>
    </row>
    <row r="794" spans="1:6" ht="13">
      <c r="A794" s="107"/>
      <c r="B794" s="107"/>
      <c r="C794" s="107"/>
      <c r="D794" s="107"/>
      <c r="E794" s="107"/>
      <c r="F794" s="107"/>
    </row>
    <row r="795" spans="1:6" ht="13">
      <c r="A795" s="107"/>
      <c r="B795" s="107"/>
      <c r="C795" s="107"/>
      <c r="D795" s="107"/>
      <c r="E795" s="107"/>
      <c r="F795" s="107"/>
    </row>
    <row r="796" spans="1:6" ht="13">
      <c r="A796" s="107"/>
      <c r="B796" s="107"/>
      <c r="C796" s="107"/>
      <c r="D796" s="107"/>
      <c r="E796" s="107"/>
      <c r="F796" s="107"/>
    </row>
    <row r="797" spans="1:6" ht="13">
      <c r="A797" s="107"/>
      <c r="B797" s="107"/>
      <c r="C797" s="107"/>
      <c r="D797" s="107"/>
      <c r="E797" s="107"/>
      <c r="F797" s="107"/>
    </row>
    <row r="798" spans="1:6" ht="13">
      <c r="A798" s="107"/>
      <c r="B798" s="107"/>
      <c r="C798" s="107"/>
      <c r="D798" s="107"/>
      <c r="E798" s="107"/>
      <c r="F798" s="107"/>
    </row>
    <row r="799" spans="1:6" ht="13">
      <c r="A799" s="107"/>
      <c r="B799" s="107"/>
      <c r="C799" s="107"/>
      <c r="D799" s="107"/>
      <c r="E799" s="107"/>
      <c r="F799" s="107"/>
    </row>
    <row r="800" spans="1:6" ht="13">
      <c r="A800" s="107"/>
      <c r="B800" s="107"/>
      <c r="C800" s="107"/>
      <c r="D800" s="107"/>
      <c r="E800" s="107"/>
      <c r="F800" s="107"/>
    </row>
    <row r="801" spans="1:6" ht="13">
      <c r="A801" s="107"/>
      <c r="B801" s="107"/>
      <c r="C801" s="107"/>
      <c r="D801" s="107"/>
      <c r="E801" s="107"/>
      <c r="F801" s="107"/>
    </row>
    <row r="802" spans="1:6" ht="13">
      <c r="A802" s="107"/>
      <c r="B802" s="107"/>
      <c r="C802" s="107"/>
      <c r="D802" s="107"/>
      <c r="E802" s="107"/>
      <c r="F802" s="107"/>
    </row>
    <row r="803" spans="1:6" ht="13">
      <c r="A803" s="107"/>
      <c r="B803" s="107"/>
      <c r="C803" s="107"/>
      <c r="D803" s="107"/>
      <c r="E803" s="107"/>
      <c r="F803" s="107"/>
    </row>
    <row r="804" spans="1:6" ht="13">
      <c r="A804" s="107"/>
      <c r="B804" s="107"/>
      <c r="C804" s="107"/>
      <c r="D804" s="107"/>
      <c r="E804" s="107"/>
      <c r="F804" s="107"/>
    </row>
    <row r="805" spans="1:6" ht="13">
      <c r="A805" s="107"/>
      <c r="B805" s="107"/>
      <c r="C805" s="107"/>
      <c r="D805" s="107"/>
      <c r="E805" s="107"/>
      <c r="F805" s="107"/>
    </row>
    <row r="806" spans="1:6" ht="13">
      <c r="A806" s="107"/>
      <c r="B806" s="107"/>
      <c r="C806" s="107"/>
      <c r="D806" s="107"/>
      <c r="E806" s="107"/>
      <c r="F806" s="107"/>
    </row>
    <row r="807" spans="1:6" ht="13">
      <c r="A807" s="107"/>
      <c r="B807" s="107"/>
      <c r="C807" s="107"/>
      <c r="D807" s="107"/>
      <c r="E807" s="107"/>
      <c r="F807" s="107"/>
    </row>
    <row r="808" spans="1:6" ht="13">
      <c r="A808" s="107"/>
      <c r="B808" s="107"/>
      <c r="C808" s="107"/>
      <c r="D808" s="107"/>
      <c r="E808" s="107"/>
      <c r="F808" s="107"/>
    </row>
    <row r="809" spans="1:6" ht="13">
      <c r="A809" s="107"/>
      <c r="B809" s="107"/>
      <c r="C809" s="107"/>
      <c r="D809" s="107"/>
      <c r="E809" s="107"/>
      <c r="F809" s="107"/>
    </row>
    <row r="810" spans="1:6" ht="13">
      <c r="A810" s="107"/>
      <c r="B810" s="107"/>
      <c r="C810" s="107"/>
      <c r="D810" s="107"/>
      <c r="E810" s="107"/>
      <c r="F810" s="107"/>
    </row>
    <row r="811" spans="1:6" ht="13">
      <c r="A811" s="107"/>
      <c r="B811" s="107"/>
      <c r="C811" s="107"/>
      <c r="D811" s="107"/>
      <c r="E811" s="107"/>
      <c r="F811" s="107"/>
    </row>
    <row r="812" spans="1:6" ht="13">
      <c r="A812" s="107"/>
      <c r="B812" s="107"/>
      <c r="C812" s="107"/>
      <c r="D812" s="107"/>
      <c r="E812" s="107"/>
      <c r="F812" s="107"/>
    </row>
    <row r="813" spans="1:6" ht="13">
      <c r="A813" s="107"/>
      <c r="B813" s="107"/>
      <c r="C813" s="107"/>
      <c r="D813" s="107"/>
      <c r="E813" s="107"/>
      <c r="F813" s="107"/>
    </row>
    <row r="814" spans="1:6" ht="13">
      <c r="A814" s="107"/>
      <c r="B814" s="107"/>
      <c r="C814" s="107"/>
      <c r="D814" s="107"/>
      <c r="E814" s="107"/>
      <c r="F814" s="107"/>
    </row>
    <row r="815" spans="1:6" ht="13">
      <c r="A815" s="107"/>
      <c r="B815" s="107"/>
      <c r="C815" s="107"/>
      <c r="D815" s="107"/>
      <c r="E815" s="107"/>
      <c r="F815" s="107"/>
    </row>
    <row r="816" spans="1:6" ht="13">
      <c r="A816" s="107"/>
      <c r="B816" s="107"/>
      <c r="C816" s="107"/>
      <c r="D816" s="107"/>
      <c r="E816" s="107"/>
      <c r="F816" s="107"/>
    </row>
    <row r="817" spans="1:6" ht="13">
      <c r="A817" s="107"/>
      <c r="B817" s="107"/>
      <c r="C817" s="107"/>
      <c r="D817" s="107"/>
      <c r="E817" s="107"/>
      <c r="F817" s="107"/>
    </row>
    <row r="818" spans="1:6" ht="13">
      <c r="A818" s="107"/>
      <c r="B818" s="107"/>
      <c r="C818" s="107"/>
      <c r="D818" s="107"/>
      <c r="E818" s="107"/>
      <c r="F818" s="107"/>
    </row>
    <row r="819" spans="1:6" ht="13">
      <c r="A819" s="107"/>
      <c r="B819" s="107"/>
      <c r="C819" s="107"/>
      <c r="D819" s="107"/>
      <c r="E819" s="107"/>
      <c r="F819" s="107"/>
    </row>
    <row r="820" spans="1:6" ht="13">
      <c r="A820" s="107"/>
      <c r="B820" s="107"/>
      <c r="C820" s="107"/>
      <c r="D820" s="107"/>
      <c r="E820" s="107"/>
      <c r="F820" s="107"/>
    </row>
    <row r="821" spans="1:6" ht="13">
      <c r="A821" s="107"/>
      <c r="B821" s="107"/>
      <c r="C821" s="107"/>
      <c r="D821" s="107"/>
      <c r="E821" s="107"/>
      <c r="F821" s="107"/>
    </row>
    <row r="822" spans="1:6" ht="13">
      <c r="A822" s="107"/>
      <c r="B822" s="107"/>
      <c r="C822" s="107"/>
      <c r="D822" s="107"/>
      <c r="E822" s="107"/>
      <c r="F822" s="107"/>
    </row>
    <row r="823" spans="1:6" ht="13">
      <c r="A823" s="107"/>
      <c r="B823" s="107"/>
      <c r="C823" s="107"/>
      <c r="D823" s="107"/>
      <c r="E823" s="107"/>
      <c r="F823" s="107"/>
    </row>
    <row r="824" spans="1:6" ht="13">
      <c r="A824" s="107"/>
      <c r="B824" s="107"/>
      <c r="C824" s="107"/>
      <c r="D824" s="107"/>
      <c r="E824" s="107"/>
      <c r="F824" s="107"/>
    </row>
    <row r="825" spans="1:6" ht="13">
      <c r="A825" s="107"/>
      <c r="B825" s="107"/>
      <c r="C825" s="107"/>
      <c r="D825" s="107"/>
      <c r="E825" s="107"/>
      <c r="F825" s="107"/>
    </row>
    <row r="826" spans="1:6" ht="13">
      <c r="A826" s="107"/>
      <c r="B826" s="107"/>
      <c r="C826" s="107"/>
      <c r="D826" s="107"/>
      <c r="E826" s="107"/>
      <c r="F826" s="107"/>
    </row>
    <row r="827" spans="1:6" ht="13">
      <c r="A827" s="107"/>
      <c r="B827" s="107"/>
      <c r="C827" s="107"/>
      <c r="D827" s="107"/>
      <c r="E827" s="107"/>
      <c r="F827" s="107"/>
    </row>
    <row r="828" spans="1:6" ht="13">
      <c r="A828" s="107"/>
      <c r="B828" s="107"/>
      <c r="C828" s="107"/>
      <c r="D828" s="107"/>
      <c r="E828" s="107"/>
      <c r="F828" s="107"/>
    </row>
    <row r="829" spans="1:6" ht="13">
      <c r="A829" s="107"/>
      <c r="B829" s="107"/>
      <c r="C829" s="107"/>
      <c r="D829" s="107"/>
      <c r="E829" s="107"/>
      <c r="F829" s="107"/>
    </row>
    <row r="830" spans="1:6" ht="13">
      <c r="A830" s="107"/>
      <c r="B830" s="107"/>
      <c r="C830" s="107"/>
      <c r="D830" s="107"/>
      <c r="E830" s="107"/>
      <c r="F830" s="107"/>
    </row>
    <row r="831" spans="1:6" ht="13">
      <c r="A831" s="107"/>
      <c r="B831" s="107"/>
      <c r="C831" s="107"/>
      <c r="D831" s="107"/>
      <c r="E831" s="107"/>
      <c r="F831" s="107"/>
    </row>
    <row r="832" spans="1:6" ht="13">
      <c r="A832" s="107"/>
      <c r="B832" s="107"/>
      <c r="C832" s="107"/>
      <c r="D832" s="107"/>
      <c r="E832" s="107"/>
      <c r="F832" s="107"/>
    </row>
    <row r="833" spans="1:6" ht="13">
      <c r="A833" s="107"/>
      <c r="B833" s="107"/>
      <c r="C833" s="107"/>
      <c r="D833" s="107"/>
      <c r="E833" s="107"/>
      <c r="F833" s="107"/>
    </row>
    <row r="834" spans="1:6" ht="13">
      <c r="A834" s="107"/>
      <c r="B834" s="107"/>
      <c r="C834" s="107"/>
      <c r="D834" s="107"/>
      <c r="E834" s="107"/>
      <c r="F834" s="107"/>
    </row>
    <row r="835" spans="1:6" ht="13">
      <c r="A835" s="107"/>
      <c r="B835" s="107"/>
      <c r="C835" s="107"/>
      <c r="D835" s="107"/>
      <c r="E835" s="107"/>
      <c r="F835" s="107"/>
    </row>
    <row r="836" spans="1:6" ht="13">
      <c r="A836" s="107"/>
      <c r="B836" s="107"/>
      <c r="C836" s="107"/>
      <c r="D836" s="107"/>
      <c r="E836" s="107"/>
      <c r="F836" s="107"/>
    </row>
    <row r="837" spans="1:6" ht="13">
      <c r="A837" s="107"/>
      <c r="B837" s="107"/>
      <c r="C837" s="107"/>
      <c r="D837" s="107"/>
      <c r="E837" s="107"/>
      <c r="F837" s="107"/>
    </row>
    <row r="838" spans="1:6" ht="13">
      <c r="A838" s="107"/>
      <c r="B838" s="107"/>
      <c r="C838" s="107"/>
      <c r="D838" s="107"/>
      <c r="E838" s="107"/>
      <c r="F838" s="107"/>
    </row>
    <row r="839" spans="1:6" ht="13">
      <c r="A839" s="107"/>
      <c r="B839" s="107"/>
      <c r="C839" s="107"/>
      <c r="D839" s="107"/>
      <c r="E839" s="107"/>
      <c r="F839" s="107"/>
    </row>
    <row r="840" spans="1:6" ht="13">
      <c r="A840" s="107"/>
      <c r="B840" s="107"/>
      <c r="C840" s="107"/>
      <c r="D840" s="107"/>
      <c r="E840" s="107"/>
      <c r="F840" s="107"/>
    </row>
    <row r="841" spans="1:6" ht="13">
      <c r="A841" s="107"/>
      <c r="B841" s="107"/>
      <c r="C841" s="107"/>
      <c r="D841" s="107"/>
      <c r="E841" s="107"/>
      <c r="F841" s="107"/>
    </row>
    <row r="842" spans="1:6" ht="13">
      <c r="A842" s="107"/>
      <c r="B842" s="107"/>
      <c r="C842" s="107"/>
      <c r="D842" s="107"/>
      <c r="E842" s="107"/>
      <c r="F842" s="107"/>
    </row>
    <row r="843" spans="1:6" ht="13">
      <c r="A843" s="107"/>
      <c r="B843" s="107"/>
      <c r="C843" s="107"/>
      <c r="D843" s="107"/>
      <c r="E843" s="107"/>
      <c r="F843" s="107"/>
    </row>
    <row r="844" spans="1:6" ht="13">
      <c r="A844" s="107"/>
      <c r="B844" s="107"/>
      <c r="C844" s="107"/>
      <c r="D844" s="107"/>
      <c r="E844" s="107"/>
      <c r="F844" s="107"/>
    </row>
    <row r="845" spans="1:6" ht="13">
      <c r="A845" s="107"/>
      <c r="B845" s="107"/>
      <c r="C845" s="107"/>
      <c r="D845" s="107"/>
      <c r="E845" s="107"/>
      <c r="F845" s="107"/>
    </row>
    <row r="846" spans="1:6" ht="13">
      <c r="A846" s="107"/>
      <c r="B846" s="107"/>
      <c r="C846" s="107"/>
      <c r="D846" s="107"/>
      <c r="E846" s="107"/>
      <c r="F846" s="107"/>
    </row>
    <row r="847" spans="1:6" ht="13">
      <c r="A847" s="107"/>
      <c r="B847" s="107"/>
      <c r="C847" s="107"/>
      <c r="D847" s="107"/>
      <c r="E847" s="107"/>
      <c r="F847" s="107"/>
    </row>
    <row r="848" spans="1:6" ht="13">
      <c r="A848" s="107"/>
      <c r="B848" s="107"/>
      <c r="C848" s="107"/>
      <c r="D848" s="107"/>
      <c r="E848" s="107"/>
      <c r="F848" s="107"/>
    </row>
    <row r="849" spans="1:6" ht="13">
      <c r="A849" s="107"/>
      <c r="B849" s="107"/>
      <c r="C849" s="107"/>
      <c r="D849" s="107"/>
      <c r="E849" s="107"/>
      <c r="F849" s="107"/>
    </row>
    <row r="850" spans="1:6" ht="13">
      <c r="A850" s="107"/>
      <c r="B850" s="107"/>
      <c r="C850" s="107"/>
      <c r="D850" s="107"/>
      <c r="E850" s="107"/>
      <c r="F850" s="107"/>
    </row>
    <row r="851" spans="1:6" ht="13">
      <c r="A851" s="107"/>
      <c r="B851" s="107"/>
      <c r="C851" s="107"/>
      <c r="D851" s="107"/>
      <c r="E851" s="107"/>
      <c r="F851" s="107"/>
    </row>
    <row r="852" spans="1:6" ht="13">
      <c r="A852" s="107"/>
      <c r="B852" s="107"/>
      <c r="C852" s="107"/>
      <c r="D852" s="107"/>
      <c r="E852" s="107"/>
      <c r="F852" s="107"/>
    </row>
    <row r="853" spans="1:6" ht="13">
      <c r="A853" s="107"/>
      <c r="B853" s="107"/>
      <c r="C853" s="107"/>
      <c r="D853" s="107"/>
      <c r="E853" s="107"/>
      <c r="F853" s="107"/>
    </row>
    <row r="854" spans="1:6" ht="13">
      <c r="A854" s="107"/>
      <c r="B854" s="107"/>
      <c r="C854" s="107"/>
      <c r="D854" s="107"/>
      <c r="E854" s="107"/>
      <c r="F854" s="107"/>
    </row>
    <row r="855" spans="1:6" ht="13">
      <c r="A855" s="107"/>
      <c r="B855" s="107"/>
      <c r="C855" s="107"/>
      <c r="D855" s="107"/>
      <c r="E855" s="107"/>
      <c r="F855" s="107"/>
    </row>
    <row r="856" spans="1:6" ht="13">
      <c r="A856" s="107"/>
      <c r="B856" s="107"/>
      <c r="C856" s="107"/>
      <c r="D856" s="107"/>
      <c r="E856" s="107"/>
      <c r="F856" s="107"/>
    </row>
    <row r="857" spans="1:6" ht="13">
      <c r="A857" s="107"/>
      <c r="B857" s="107"/>
      <c r="C857" s="107"/>
      <c r="D857" s="107"/>
      <c r="E857" s="107"/>
      <c r="F857" s="107"/>
    </row>
    <row r="858" spans="1:6" ht="13">
      <c r="A858" s="107"/>
      <c r="B858" s="107"/>
      <c r="C858" s="107"/>
      <c r="D858" s="107"/>
      <c r="E858" s="107"/>
      <c r="F858" s="107"/>
    </row>
    <row r="859" spans="1:6" ht="13">
      <c r="A859" s="107"/>
      <c r="B859" s="107"/>
      <c r="C859" s="107"/>
      <c r="D859" s="107"/>
      <c r="E859" s="107"/>
      <c r="F859" s="107"/>
    </row>
    <row r="860" spans="1:6" ht="13">
      <c r="A860" s="107"/>
      <c r="B860" s="107"/>
      <c r="C860" s="107"/>
      <c r="D860" s="107"/>
      <c r="E860" s="107"/>
      <c r="F860" s="107"/>
    </row>
    <row r="861" spans="1:6" ht="13">
      <c r="A861" s="107"/>
      <c r="B861" s="107"/>
      <c r="C861" s="107"/>
      <c r="D861" s="107"/>
      <c r="E861" s="107"/>
      <c r="F861" s="107"/>
    </row>
    <row r="862" spans="1:6" ht="13">
      <c r="A862" s="107"/>
      <c r="B862" s="107"/>
      <c r="C862" s="107"/>
      <c r="D862" s="107"/>
      <c r="E862" s="107"/>
      <c r="F862" s="107"/>
    </row>
    <row r="863" spans="1:6" ht="13">
      <c r="A863" s="107"/>
      <c r="B863" s="107"/>
      <c r="C863" s="107"/>
      <c r="D863" s="107"/>
      <c r="E863" s="107"/>
      <c r="F863" s="107"/>
    </row>
    <row r="864" spans="1:6" ht="13">
      <c r="A864" s="107"/>
      <c r="B864" s="107"/>
      <c r="C864" s="107"/>
      <c r="D864" s="107"/>
      <c r="E864" s="107"/>
      <c r="F864" s="107"/>
    </row>
    <row r="865" spans="1:6" ht="13">
      <c r="A865" s="107"/>
      <c r="B865" s="107"/>
      <c r="C865" s="107"/>
      <c r="D865" s="107"/>
      <c r="E865" s="107"/>
      <c r="F865" s="107"/>
    </row>
    <row r="866" spans="1:6" ht="13">
      <c r="A866" s="107"/>
      <c r="B866" s="107"/>
      <c r="C866" s="107"/>
      <c r="D866" s="107"/>
      <c r="E866" s="107"/>
      <c r="F866" s="107"/>
    </row>
    <row r="867" spans="1:6" ht="13">
      <c r="A867" s="107"/>
      <c r="B867" s="107"/>
      <c r="C867" s="107"/>
      <c r="D867" s="107"/>
      <c r="E867" s="107"/>
      <c r="F867" s="107"/>
    </row>
    <row r="868" spans="1:6" ht="13">
      <c r="A868" s="107"/>
      <c r="B868" s="107"/>
      <c r="C868" s="107"/>
      <c r="D868" s="107"/>
      <c r="E868" s="107"/>
      <c r="F868" s="107"/>
    </row>
    <row r="869" spans="1:6" ht="13">
      <c r="A869" s="107"/>
      <c r="B869" s="107"/>
      <c r="C869" s="107"/>
      <c r="D869" s="107"/>
      <c r="E869" s="107"/>
      <c r="F869" s="107"/>
    </row>
    <row r="870" spans="1:6" ht="13">
      <c r="A870" s="107"/>
      <c r="B870" s="107"/>
      <c r="C870" s="107"/>
      <c r="D870" s="107"/>
      <c r="E870" s="107"/>
      <c r="F870" s="107"/>
    </row>
    <row r="871" spans="1:6" ht="13">
      <c r="A871" s="107"/>
      <c r="B871" s="107"/>
      <c r="C871" s="107"/>
      <c r="D871" s="107"/>
      <c r="E871" s="107"/>
      <c r="F871" s="107"/>
    </row>
    <row r="872" spans="1:6" ht="13">
      <c r="A872" s="107"/>
      <c r="B872" s="107"/>
      <c r="C872" s="107"/>
      <c r="D872" s="107"/>
      <c r="E872" s="107"/>
      <c r="F872" s="107"/>
    </row>
    <row r="873" spans="1:6" ht="13">
      <c r="A873" s="107"/>
      <c r="B873" s="107"/>
      <c r="C873" s="107"/>
      <c r="D873" s="107"/>
      <c r="E873" s="107"/>
      <c r="F873" s="107"/>
    </row>
    <row r="874" spans="1:6" ht="13">
      <c r="A874" s="107"/>
      <c r="B874" s="107"/>
      <c r="C874" s="107"/>
      <c r="D874" s="107"/>
      <c r="E874" s="107"/>
      <c r="F874" s="107"/>
    </row>
    <row r="875" spans="1:6" ht="13">
      <c r="A875" s="107"/>
      <c r="B875" s="107"/>
      <c r="C875" s="107"/>
      <c r="D875" s="107"/>
      <c r="E875" s="107"/>
      <c r="F875" s="107"/>
    </row>
    <row r="876" spans="1:6" ht="13">
      <c r="A876" s="107"/>
      <c r="B876" s="107"/>
      <c r="C876" s="107"/>
      <c r="D876" s="107"/>
      <c r="E876" s="107"/>
      <c r="F876" s="107"/>
    </row>
    <row r="877" spans="1:6" ht="13">
      <c r="A877" s="107"/>
      <c r="B877" s="107"/>
      <c r="C877" s="107"/>
      <c r="D877" s="107"/>
      <c r="E877" s="107"/>
      <c r="F877" s="107"/>
    </row>
    <row r="878" spans="1:6" ht="13">
      <c r="A878" s="107"/>
      <c r="B878" s="107"/>
      <c r="C878" s="107"/>
      <c r="D878" s="107"/>
      <c r="E878" s="107"/>
      <c r="F878" s="107"/>
    </row>
    <row r="879" spans="1:6" ht="13">
      <c r="A879" s="107"/>
      <c r="B879" s="107"/>
      <c r="C879" s="107"/>
      <c r="D879" s="107"/>
      <c r="E879" s="107"/>
      <c r="F879" s="107"/>
    </row>
    <row r="880" spans="1:6" ht="13">
      <c r="A880" s="107"/>
      <c r="B880" s="107"/>
      <c r="C880" s="107"/>
      <c r="D880" s="107"/>
      <c r="E880" s="107"/>
      <c r="F880" s="107"/>
    </row>
    <row r="881" spans="1:6" ht="13">
      <c r="A881" s="107"/>
      <c r="B881" s="107"/>
      <c r="C881" s="107"/>
      <c r="D881" s="107"/>
      <c r="E881" s="107"/>
      <c r="F881" s="107"/>
    </row>
    <row r="882" spans="1:6" ht="13">
      <c r="A882" s="107"/>
      <c r="B882" s="107"/>
      <c r="C882" s="107"/>
      <c r="D882" s="107"/>
      <c r="E882" s="107"/>
      <c r="F882" s="107"/>
    </row>
    <row r="883" spans="1:6" ht="13">
      <c r="A883" s="107"/>
      <c r="B883" s="107"/>
      <c r="C883" s="107"/>
      <c r="D883" s="107"/>
      <c r="E883" s="107"/>
      <c r="F883" s="107"/>
    </row>
    <row r="884" spans="1:6" ht="13">
      <c r="A884" s="107"/>
      <c r="B884" s="107"/>
      <c r="C884" s="107"/>
      <c r="D884" s="107"/>
      <c r="E884" s="107"/>
      <c r="F884" s="107"/>
    </row>
    <row r="885" spans="1:6" ht="13">
      <c r="A885" s="107"/>
      <c r="B885" s="107"/>
      <c r="C885" s="107"/>
      <c r="D885" s="107"/>
      <c r="E885" s="107"/>
      <c r="F885" s="107"/>
    </row>
    <row r="886" spans="1:6" ht="13">
      <c r="A886" s="107"/>
      <c r="B886" s="107"/>
      <c r="C886" s="107"/>
      <c r="D886" s="107"/>
      <c r="E886" s="107"/>
      <c r="F886" s="107"/>
    </row>
    <row r="887" spans="1:6" ht="13">
      <c r="A887" s="107"/>
      <c r="B887" s="107"/>
      <c r="C887" s="107"/>
      <c r="D887" s="107"/>
      <c r="E887" s="107"/>
      <c r="F887" s="107"/>
    </row>
    <row r="888" spans="1:6" ht="13">
      <c r="A888" s="107"/>
      <c r="B888" s="107"/>
      <c r="C888" s="107"/>
      <c r="D888" s="107"/>
      <c r="E888" s="107"/>
      <c r="F888" s="107"/>
    </row>
    <row r="889" spans="1:6" ht="13">
      <c r="A889" s="107"/>
      <c r="B889" s="107"/>
      <c r="C889" s="107"/>
      <c r="D889" s="107"/>
      <c r="E889" s="107"/>
      <c r="F889" s="107"/>
    </row>
    <row r="890" spans="1:6" ht="13">
      <c r="A890" s="107"/>
      <c r="B890" s="107"/>
      <c r="C890" s="107"/>
      <c r="D890" s="107"/>
      <c r="E890" s="107"/>
      <c r="F890" s="107"/>
    </row>
    <row r="891" spans="1:6" ht="13">
      <c r="A891" s="107"/>
      <c r="B891" s="107"/>
      <c r="C891" s="107"/>
      <c r="D891" s="107"/>
      <c r="E891" s="107"/>
      <c r="F891" s="107"/>
    </row>
    <row r="892" spans="1:6" ht="13">
      <c r="A892" s="107"/>
      <c r="B892" s="107"/>
      <c r="C892" s="107"/>
      <c r="D892" s="107"/>
      <c r="E892" s="107"/>
      <c r="F892" s="107"/>
    </row>
    <row r="893" spans="1:6" ht="13">
      <c r="A893" s="107"/>
      <c r="B893" s="107"/>
      <c r="C893" s="107"/>
      <c r="D893" s="107"/>
      <c r="E893" s="107"/>
      <c r="F893" s="107"/>
    </row>
    <row r="894" spans="1:6" ht="13">
      <c r="A894" s="107"/>
      <c r="B894" s="107"/>
      <c r="C894" s="107"/>
      <c r="D894" s="107"/>
      <c r="E894" s="107"/>
      <c r="F894" s="107"/>
    </row>
    <row r="895" spans="1:6" ht="13">
      <c r="A895" s="107"/>
      <c r="B895" s="107"/>
      <c r="C895" s="107"/>
      <c r="D895" s="107"/>
      <c r="E895" s="107"/>
      <c r="F895" s="107"/>
    </row>
    <row r="896" spans="1:6" ht="13">
      <c r="A896" s="107"/>
      <c r="B896" s="107"/>
      <c r="C896" s="107"/>
      <c r="D896" s="107"/>
      <c r="E896" s="107"/>
      <c r="F896" s="107"/>
    </row>
    <row r="897" spans="1:6" ht="13">
      <c r="A897" s="107"/>
      <c r="B897" s="107"/>
      <c r="C897" s="107"/>
      <c r="D897" s="107"/>
      <c r="E897" s="107"/>
      <c r="F897" s="107"/>
    </row>
    <row r="898" spans="1:6" ht="13">
      <c r="A898" s="107"/>
      <c r="B898" s="107"/>
      <c r="C898" s="107"/>
      <c r="D898" s="107"/>
      <c r="E898" s="107"/>
      <c r="F898" s="107"/>
    </row>
    <row r="899" spans="1:6" ht="13">
      <c r="A899" s="107"/>
      <c r="B899" s="107"/>
      <c r="C899" s="107"/>
      <c r="D899" s="107"/>
      <c r="E899" s="107"/>
      <c r="F899" s="107"/>
    </row>
    <row r="900" spans="1:6" ht="13">
      <c r="A900" s="107"/>
      <c r="B900" s="107"/>
      <c r="C900" s="107"/>
      <c r="D900" s="107"/>
      <c r="E900" s="107"/>
      <c r="F900" s="107"/>
    </row>
    <row r="901" spans="1:6" ht="13">
      <c r="A901" s="107"/>
      <c r="B901" s="107"/>
      <c r="C901" s="107"/>
      <c r="D901" s="107"/>
      <c r="E901" s="107"/>
      <c r="F901" s="107"/>
    </row>
    <row r="902" spans="1:6" ht="13">
      <c r="A902" s="107"/>
      <c r="B902" s="107"/>
      <c r="C902" s="107"/>
      <c r="D902" s="107"/>
      <c r="E902" s="107"/>
      <c r="F902" s="107"/>
    </row>
    <row r="903" spans="1:6" ht="13">
      <c r="A903" s="107"/>
      <c r="B903" s="107"/>
      <c r="C903" s="107"/>
      <c r="D903" s="107"/>
      <c r="E903" s="107"/>
      <c r="F903" s="107"/>
    </row>
    <row r="904" spans="1:6" ht="13">
      <c r="A904" s="107"/>
      <c r="B904" s="107"/>
      <c r="C904" s="107"/>
      <c r="D904" s="107"/>
      <c r="E904" s="107"/>
      <c r="F904" s="107"/>
    </row>
    <row r="905" spans="1:6" ht="13">
      <c r="A905" s="107"/>
      <c r="B905" s="107"/>
      <c r="C905" s="107"/>
      <c r="D905" s="107"/>
      <c r="E905" s="107"/>
      <c r="F905" s="107"/>
    </row>
    <row r="906" spans="1:6" ht="13">
      <c r="A906" s="107"/>
      <c r="B906" s="107"/>
      <c r="C906" s="107"/>
      <c r="D906" s="107"/>
      <c r="E906" s="107"/>
      <c r="F906" s="107"/>
    </row>
    <row r="907" spans="1:6" ht="13">
      <c r="A907" s="107"/>
      <c r="B907" s="107"/>
      <c r="C907" s="107"/>
      <c r="D907" s="107"/>
      <c r="E907" s="107"/>
      <c r="F907" s="107"/>
    </row>
    <row r="908" spans="1:6" ht="13">
      <c r="A908" s="107"/>
      <c r="B908" s="107"/>
      <c r="C908" s="107"/>
      <c r="D908" s="107"/>
      <c r="E908" s="107"/>
      <c r="F908" s="107"/>
    </row>
    <row r="909" spans="1:6" ht="13">
      <c r="A909" s="107"/>
      <c r="B909" s="107"/>
      <c r="C909" s="107"/>
      <c r="D909" s="107"/>
      <c r="E909" s="107"/>
      <c r="F909" s="107"/>
    </row>
    <row r="910" spans="1:6" ht="13">
      <c r="A910" s="107"/>
      <c r="B910" s="107"/>
      <c r="C910" s="107"/>
      <c r="D910" s="107"/>
      <c r="E910" s="107"/>
      <c r="F910" s="107"/>
    </row>
    <row r="911" spans="1:6" ht="13">
      <c r="A911" s="107"/>
      <c r="B911" s="107"/>
      <c r="C911" s="107"/>
      <c r="D911" s="107"/>
      <c r="E911" s="107"/>
      <c r="F911" s="107"/>
    </row>
    <row r="912" spans="1:6" ht="13">
      <c r="A912" s="107"/>
      <c r="B912" s="107"/>
      <c r="C912" s="107"/>
      <c r="D912" s="107"/>
      <c r="E912" s="107"/>
      <c r="F912" s="107"/>
    </row>
    <row r="913" spans="1:6" ht="13">
      <c r="A913" s="107"/>
      <c r="B913" s="107"/>
      <c r="C913" s="107"/>
      <c r="D913" s="107"/>
      <c r="E913" s="107"/>
      <c r="F913" s="107"/>
    </row>
    <row r="914" spans="1:6" ht="13">
      <c r="A914" s="107"/>
      <c r="B914" s="107"/>
      <c r="C914" s="107"/>
      <c r="D914" s="107"/>
      <c r="E914" s="107"/>
      <c r="F914" s="107"/>
    </row>
    <row r="915" spans="1:6" ht="13">
      <c r="A915" s="107"/>
      <c r="B915" s="107"/>
      <c r="C915" s="107"/>
      <c r="D915" s="107"/>
      <c r="E915" s="107"/>
      <c r="F915" s="107"/>
    </row>
    <row r="916" spans="1:6" ht="13">
      <c r="A916" s="107"/>
      <c r="B916" s="107"/>
      <c r="C916" s="107"/>
      <c r="D916" s="107"/>
      <c r="E916" s="107"/>
      <c r="F916" s="107"/>
    </row>
    <row r="917" spans="1:6" ht="13">
      <c r="A917" s="107"/>
      <c r="B917" s="107"/>
      <c r="C917" s="107"/>
      <c r="D917" s="107"/>
      <c r="E917" s="107"/>
      <c r="F917" s="107"/>
    </row>
    <row r="918" spans="1:6" ht="13">
      <c r="A918" s="107"/>
      <c r="B918" s="107"/>
      <c r="C918" s="107"/>
      <c r="D918" s="107"/>
      <c r="E918" s="107"/>
      <c r="F918" s="107"/>
    </row>
    <row r="919" spans="1:6" ht="13">
      <c r="A919" s="107"/>
      <c r="B919" s="107"/>
      <c r="C919" s="107"/>
      <c r="D919" s="107"/>
      <c r="E919" s="107"/>
      <c r="F919" s="107"/>
    </row>
    <row r="920" spans="1:6" ht="13">
      <c r="A920" s="107"/>
      <c r="B920" s="107"/>
      <c r="C920" s="107"/>
      <c r="D920" s="107"/>
      <c r="E920" s="107"/>
      <c r="F920" s="107"/>
    </row>
    <row r="921" spans="1:6" ht="13">
      <c r="A921" s="107"/>
      <c r="B921" s="107"/>
      <c r="C921" s="107"/>
      <c r="D921" s="107"/>
      <c r="E921" s="107"/>
      <c r="F921" s="107"/>
    </row>
    <row r="922" spans="1:6" ht="13">
      <c r="A922" s="107"/>
      <c r="B922" s="107"/>
      <c r="C922" s="107"/>
      <c r="D922" s="107"/>
      <c r="E922" s="107"/>
      <c r="F922" s="107"/>
    </row>
    <row r="923" spans="1:6" ht="13">
      <c r="A923" s="107"/>
      <c r="B923" s="107"/>
      <c r="C923" s="107"/>
      <c r="D923" s="107"/>
      <c r="E923" s="107"/>
      <c r="F923" s="107"/>
    </row>
    <row r="924" spans="1:6" ht="13">
      <c r="A924" s="107"/>
      <c r="B924" s="107"/>
      <c r="C924" s="107"/>
      <c r="D924" s="107"/>
      <c r="E924" s="107"/>
      <c r="F924" s="107"/>
    </row>
    <row r="925" spans="1:6" ht="13">
      <c r="A925" s="107"/>
      <c r="B925" s="107"/>
      <c r="C925" s="107"/>
      <c r="D925" s="107"/>
      <c r="E925" s="107"/>
      <c r="F925" s="107"/>
    </row>
    <row r="926" spans="1:6" ht="13">
      <c r="A926" s="107"/>
      <c r="B926" s="107"/>
      <c r="C926" s="107"/>
      <c r="D926" s="107"/>
      <c r="E926" s="107"/>
      <c r="F926" s="107"/>
    </row>
    <row r="927" spans="1:6" ht="13">
      <c r="A927" s="107"/>
      <c r="B927" s="107"/>
      <c r="C927" s="107"/>
      <c r="D927" s="107"/>
      <c r="E927" s="107"/>
      <c r="F927" s="107"/>
    </row>
    <row r="928" spans="1:6" ht="13">
      <c r="A928" s="107"/>
      <c r="B928" s="107"/>
      <c r="C928" s="107"/>
      <c r="D928" s="107"/>
      <c r="E928" s="107"/>
      <c r="F928" s="107"/>
    </row>
    <row r="929" spans="1:6" ht="13">
      <c r="A929" s="107"/>
      <c r="B929" s="107"/>
      <c r="C929" s="107"/>
      <c r="D929" s="107"/>
      <c r="E929" s="107"/>
      <c r="F929" s="107"/>
    </row>
    <row r="930" spans="1:6" ht="13">
      <c r="A930" s="107"/>
      <c r="B930" s="107"/>
      <c r="C930" s="107"/>
      <c r="D930" s="107"/>
      <c r="E930" s="107"/>
      <c r="F930" s="107"/>
    </row>
    <row r="931" spans="1:6" ht="13">
      <c r="A931" s="107"/>
      <c r="B931" s="107"/>
      <c r="C931" s="107"/>
      <c r="D931" s="107"/>
      <c r="E931" s="107"/>
      <c r="F931" s="107"/>
    </row>
    <row r="932" spans="1:6" ht="13">
      <c r="A932" s="107"/>
      <c r="B932" s="107"/>
      <c r="C932" s="107"/>
      <c r="D932" s="107"/>
      <c r="E932" s="107"/>
      <c r="F932" s="107"/>
    </row>
    <row r="933" spans="1:6" ht="13">
      <c r="A933" s="107"/>
      <c r="B933" s="107"/>
      <c r="C933" s="107"/>
      <c r="D933" s="107"/>
      <c r="E933" s="107"/>
      <c r="F933" s="107"/>
    </row>
    <row r="934" spans="1:6" ht="13">
      <c r="A934" s="107"/>
      <c r="B934" s="107"/>
      <c r="C934" s="107"/>
      <c r="D934" s="107"/>
      <c r="E934" s="107"/>
      <c r="F934" s="107"/>
    </row>
    <row r="935" spans="1:6" ht="13">
      <c r="A935" s="107"/>
      <c r="B935" s="107"/>
      <c r="C935" s="107"/>
      <c r="D935" s="107"/>
      <c r="E935" s="107"/>
      <c r="F935" s="107"/>
    </row>
    <row r="936" spans="1:6" ht="13">
      <c r="A936" s="107"/>
      <c r="B936" s="107"/>
      <c r="C936" s="107"/>
      <c r="D936" s="107"/>
      <c r="E936" s="107"/>
      <c r="F936" s="107"/>
    </row>
    <row r="937" spans="1:6" ht="13">
      <c r="A937" s="107"/>
      <c r="B937" s="107"/>
      <c r="C937" s="107"/>
      <c r="D937" s="107"/>
      <c r="E937" s="107"/>
      <c r="F937" s="107"/>
    </row>
    <row r="938" spans="1:6" ht="13">
      <c r="A938" s="107"/>
      <c r="B938" s="107"/>
      <c r="C938" s="107"/>
      <c r="D938" s="107"/>
      <c r="E938" s="107"/>
      <c r="F938" s="107"/>
    </row>
    <row r="939" spans="1:6" ht="13">
      <c r="A939" s="107"/>
      <c r="B939" s="107"/>
      <c r="C939" s="107"/>
      <c r="D939" s="107"/>
      <c r="E939" s="107"/>
      <c r="F939" s="107"/>
    </row>
    <row r="940" spans="1:6" ht="13">
      <c r="A940" s="107"/>
      <c r="B940" s="107"/>
      <c r="C940" s="107"/>
      <c r="D940" s="107"/>
      <c r="E940" s="107"/>
      <c r="F940" s="107"/>
    </row>
    <row r="941" spans="1:6" ht="13">
      <c r="A941" s="107"/>
      <c r="B941" s="107"/>
      <c r="C941" s="107"/>
      <c r="D941" s="107"/>
      <c r="E941" s="107"/>
      <c r="F941" s="107"/>
    </row>
    <row r="942" spans="1:6" ht="13">
      <c r="A942" s="107"/>
      <c r="B942" s="107"/>
      <c r="C942" s="107"/>
      <c r="D942" s="107"/>
      <c r="E942" s="107"/>
      <c r="F942" s="107"/>
    </row>
    <row r="943" spans="1:6" ht="13">
      <c r="A943" s="107"/>
      <c r="B943" s="107"/>
      <c r="C943" s="107"/>
      <c r="D943" s="107"/>
      <c r="E943" s="107"/>
      <c r="F943" s="107"/>
    </row>
    <row r="944" spans="1:6" ht="13">
      <c r="A944" s="107"/>
      <c r="B944" s="107"/>
      <c r="C944" s="107"/>
      <c r="D944" s="107"/>
      <c r="E944" s="107"/>
      <c r="F944" s="107"/>
    </row>
    <row r="945" spans="1:6" ht="13">
      <c r="A945" s="107"/>
      <c r="B945" s="107"/>
      <c r="C945" s="107"/>
      <c r="D945" s="107"/>
      <c r="E945" s="107"/>
      <c r="F945" s="107"/>
    </row>
    <row r="946" spans="1:6" ht="13">
      <c r="A946" s="107"/>
      <c r="B946" s="107"/>
      <c r="C946" s="107"/>
      <c r="D946" s="107"/>
      <c r="E946" s="107"/>
      <c r="F946" s="107"/>
    </row>
    <row r="947" spans="1:6" ht="13">
      <c r="A947" s="107"/>
      <c r="B947" s="107"/>
      <c r="C947" s="107"/>
      <c r="D947" s="107"/>
      <c r="E947" s="107"/>
      <c r="F947" s="107"/>
    </row>
    <row r="948" spans="1:6" ht="13">
      <c r="A948" s="107"/>
      <c r="B948" s="107"/>
      <c r="C948" s="107"/>
      <c r="D948" s="107"/>
      <c r="E948" s="107"/>
      <c r="F948" s="107"/>
    </row>
    <row r="949" spans="1:6" ht="13">
      <c r="A949" s="107"/>
      <c r="B949" s="107"/>
      <c r="C949" s="107"/>
      <c r="D949" s="107"/>
      <c r="E949" s="107"/>
      <c r="F949" s="107"/>
    </row>
    <row r="950" spans="1:6" ht="13">
      <c r="A950" s="107"/>
      <c r="B950" s="107"/>
      <c r="C950" s="107"/>
      <c r="D950" s="107"/>
      <c r="E950" s="107"/>
      <c r="F950" s="107"/>
    </row>
    <row r="951" spans="1:6" ht="13">
      <c r="A951" s="107"/>
      <c r="B951" s="107"/>
      <c r="C951" s="107"/>
      <c r="D951" s="107"/>
      <c r="E951" s="107"/>
      <c r="F951" s="107"/>
    </row>
    <row r="952" spans="1:6" ht="13">
      <c r="A952" s="107"/>
      <c r="B952" s="107"/>
      <c r="C952" s="107"/>
      <c r="D952" s="107"/>
      <c r="E952" s="107"/>
      <c r="F952" s="107"/>
    </row>
    <row r="953" spans="1:6" ht="13">
      <c r="A953" s="107"/>
      <c r="B953" s="107"/>
      <c r="C953" s="107"/>
      <c r="D953" s="107"/>
      <c r="E953" s="107"/>
      <c r="F953" s="107"/>
    </row>
    <row r="954" spans="1:6" ht="13">
      <c r="A954" s="107"/>
      <c r="B954" s="107"/>
      <c r="C954" s="107"/>
      <c r="D954" s="107"/>
      <c r="E954" s="107"/>
      <c r="F954" s="107"/>
    </row>
    <row r="955" spans="1:6" ht="13">
      <c r="A955" s="107"/>
      <c r="B955" s="107"/>
      <c r="C955" s="107"/>
      <c r="D955" s="107"/>
      <c r="E955" s="107"/>
      <c r="F955" s="107"/>
    </row>
    <row r="956" spans="1:6" ht="13">
      <c r="A956" s="107"/>
      <c r="B956" s="107"/>
      <c r="C956" s="107"/>
      <c r="D956" s="107"/>
      <c r="E956" s="107"/>
      <c r="F956" s="107"/>
    </row>
    <row r="957" spans="1:6" ht="13">
      <c r="A957" s="107"/>
      <c r="B957" s="107"/>
      <c r="C957" s="107"/>
      <c r="D957" s="107"/>
      <c r="E957" s="107"/>
      <c r="F957" s="107"/>
    </row>
    <row r="958" spans="1:6" ht="13">
      <c r="A958" s="107"/>
      <c r="B958" s="107"/>
      <c r="C958" s="107"/>
      <c r="D958" s="107"/>
      <c r="E958" s="107"/>
      <c r="F958" s="107"/>
    </row>
    <row r="959" spans="1:6" ht="13">
      <c r="A959" s="107"/>
      <c r="B959" s="107"/>
      <c r="C959" s="107"/>
      <c r="D959" s="107"/>
      <c r="E959" s="107"/>
      <c r="F959" s="107"/>
    </row>
    <row r="960" spans="1:6" ht="13">
      <c r="A960" s="107"/>
      <c r="B960" s="107"/>
      <c r="C960" s="107"/>
      <c r="D960" s="107"/>
      <c r="E960" s="107"/>
      <c r="F960" s="107"/>
    </row>
    <row r="961" spans="1:6" ht="13">
      <c r="A961" s="107"/>
      <c r="B961" s="107"/>
      <c r="C961" s="107"/>
      <c r="D961" s="107"/>
      <c r="E961" s="107"/>
      <c r="F961" s="107"/>
    </row>
    <row r="962" spans="1:6" ht="13">
      <c r="A962" s="107"/>
      <c r="B962" s="107"/>
      <c r="C962" s="107"/>
      <c r="D962" s="107"/>
      <c r="E962" s="107"/>
      <c r="F962" s="107"/>
    </row>
    <row r="963" spans="1:6" ht="13">
      <c r="A963" s="107"/>
      <c r="B963" s="107"/>
      <c r="C963" s="107"/>
      <c r="D963" s="107"/>
      <c r="E963" s="107"/>
      <c r="F963" s="107"/>
    </row>
    <row r="964" spans="1:6" ht="13">
      <c r="A964" s="107"/>
      <c r="B964" s="107"/>
      <c r="C964" s="107"/>
      <c r="D964" s="107"/>
      <c r="E964" s="107"/>
      <c r="F964" s="107"/>
    </row>
    <row r="965" spans="1:6" ht="13">
      <c r="A965" s="107"/>
      <c r="B965" s="107"/>
      <c r="C965" s="107"/>
      <c r="D965" s="107"/>
      <c r="E965" s="107"/>
      <c r="F965" s="107"/>
    </row>
    <row r="966" spans="1:6" ht="13">
      <c r="A966" s="107"/>
      <c r="B966" s="107"/>
      <c r="C966" s="107"/>
      <c r="D966" s="107"/>
      <c r="E966" s="107"/>
      <c r="F966" s="107"/>
    </row>
    <row r="967" spans="1:6" ht="13">
      <c r="A967" s="107"/>
      <c r="B967" s="107"/>
      <c r="C967" s="107"/>
      <c r="D967" s="107"/>
      <c r="E967" s="107"/>
      <c r="F967" s="107"/>
    </row>
    <row r="968" spans="1:6" ht="13">
      <c r="A968" s="107"/>
      <c r="B968" s="107"/>
      <c r="C968" s="107"/>
      <c r="D968" s="107"/>
      <c r="E968" s="107"/>
      <c r="F968" s="107"/>
    </row>
    <row r="969" spans="1:6" ht="13">
      <c r="A969" s="107"/>
      <c r="B969" s="107"/>
      <c r="C969" s="107"/>
      <c r="D969" s="107"/>
      <c r="E969" s="107"/>
      <c r="F969" s="107"/>
    </row>
    <row r="970" spans="1:6" ht="13">
      <c r="A970" s="107"/>
      <c r="B970" s="107"/>
      <c r="C970" s="107"/>
      <c r="D970" s="107"/>
      <c r="E970" s="107"/>
      <c r="F970" s="107"/>
    </row>
    <row r="971" spans="1:6" ht="13">
      <c r="A971" s="107"/>
      <c r="B971" s="107"/>
      <c r="C971" s="107"/>
      <c r="D971" s="107"/>
      <c r="E971" s="107"/>
      <c r="F971" s="107"/>
    </row>
    <row r="972" spans="1:6" ht="13">
      <c r="A972" s="107"/>
      <c r="B972" s="107"/>
      <c r="C972" s="107"/>
      <c r="D972" s="107"/>
      <c r="E972" s="107"/>
      <c r="F972" s="107"/>
    </row>
    <row r="973" spans="1:6" ht="13">
      <c r="A973" s="107"/>
      <c r="B973" s="107"/>
      <c r="C973" s="107"/>
      <c r="D973" s="107"/>
      <c r="E973" s="107"/>
      <c r="F973" s="107"/>
    </row>
    <row r="974" spans="1:6" ht="13">
      <c r="A974" s="107"/>
      <c r="B974" s="107"/>
      <c r="C974" s="107"/>
      <c r="D974" s="107"/>
      <c r="E974" s="107"/>
      <c r="F974" s="107"/>
    </row>
    <row r="975" spans="1:6" ht="13">
      <c r="A975" s="107"/>
      <c r="B975" s="107"/>
      <c r="C975" s="107"/>
      <c r="D975" s="107"/>
      <c r="E975" s="107"/>
      <c r="F975" s="107"/>
    </row>
    <row r="976" spans="1:6" ht="13">
      <c r="A976" s="107"/>
      <c r="B976" s="107"/>
      <c r="C976" s="107"/>
      <c r="D976" s="107"/>
      <c r="E976" s="107"/>
      <c r="F976" s="107"/>
    </row>
    <row r="977" spans="1:6" ht="13">
      <c r="A977" s="107"/>
      <c r="B977" s="107"/>
      <c r="C977" s="107"/>
      <c r="D977" s="107"/>
      <c r="E977" s="107"/>
      <c r="F977" s="107"/>
    </row>
    <row r="978" spans="1:6" ht="13">
      <c r="A978" s="107"/>
      <c r="B978" s="107"/>
      <c r="C978" s="107"/>
      <c r="D978" s="107"/>
      <c r="E978" s="107"/>
      <c r="F978" s="107"/>
    </row>
    <row r="979" spans="1:6" ht="13">
      <c r="A979" s="107"/>
      <c r="B979" s="107"/>
      <c r="C979" s="107"/>
      <c r="D979" s="107"/>
      <c r="E979" s="107"/>
      <c r="F979" s="107"/>
    </row>
    <row r="980" spans="1:6" ht="13">
      <c r="A980" s="107"/>
      <c r="B980" s="107"/>
      <c r="C980" s="107"/>
      <c r="D980" s="107"/>
      <c r="E980" s="107"/>
      <c r="F980" s="107"/>
    </row>
    <row r="981" spans="1:6" ht="13">
      <c r="A981" s="107"/>
      <c r="B981" s="107"/>
      <c r="C981" s="107"/>
      <c r="D981" s="107"/>
      <c r="E981" s="107"/>
      <c r="F981" s="107"/>
    </row>
    <row r="982" spans="1:6" ht="13">
      <c r="A982" s="107"/>
      <c r="B982" s="107"/>
      <c r="C982" s="107"/>
      <c r="D982" s="107"/>
      <c r="E982" s="107"/>
      <c r="F982" s="107"/>
    </row>
    <row r="983" spans="1:6" ht="13">
      <c r="A983" s="107"/>
      <c r="B983" s="107"/>
      <c r="C983" s="107"/>
      <c r="D983" s="107"/>
      <c r="E983" s="107"/>
      <c r="F983" s="107"/>
    </row>
    <row r="984" spans="1:6" ht="13">
      <c r="A984" s="107"/>
      <c r="B984" s="107"/>
      <c r="C984" s="107"/>
      <c r="D984" s="107"/>
      <c r="E984" s="107"/>
      <c r="F984" s="107"/>
    </row>
    <row r="985" spans="1:6" ht="13">
      <c r="A985" s="107"/>
      <c r="B985" s="107"/>
      <c r="C985" s="107"/>
      <c r="D985" s="107"/>
      <c r="E985" s="107"/>
      <c r="F985" s="107"/>
    </row>
    <row r="986" spans="1:6" ht="13">
      <c r="A986" s="107"/>
      <c r="B986" s="107"/>
      <c r="C986" s="107"/>
      <c r="D986" s="107"/>
      <c r="E986" s="107"/>
      <c r="F986" s="107"/>
    </row>
    <row r="987" spans="1:6" ht="13">
      <c r="A987" s="107"/>
      <c r="B987" s="107"/>
      <c r="C987" s="107"/>
      <c r="D987" s="107"/>
      <c r="E987" s="107"/>
      <c r="F987" s="107"/>
    </row>
    <row r="988" spans="1:6" ht="13">
      <c r="A988" s="107"/>
      <c r="B988" s="107"/>
      <c r="C988" s="107"/>
      <c r="D988" s="107"/>
      <c r="E988" s="107"/>
      <c r="F988" s="107"/>
    </row>
    <row r="989" spans="1:6" ht="13">
      <c r="A989" s="107"/>
      <c r="B989" s="107"/>
      <c r="C989" s="107"/>
      <c r="D989" s="107"/>
      <c r="E989" s="107"/>
      <c r="F989" s="107"/>
    </row>
    <row r="990" spans="1:6" ht="13">
      <c r="A990" s="107"/>
      <c r="B990" s="107"/>
      <c r="C990" s="107"/>
      <c r="D990" s="107"/>
      <c r="E990" s="107"/>
      <c r="F990" s="107"/>
    </row>
    <row r="991" spans="1:6" ht="13">
      <c r="A991" s="107"/>
      <c r="B991" s="107"/>
      <c r="C991" s="107"/>
      <c r="D991" s="107"/>
      <c r="E991" s="107"/>
      <c r="F991" s="107"/>
    </row>
    <row r="992" spans="1:6" ht="13">
      <c r="A992" s="107"/>
      <c r="B992" s="107"/>
      <c r="C992" s="107"/>
      <c r="D992" s="107"/>
      <c r="E992" s="107"/>
      <c r="F992" s="107"/>
    </row>
    <row r="993" spans="1:6" ht="13">
      <c r="A993" s="107"/>
      <c r="B993" s="107"/>
      <c r="C993" s="107"/>
      <c r="D993" s="107"/>
      <c r="E993" s="107"/>
      <c r="F993" s="107"/>
    </row>
    <row r="994" spans="1:6" ht="13">
      <c r="A994" s="107"/>
      <c r="B994" s="107"/>
      <c r="C994" s="107"/>
      <c r="D994" s="107"/>
      <c r="E994" s="107"/>
      <c r="F994" s="107"/>
    </row>
    <row r="995" spans="1:6" ht="13">
      <c r="A995" s="107"/>
      <c r="B995" s="107"/>
      <c r="C995" s="107"/>
      <c r="D995" s="107"/>
      <c r="E995" s="107"/>
      <c r="F995" s="107"/>
    </row>
    <row r="996" spans="1:6" ht="13">
      <c r="A996" s="107"/>
      <c r="B996" s="107"/>
      <c r="C996" s="107"/>
      <c r="D996" s="107"/>
      <c r="E996" s="107"/>
      <c r="F996" s="107"/>
    </row>
    <row r="997" spans="1:6" ht="13">
      <c r="A997" s="107"/>
      <c r="B997" s="107"/>
      <c r="C997" s="107"/>
      <c r="D997" s="107"/>
      <c r="E997" s="107"/>
      <c r="F997" s="107"/>
    </row>
    <row r="998" spans="1:6" ht="13">
      <c r="A998" s="107"/>
      <c r="B998" s="107"/>
      <c r="C998" s="107"/>
      <c r="D998" s="107"/>
      <c r="E998" s="107"/>
      <c r="F998" s="107"/>
    </row>
    <row r="999" spans="1:6" ht="13">
      <c r="A999" s="107"/>
    </row>
  </sheetData>
  <hyperlinks>
    <hyperlink ref="E280" r:id="rId1" xr:uid="{00000000-0004-0000-0700-000000000000}"/>
    <hyperlink ref="E305" r:id="rId2" xr:uid="{00000000-0004-0000-0700-000001000000}"/>
    <hyperlink ref="E309" r:id="rId3" xr:uid="{00000000-0004-0000-0700-000002000000}"/>
    <hyperlink ref="E314" r:id="rId4" xr:uid="{00000000-0004-0000-0700-000003000000}"/>
    <hyperlink ref="E315" r:id="rId5" xr:uid="{00000000-0004-0000-0700-000004000000}"/>
    <hyperlink ref="E317" r:id="rId6" xr:uid="{00000000-0004-0000-0700-000005000000}"/>
    <hyperlink ref="E318" r:id="rId7" xr:uid="{00000000-0004-0000-0700-000006000000}"/>
    <hyperlink ref="E320" r:id="rId8" xr:uid="{00000000-0004-0000-0700-000007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6" customWidth="1"/>
    <col min="3" max="3" width="39.09765625" customWidth="1"/>
    <col min="4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1261</v>
      </c>
      <c r="B3" s="22" t="s">
        <v>1567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179</v>
      </c>
      <c r="B4" s="22" t="s">
        <v>1568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1274</v>
      </c>
      <c r="B5" s="22" t="s">
        <v>1569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1280</v>
      </c>
      <c r="B6" s="22" t="s">
        <v>1570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1283</v>
      </c>
      <c r="B7" s="22" t="s">
        <v>1571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1289</v>
      </c>
      <c r="B8" s="22" t="s">
        <v>1572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1295</v>
      </c>
      <c r="B9" s="22" t="s">
        <v>1573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1298</v>
      </c>
      <c r="B10" s="22" t="s">
        <v>1574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1301</v>
      </c>
      <c r="B11" s="22" t="s">
        <v>1575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1307</v>
      </c>
      <c r="B12" s="22" t="s">
        <v>1576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1312</v>
      </c>
      <c r="B13" s="22" t="s">
        <v>1577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1315</v>
      </c>
      <c r="B14" s="22" t="s">
        <v>1578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1318</v>
      </c>
      <c r="B15" s="22" t="s">
        <v>1579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181</v>
      </c>
      <c r="B16" s="22" t="s">
        <v>1580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1323</v>
      </c>
      <c r="B17" s="22" t="s">
        <v>1581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182</v>
      </c>
      <c r="B18" s="22" t="s">
        <v>1582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1331</v>
      </c>
      <c r="B19" s="22" t="s">
        <v>1583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1334</v>
      </c>
      <c r="B20" s="22" t="s">
        <v>1584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1351</v>
      </c>
      <c r="B21" s="22" t="s">
        <v>1585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1354</v>
      </c>
      <c r="B22" s="22" t="s">
        <v>1586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1357</v>
      </c>
      <c r="B23" s="22" t="s">
        <v>1587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1360</v>
      </c>
      <c r="B24" s="22" t="s">
        <v>1588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1363</v>
      </c>
      <c r="B25" s="22" t="s">
        <v>1589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1366</v>
      </c>
      <c r="B26" s="22" t="s">
        <v>1590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1371</v>
      </c>
      <c r="B27" s="22" t="s">
        <v>1591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187</v>
      </c>
      <c r="B28" s="22" t="s">
        <v>1592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1383</v>
      </c>
      <c r="B29" s="22" t="s">
        <v>1593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188</v>
      </c>
      <c r="B30" s="22" t="s">
        <v>1594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1391</v>
      </c>
      <c r="B31" s="22" t="s">
        <v>1595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879</v>
      </c>
      <c r="B32" s="22" t="s">
        <v>1596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1028</v>
      </c>
      <c r="B33" s="22" t="s">
        <v>1597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209</v>
      </c>
      <c r="B34" s="22" t="s">
        <v>1598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210</v>
      </c>
      <c r="B35" s="22" t="s">
        <v>1599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693</v>
      </c>
      <c r="B36" s="22" t="s">
        <v>1600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702</v>
      </c>
      <c r="B37" s="22" t="s">
        <v>1601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1052</v>
      </c>
      <c r="B38" s="22" t="s">
        <v>1602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218</v>
      </c>
      <c r="B39" s="22" t="s">
        <v>1603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711</v>
      </c>
      <c r="B40" s="22" t="s">
        <v>1604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865</v>
      </c>
      <c r="B41" s="22" t="s">
        <v>1605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679</v>
      </c>
      <c r="B42" s="22" t="s">
        <v>1606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531</v>
      </c>
      <c r="B43" s="22" t="s">
        <v>1607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882</v>
      </c>
      <c r="B44" s="22" t="s">
        <v>1608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885</v>
      </c>
      <c r="B45" s="22" t="s">
        <v>1609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699</v>
      </c>
      <c r="B46" s="22" t="s">
        <v>1610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1046</v>
      </c>
      <c r="B47" s="22" t="s">
        <v>1611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1249</v>
      </c>
      <c r="B48" s="22" t="s">
        <v>1612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1217</v>
      </c>
      <c r="B49" s="22" t="s">
        <v>1613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229</v>
      </c>
      <c r="B50" s="22" t="s">
        <v>1614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388</v>
      </c>
      <c r="B51" s="22" t="s">
        <v>1615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231</v>
      </c>
      <c r="B52" s="22" t="s">
        <v>553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234</v>
      </c>
      <c r="B53" s="22" t="s">
        <v>1616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409</v>
      </c>
      <c r="B54" s="22" t="s">
        <v>1617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413</v>
      </c>
      <c r="B55" s="22" t="s">
        <v>1618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420</v>
      </c>
      <c r="B56" s="22" t="s">
        <v>1619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241</v>
      </c>
      <c r="B57" s="22" t="s">
        <v>1620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244</v>
      </c>
      <c r="B58" s="22" t="s">
        <v>1621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245</v>
      </c>
      <c r="B59" s="22" t="s">
        <v>1622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246</v>
      </c>
      <c r="B60" s="22" t="s">
        <v>1208</v>
      </c>
      <c r="C60" s="144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477</v>
      </c>
      <c r="B61" s="22" t="s">
        <v>1623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506</v>
      </c>
      <c r="B62" s="22" t="s">
        <v>1624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509</v>
      </c>
      <c r="B63" s="22" t="s">
        <v>1625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558</v>
      </c>
      <c r="B64" s="22" t="s">
        <v>1626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253</v>
      </c>
      <c r="B65" s="22" t="s">
        <v>1627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570</v>
      </c>
      <c r="B66" s="22" t="s">
        <v>1628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255</v>
      </c>
      <c r="B67" s="22" t="s">
        <v>1629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256</v>
      </c>
      <c r="B68" s="22" t="s">
        <v>1630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592</v>
      </c>
      <c r="B69" s="22" t="s">
        <v>1631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598</v>
      </c>
      <c r="B70" s="22" t="s">
        <v>1632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606</v>
      </c>
      <c r="B71" s="22" t="s">
        <v>1633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258</v>
      </c>
      <c r="B72" s="22" t="s">
        <v>1634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613</v>
      </c>
      <c r="B73" s="22" t="s">
        <v>1635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623</v>
      </c>
      <c r="B74" s="22" t="s">
        <v>1636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631</v>
      </c>
      <c r="B75" s="22" t="s">
        <v>1637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653</v>
      </c>
      <c r="B76" s="22" t="s">
        <v>1638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659</v>
      </c>
      <c r="B77" s="22" t="s">
        <v>1639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266</v>
      </c>
      <c r="B78" s="22" t="s">
        <v>1640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744</v>
      </c>
      <c r="B79" s="22" t="s">
        <v>1641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267</v>
      </c>
      <c r="B80" s="22" t="s">
        <v>1642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755</v>
      </c>
      <c r="B81" s="22" t="s">
        <v>1643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758</v>
      </c>
      <c r="B82" s="22" t="s">
        <v>1644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268</v>
      </c>
      <c r="B83" s="22" t="s">
        <v>1645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270</v>
      </c>
      <c r="B84" s="22" t="s">
        <v>1646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272</v>
      </c>
      <c r="B85" s="22" t="s">
        <v>1647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784</v>
      </c>
      <c r="B86" s="22" t="s">
        <v>1648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274</v>
      </c>
      <c r="B87" s="22" t="s">
        <v>1649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276</v>
      </c>
      <c r="B88" s="22" t="s">
        <v>1650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802</v>
      </c>
      <c r="B89" s="22" t="s">
        <v>1651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278</v>
      </c>
      <c r="B90" s="22" t="s">
        <v>1652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280</v>
      </c>
      <c r="B91" s="22" t="s">
        <v>1653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828</v>
      </c>
      <c r="B92" s="22" t="s">
        <v>1654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836</v>
      </c>
      <c r="B93" s="22" t="s">
        <v>1655</v>
      </c>
      <c r="C93" s="22" t="e">
        <f t="array" aca="1" ref="C93" ca="1">_xludf.XLOOKUP(A93,'Batch || Working'!$C$2:$C$438,'Batch || Working'!$E$2:$E$438)</f>
        <v>#NAME?</v>
      </c>
    </row>
    <row r="94" spans="1:3" ht="14.25" customHeight="1">
      <c r="A94" s="22" t="s">
        <v>839</v>
      </c>
      <c r="B94" s="22" t="s">
        <v>1656</v>
      </c>
      <c r="C94" s="22" t="e">
        <f t="array" aca="1" ref="C94" ca="1">_xludf.XLOOKUP(A94,'Batch || Working'!$C$2:$C$438,'Batch || Working'!$E$2:$E$438)</f>
        <v>#NAME?</v>
      </c>
    </row>
    <row r="95" spans="1:3" ht="14.25" customHeight="1">
      <c r="A95" s="22" t="s">
        <v>845</v>
      </c>
      <c r="B95" s="22" t="s">
        <v>1657</v>
      </c>
      <c r="C95" s="22" t="e">
        <f t="array" aca="1" ref="C95" ca="1">_xludf.XLOOKUP(A95,'Batch || Working'!$C$2:$C$438,'Batch || Working'!$E$2:$E$438)</f>
        <v>#NAME?</v>
      </c>
    </row>
    <row r="96" spans="1:3" ht="14.25" customHeight="1">
      <c r="A96" s="22" t="s">
        <v>848</v>
      </c>
      <c r="B96" s="22" t="s">
        <v>1658</v>
      </c>
      <c r="C96" s="22" t="e">
        <f t="array" aca="1" ref="C96" ca="1">_xludf.XLOOKUP(A96,'Batch || Working'!$C$2:$C$438,'Batch || Working'!$E$2:$E$438)</f>
        <v>#NAME?</v>
      </c>
    </row>
    <row r="97" spans="1:3" ht="14.25" customHeight="1">
      <c r="A97" s="22" t="s">
        <v>928</v>
      </c>
      <c r="B97" s="22" t="s">
        <v>1659</v>
      </c>
      <c r="C97" s="22" t="e">
        <f t="array" aca="1" ref="C97" ca="1">_xludf.XLOOKUP(A97,'Batch || Working'!$C$2:$C$438,'Batch || Working'!$E$2:$E$438)</f>
        <v>#NAME?</v>
      </c>
    </row>
    <row r="98" spans="1:3" ht="14.25" customHeight="1">
      <c r="A98" s="22" t="s">
        <v>288</v>
      </c>
      <c r="B98" s="22" t="s">
        <v>1660</v>
      </c>
      <c r="C98" s="22" t="e">
        <f t="array" aca="1" ref="C98" ca="1">_xludf.XLOOKUP(A98,'Batch || Working'!$C$2:$C$438,'Batch || Working'!$E$2:$E$438)</f>
        <v>#NAME?</v>
      </c>
    </row>
    <row r="99" spans="1:3" ht="14.25" customHeight="1">
      <c r="A99" s="22" t="s">
        <v>933</v>
      </c>
      <c r="B99" s="22" t="s">
        <v>1661</v>
      </c>
      <c r="C99" s="22" t="e">
        <f t="array" aca="1" ref="C99" ca="1">_xludf.XLOOKUP(A99,'Batch || Working'!$C$2:$C$438,'Batch || Working'!$E$2:$E$438)</f>
        <v>#NAME?</v>
      </c>
    </row>
    <row r="100" spans="1:3" ht="14.25" customHeight="1">
      <c r="A100" s="22" t="s">
        <v>949</v>
      </c>
      <c r="B100" s="22" t="s">
        <v>1662</v>
      </c>
      <c r="C100" s="22" t="e">
        <f t="array" aca="1" ref="C100" ca="1">_xludf.XLOOKUP(A100,'Batch || Working'!$C$2:$C$438,'Batch || Working'!$E$2:$E$438)</f>
        <v>#NAME?</v>
      </c>
    </row>
    <row r="101" spans="1:3" ht="14.25" customHeight="1">
      <c r="A101" s="22" t="s">
        <v>291</v>
      </c>
      <c r="B101" s="22" t="s">
        <v>1663</v>
      </c>
      <c r="C101" s="22" t="e">
        <f t="array" aca="1" ref="C101" ca="1">_xludf.XLOOKUP(A101,'Batch || Working'!$C$2:$C$438,'Batch || Working'!$E$2:$E$438)</f>
        <v>#NAME?</v>
      </c>
    </row>
    <row r="102" spans="1:3" ht="14.25" customHeight="1">
      <c r="A102" s="22" t="s">
        <v>292</v>
      </c>
      <c r="B102" s="22" t="s">
        <v>1664</v>
      </c>
      <c r="C102" s="22" t="e">
        <f t="array" aca="1" ref="C102" ca="1">_xludf.XLOOKUP(A102,'Batch || Working'!$C$2:$C$438,'Batch || Working'!$E$2:$E$438)</f>
        <v>#NAME?</v>
      </c>
    </row>
    <row r="103" spans="1:3" ht="14.25" customHeight="1">
      <c r="A103" s="22" t="s">
        <v>294</v>
      </c>
      <c r="B103" s="22" t="s">
        <v>1665</v>
      </c>
      <c r="C103" s="22" t="e">
        <f t="array" aca="1" ref="C103" ca="1">_xludf.XLOOKUP(A103,'Batch || Working'!$C$2:$C$438,'Batch || Working'!$E$2:$E$438)</f>
        <v>#NAME?</v>
      </c>
    </row>
    <row r="104" spans="1:3" ht="14.25" customHeight="1">
      <c r="A104" s="22" t="s">
        <v>965</v>
      </c>
      <c r="B104" s="22" t="s">
        <v>1666</v>
      </c>
      <c r="C104" s="22" t="e">
        <f t="array" aca="1" ref="C104" ca="1">_xludf.XLOOKUP(A104,'Batch || Working'!$C$2:$C$438,'Batch || Working'!$E$2:$E$438)</f>
        <v>#NAME?</v>
      </c>
    </row>
    <row r="105" spans="1:3" ht="14.25" customHeight="1">
      <c r="A105" s="22" t="s">
        <v>296</v>
      </c>
      <c r="B105" s="22" t="s">
        <v>1667</v>
      </c>
      <c r="C105" s="22" t="e">
        <f t="array" aca="1" ref="C105" ca="1">_xludf.XLOOKUP(A105,'Batch || Working'!$C$2:$C$438,'Batch || Working'!$E$2:$E$438)</f>
        <v>#NAME?</v>
      </c>
    </row>
    <row r="106" spans="1:3" ht="14.25" customHeight="1">
      <c r="A106" s="22" t="s">
        <v>981</v>
      </c>
      <c r="B106" s="22" t="s">
        <v>1668</v>
      </c>
      <c r="C106" s="22" t="e">
        <f t="array" aca="1" ref="C106" ca="1">_xludf.XLOOKUP(A106,'Batch || Working'!$C$2:$C$438,'Batch || Working'!$E$2:$E$438)</f>
        <v>#NAME?</v>
      </c>
    </row>
    <row r="107" spans="1:3" ht="14.25" customHeight="1">
      <c r="A107" s="22" t="s">
        <v>300</v>
      </c>
      <c r="B107" s="22" t="s">
        <v>1669</v>
      </c>
      <c r="C107" s="22" t="e">
        <f t="array" aca="1" ref="C107" ca="1">_xludf.XLOOKUP(A107,'Batch || Working'!$C$2:$C$438,'Batch || Working'!$E$2:$E$438)</f>
        <v>#NAME?</v>
      </c>
    </row>
    <row r="108" spans="1:3" ht="14.25" customHeight="1">
      <c r="A108" s="22" t="s">
        <v>301</v>
      </c>
      <c r="B108" s="22" t="s">
        <v>1670</v>
      </c>
      <c r="C108" s="22" t="e">
        <f t="array" aca="1" ref="C108" ca="1">_xludf.XLOOKUP(A108,'Batch || Working'!$C$2:$C$438,'Batch || Working'!$E$2:$E$438)</f>
        <v>#NAME?</v>
      </c>
    </row>
    <row r="109" spans="1:3" ht="14.25" customHeight="1">
      <c r="A109" s="22" t="s">
        <v>1066</v>
      </c>
      <c r="B109" s="22" t="s">
        <v>1671</v>
      </c>
      <c r="C109" s="22" t="e">
        <f t="array" aca="1" ref="C109" ca="1">_xludf.XLOOKUP(A109,'Batch || Working'!$C$2:$C$438,'Batch || Working'!$E$2:$E$438)</f>
        <v>#NAME?</v>
      </c>
    </row>
    <row r="110" spans="1:3" ht="14.25" customHeight="1">
      <c r="A110" s="22" t="s">
        <v>1075</v>
      </c>
      <c r="B110" s="22" t="s">
        <v>1672</v>
      </c>
      <c r="C110" s="22" t="e">
        <f t="array" aca="1" ref="C110" ca="1">_xludf.XLOOKUP(A110,'Batch || Working'!$C$2:$C$438,'Batch || Working'!$E$2:$E$438)</f>
        <v>#NAME?</v>
      </c>
    </row>
    <row r="111" spans="1:3" ht="14.25" customHeight="1">
      <c r="A111" s="22" t="s">
        <v>1078</v>
      </c>
      <c r="B111" s="22" t="s">
        <v>1673</v>
      </c>
      <c r="C111" s="22" t="e">
        <f t="array" aca="1" ref="C111" ca="1">_xludf.XLOOKUP(A111,'Batch || Working'!$C$2:$C$438,'Batch || Working'!$E$2:$E$438)</f>
        <v>#NAME?</v>
      </c>
    </row>
    <row r="112" spans="1:3" ht="14.25" customHeight="1">
      <c r="A112" s="22" t="s">
        <v>1081</v>
      </c>
      <c r="B112" s="22" t="s">
        <v>1674</v>
      </c>
      <c r="C112" s="22" t="e">
        <f t="array" aca="1" ref="C112" ca="1">_xludf.XLOOKUP(A112,'Batch || Working'!$C$2:$C$438,'Batch || Working'!$E$2:$E$438)</f>
        <v>#NAME?</v>
      </c>
    </row>
    <row r="113" spans="1:3" ht="14.25" customHeight="1">
      <c r="A113" s="22" t="s">
        <v>1084</v>
      </c>
      <c r="B113" s="22" t="s">
        <v>1675</v>
      </c>
      <c r="C113" s="22" t="e">
        <f t="array" aca="1" ref="C113" ca="1">_xludf.XLOOKUP(A113,'Batch || Working'!$C$2:$C$438,'Batch || Working'!$E$2:$E$438)</f>
        <v>#NAME?</v>
      </c>
    </row>
    <row r="114" spans="1:3" ht="14.25" customHeight="1">
      <c r="A114" s="22" t="s">
        <v>1087</v>
      </c>
      <c r="B114" s="22" t="s">
        <v>1676</v>
      </c>
      <c r="C114" s="22" t="e">
        <f t="array" aca="1" ref="C114" ca="1">_xludf.XLOOKUP(A114,'Batch || Working'!$C$2:$C$438,'Batch || Working'!$E$2:$E$438)</f>
        <v>#NAME?</v>
      </c>
    </row>
    <row r="115" spans="1:3" ht="14.25" customHeight="1">
      <c r="A115" s="22" t="s">
        <v>1093</v>
      </c>
      <c r="B115" s="22" t="s">
        <v>1677</v>
      </c>
      <c r="C115" s="22" t="e">
        <f t="array" aca="1" ref="C115" ca="1">_xludf.XLOOKUP(A115,'Batch || Working'!$C$2:$C$438,'Batch || Working'!$E$2:$E$438)</f>
        <v>#NAME?</v>
      </c>
    </row>
    <row r="116" spans="1:3" ht="14.25" customHeight="1">
      <c r="A116" s="22" t="s">
        <v>1098</v>
      </c>
      <c r="B116" s="22" t="s">
        <v>1678</v>
      </c>
      <c r="C116" s="22" t="e">
        <f t="array" aca="1" ref="C116" ca="1">_xludf.XLOOKUP(A116,'Batch || Working'!$C$2:$C$438,'Batch || Working'!$E$2:$E$438)</f>
        <v>#NAME?</v>
      </c>
    </row>
    <row r="117" spans="1:3" ht="14.25" customHeight="1">
      <c r="A117" s="22" t="s">
        <v>306</v>
      </c>
      <c r="B117" s="22" t="s">
        <v>1679</v>
      </c>
      <c r="C117" s="22" t="e">
        <f t="array" aca="1" ref="C117" ca="1">_xludf.XLOOKUP(A117,'Batch || Working'!$C$2:$C$438,'Batch || Working'!$E$2:$E$438)</f>
        <v>#NAME?</v>
      </c>
    </row>
    <row r="118" spans="1:3" ht="14.25" customHeight="1">
      <c r="A118" s="22" t="s">
        <v>307</v>
      </c>
      <c r="B118" s="22" t="s">
        <v>1680</v>
      </c>
      <c r="C118" s="22" t="e">
        <f t="array" aca="1" ref="C118" ca="1">_xludf.XLOOKUP(A118,'Batch || Working'!$C$2:$C$438,'Batch || Working'!$E$2:$E$438)</f>
        <v>#NAME?</v>
      </c>
    </row>
    <row r="119" spans="1:3" ht="14.25" customHeight="1">
      <c r="A119" s="22" t="s">
        <v>1125</v>
      </c>
      <c r="B119" s="22" t="s">
        <v>1681</v>
      </c>
      <c r="C119" s="22" t="e">
        <f t="array" aca="1" ref="C119" ca="1">_xludf.XLOOKUP(A119,'Batch || Working'!$C$2:$C$438,'Batch || Working'!$E$2:$E$438)</f>
        <v>#NAME?</v>
      </c>
    </row>
    <row r="120" spans="1:3" ht="14.25" customHeight="1">
      <c r="A120" s="22" t="s">
        <v>1128</v>
      </c>
      <c r="B120" s="22" t="s">
        <v>1682</v>
      </c>
      <c r="C120" s="22" t="e">
        <f t="array" aca="1" ref="C120" ca="1">_xludf.XLOOKUP(A120,'Batch || Working'!$C$2:$C$438,'Batch || Working'!$E$2:$E$438)</f>
        <v>#NAME?</v>
      </c>
    </row>
    <row r="121" spans="1:3" ht="14.25" customHeight="1">
      <c r="A121" s="22" t="s">
        <v>1135</v>
      </c>
      <c r="B121" s="22" t="s">
        <v>1683</v>
      </c>
      <c r="C121" s="22" t="e">
        <f t="array" aca="1" ref="C121" ca="1">_xludf.XLOOKUP(A121,'Batch || Working'!$C$2:$C$438,'Batch || Working'!$E$2:$E$438)</f>
        <v>#NAME?</v>
      </c>
    </row>
    <row r="122" spans="1:3" ht="14.25" customHeight="1">
      <c r="A122" s="22" t="s">
        <v>1138</v>
      </c>
      <c r="B122" s="22" t="s">
        <v>1684</v>
      </c>
      <c r="C122" s="22" t="e">
        <f t="array" aca="1" ref="C122" ca="1">_xludf.XLOOKUP(A122,'Batch || Working'!$C$2:$C$438,'Batch || Working'!$E$2:$E$438)</f>
        <v>#NAME?</v>
      </c>
    </row>
    <row r="123" spans="1:3" ht="14.25" customHeight="1">
      <c r="A123" s="22" t="s">
        <v>310</v>
      </c>
      <c r="B123" s="22" t="s">
        <v>1685</v>
      </c>
      <c r="C123" s="22" t="e">
        <f t="array" aca="1" ref="C123" ca="1">_xludf.XLOOKUP(A123,'Batch || Working'!$C$2:$C$438,'Batch || Working'!$E$2:$E$438)</f>
        <v>#NAME?</v>
      </c>
    </row>
    <row r="124" spans="1:3" ht="14.25" customHeight="1">
      <c r="A124" s="22" t="s">
        <v>313</v>
      </c>
      <c r="B124" s="22" t="s">
        <v>1686</v>
      </c>
      <c r="C124" s="22" t="e">
        <f t="array" aca="1" ref="C124" ca="1">_xludf.XLOOKUP(A124,'Batch || Working'!$C$2:$C$438,'Batch || Working'!$E$2:$E$438)</f>
        <v>#NAME?</v>
      </c>
    </row>
    <row r="125" spans="1:3" ht="14.25" customHeight="1">
      <c r="A125" s="22" t="s">
        <v>1172</v>
      </c>
      <c r="B125" s="22" t="s">
        <v>1687</v>
      </c>
      <c r="C125" s="22" t="e">
        <f t="array" aca="1" ref="C125" ca="1">_xludf.XLOOKUP(A125,'Batch || Working'!$C$2:$C$438,'Batch || Working'!$E$2:$E$438)</f>
        <v>#NAME?</v>
      </c>
    </row>
    <row r="126" spans="1:3" ht="14.25" customHeight="1">
      <c r="A126" s="22" t="s">
        <v>1182</v>
      </c>
      <c r="B126" s="22" t="s">
        <v>1688</v>
      </c>
      <c r="C126" s="22" t="e">
        <f t="array" aca="1" ref="C126" ca="1">_xludf.XLOOKUP(A126,'Batch || Working'!$C$2:$C$438,'Batch || Working'!$E$2:$E$438)</f>
        <v>#NAME?</v>
      </c>
    </row>
    <row r="127" spans="1:3" ht="14.25" customHeight="1">
      <c r="A127" s="22" t="s">
        <v>1191</v>
      </c>
      <c r="B127" s="22" t="s">
        <v>1689</v>
      </c>
      <c r="C127" s="22" t="e">
        <f t="array" aca="1" ref="C127" ca="1">_xludf.XLOOKUP(A127,'Batch || Working'!$C$2:$C$438,'Batch || Working'!$E$2:$E$438)</f>
        <v>#NAME?</v>
      </c>
    </row>
    <row r="128" spans="1:3" ht="14.25" customHeight="1">
      <c r="A128" s="22" t="s">
        <v>1194</v>
      </c>
      <c r="B128" s="22" t="s">
        <v>1690</v>
      </c>
      <c r="C128" s="22" t="e">
        <f t="array" aca="1" ref="C128" ca="1">_xludf.XLOOKUP(A128,'Batch || Working'!$C$2:$C$438,'Batch || Working'!$E$2:$E$438)</f>
        <v>#NAME?</v>
      </c>
    </row>
    <row r="129" spans="1:3" ht="14.25" customHeight="1">
      <c r="A129" s="22" t="s">
        <v>1200</v>
      </c>
      <c r="B129" s="22" t="s">
        <v>1691</v>
      </c>
      <c r="C129" s="22" t="e">
        <f t="array" aca="1" ref="C129" ca="1">_xludf.XLOOKUP(A129,'Batch || Working'!$C$2:$C$438,'Batch || Working'!$E$2:$E$438)</f>
        <v>#NAME?</v>
      </c>
    </row>
    <row r="130" spans="1:3" ht="14.25" customHeight="1">
      <c r="A130" s="22" t="s">
        <v>862</v>
      </c>
      <c r="B130" s="22" t="s">
        <v>1692</v>
      </c>
      <c r="C130" s="22" t="e">
        <f t="array" aca="1" ref="C130" ca="1">_xludf.XLOOKUP(A130,'Batch || Working'!$C$2:$C$438,'Batch || Working'!$E$2:$E$438)</f>
        <v>#NAME?</v>
      </c>
    </row>
    <row r="131" spans="1:3" ht="14.25" customHeight="1"/>
    <row r="132" spans="1:3" ht="14.25" customHeight="1"/>
    <row r="133" spans="1:3" ht="14.25" customHeight="1"/>
    <row r="134" spans="1:3" ht="14.25" customHeight="1"/>
    <row r="135" spans="1:3" ht="14.25" customHeight="1"/>
    <row r="136" spans="1:3" ht="14.25" customHeight="1"/>
    <row r="137" spans="1:3" ht="14.25" customHeight="1"/>
    <row r="138" spans="1:3" ht="14.25" customHeight="1"/>
    <row r="139" spans="1:3" ht="14.25" customHeight="1"/>
    <row r="140" spans="1:3" ht="14.25" customHeight="1"/>
    <row r="141" spans="1:3" ht="14.25" customHeight="1"/>
    <row r="142" spans="1:3" ht="14.25" customHeight="1"/>
    <row r="143" spans="1:3" ht="14.25" customHeight="1"/>
    <row r="144" spans="1: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99"/>
  <sheetViews>
    <sheetView workbookViewId="0"/>
  </sheetViews>
  <sheetFormatPr defaultColWidth="14.3984375" defaultRowHeight="15.75" customHeight="1"/>
  <cols>
    <col min="1" max="1" width="10.296875" customWidth="1"/>
    <col min="2" max="2" width="26" customWidth="1"/>
    <col min="3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e">
        <f t="array" aca="1" ref="B2" ca="1">_xludf.XLOOKUP(A2,'Batch || Working'!$C$2:$C$438,'Batch || Working'!$D$2:$D$438)</f>
        <v>#NAME?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1274</v>
      </c>
      <c r="B3" s="22" t="s">
        <v>1569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1280</v>
      </c>
      <c r="B4" s="22" t="e">
        <f t="array" aca="1" ref="B4" ca="1">_xludf.XLOOKUP(A4,'Batch || Working'!$C$2:$C$438,'Batch || Working'!$D$2:$D$438)</f>
        <v>#NAME?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1283</v>
      </c>
      <c r="B5" s="22" t="s">
        <v>1571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1295</v>
      </c>
      <c r="B6" s="22" t="e">
        <f t="array" aca="1" ref="B6" ca="1">_xludf.XLOOKUP(A6,'Batch || Working'!$C$2:$C$438,'Batch || Working'!$D$2:$D$438)</f>
        <v>#NAME?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1298</v>
      </c>
      <c r="B7" s="22" t="e">
        <f t="array" aca="1" ref="B7" ca="1">_xludf.XLOOKUP(A7,'Batch || Working'!$C$2:$C$438,'Batch || Working'!$D$2:$D$438)</f>
        <v>#NAME?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1301</v>
      </c>
      <c r="B8" s="22" t="e">
        <f t="array" aca="1" ref="B8" ca="1">_xludf.XLOOKUP(A8,'Batch || Working'!$C$2:$C$438,'Batch || Working'!$D$2:$D$438)</f>
        <v>#NAME?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1307</v>
      </c>
      <c r="B9" s="22" t="e">
        <f t="array" aca="1" ref="B9" ca="1">_xludf.XLOOKUP(A9,'Batch || Working'!$C$2:$C$438,'Batch || Working'!$D$2:$D$438)</f>
        <v>#NAME?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1312</v>
      </c>
      <c r="B10" s="22" t="e">
        <f t="array" aca="1" ref="B10" ca="1">_xludf.XLOOKUP(A10,'Batch || Working'!$C$2:$C$438,'Batch || Working'!$D$2:$D$438)</f>
        <v>#NAME?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1315</v>
      </c>
      <c r="B11" s="22" t="e">
        <f t="array" aca="1" ref="B11" ca="1">_xludf.XLOOKUP(A11,'Batch || Working'!$C$2:$C$438,'Batch || Working'!$D$2:$D$438)</f>
        <v>#NAME?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1323</v>
      </c>
      <c r="B12" s="22" t="s">
        <v>1581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182</v>
      </c>
      <c r="B13" s="22" t="e">
        <f t="array" aca="1" ref="B13" ca="1">_xludf.XLOOKUP(A13,'Batch || Working'!$C$2:$C$438,'Batch || Working'!$D$2:$D$438)</f>
        <v>#NAME?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1331</v>
      </c>
      <c r="B14" s="22" t="e">
        <f t="array" aca="1" ref="B14" ca="1">_xludf.XLOOKUP(A14,'Batch || Working'!$C$2:$C$438,'Batch || Working'!$D$2:$D$438)</f>
        <v>#NAME?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1351</v>
      </c>
      <c r="B15" s="22" t="s">
        <v>1585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1354</v>
      </c>
      <c r="B16" s="22" t="s">
        <v>1586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1357</v>
      </c>
      <c r="B17" s="22" t="e">
        <f t="array" aca="1" ref="B17" ca="1">_xludf.XLOOKUP(A17,'Batch || Working'!$C$2:$C$438,'Batch || Working'!$D$2:$D$438)</f>
        <v>#NAME?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1363</v>
      </c>
      <c r="B18" s="22" t="e">
        <f t="array" aca="1" ref="B18" ca="1">_xludf.XLOOKUP(A18,'Batch || Working'!$C$2:$C$438,'Batch || Working'!$D$2:$D$438)</f>
        <v>#NAME?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1366</v>
      </c>
      <c r="B19" s="22" t="s">
        <v>1590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188</v>
      </c>
      <c r="B20" s="22" t="e">
        <f t="array" aca="1" ref="B20" ca="1">_xludf.XLOOKUP(A20,'Batch || Working'!$C$2:$C$438,'Batch || Working'!$D$2:$D$438)</f>
        <v>#NAME?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1391</v>
      </c>
      <c r="B21" s="22" t="e">
        <f t="array" aca="1" ref="B21" ca="1">_xludf.XLOOKUP(A21,'Batch || Working'!$C$2:$C$438,'Batch || Working'!$D$2:$D$438)</f>
        <v>#NAME?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210</v>
      </c>
      <c r="B22" s="22" t="e">
        <f t="array" aca="1" ref="B22" ca="1">_xludf.XLOOKUP(A22,'Batch || Working'!$C$2:$C$438,'Batch || Working'!$D$2:$D$438)</f>
        <v>#NAME?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693</v>
      </c>
      <c r="B23" s="22" t="e">
        <f t="array" aca="1" ref="B23" ca="1">_xludf.XLOOKUP(A23,'Batch || Working'!$C$2:$C$438,'Batch || Working'!$D$2:$D$438)</f>
        <v>#NAME?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882</v>
      </c>
      <c r="B24" s="22" t="e">
        <f t="array" aca="1" ref="B24" ca="1">_xludf.XLOOKUP(A24,'Batch || Working'!$C$2:$C$438,'Batch || Working'!$D$2:$D$438)</f>
        <v>#NAME?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699</v>
      </c>
      <c r="B25" s="22" t="e">
        <f t="array" aca="1" ref="B25" ca="1">_xludf.XLOOKUP(A25,'Batch || Working'!$C$2:$C$438,'Batch || Working'!$D$2:$D$438)</f>
        <v>#NAME?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1046</v>
      </c>
      <c r="B26" s="22" t="e">
        <f t="array" aca="1" ref="B26" ca="1">_xludf.XLOOKUP(A26,'Batch || Working'!$C$2:$C$438,'Batch || Working'!$D$2:$D$438)</f>
        <v>#NAME?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1217</v>
      </c>
      <c r="B27" s="22" t="e">
        <f t="array" aca="1" ref="B27" ca="1">_xludf.XLOOKUP(A27,'Batch || Working'!$C$2:$C$438,'Batch || Working'!$D$2:$D$438)</f>
        <v>#NAME?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241</v>
      </c>
      <c r="B28" s="22" t="e">
        <f t="array" aca="1" ref="B28" ca="1">_xludf.XLOOKUP(A28,'Batch || Working'!$C$2:$C$438,'Batch || Working'!$D$2:$D$438)</f>
        <v>#NAME?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570</v>
      </c>
      <c r="B29" s="22" t="e">
        <f t="array" aca="1" ref="B29" ca="1">_xludf.XLOOKUP(A29,'Batch || Working'!$C$2:$C$438,'Batch || Working'!$D$2:$D$438)</f>
        <v>#NAME?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631</v>
      </c>
      <c r="B30" s="22" t="e">
        <f t="array" aca="1" ref="B30" ca="1">_xludf.XLOOKUP(A30,'Batch || Working'!$C$2:$C$438,'Batch || Working'!$D$2:$D$438)</f>
        <v>#NAME?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272</v>
      </c>
      <c r="B31" s="22" t="e">
        <f t="array" aca="1" ref="B31" ca="1">_xludf.XLOOKUP(A31,'Batch || Working'!$C$2:$C$438,'Batch || Working'!$D$2:$D$438)</f>
        <v>#NAME?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278</v>
      </c>
      <c r="B32" s="22" t="e">
        <f t="array" aca="1" ref="B32" ca="1">_xludf.XLOOKUP(A32,'Batch || Working'!$C$2:$C$438,'Batch || Working'!$D$2:$D$438)</f>
        <v>#NAME?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828</v>
      </c>
      <c r="B33" s="22" t="e">
        <f t="array" aca="1" ref="B33" ca="1">_xludf.XLOOKUP(A33,'Batch || Working'!$C$2:$C$438,'Batch || Working'!$D$2:$D$438)</f>
        <v>#NAME?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836</v>
      </c>
      <c r="B34" s="22" t="e">
        <f t="array" aca="1" ref="B34" ca="1">_xludf.XLOOKUP(A34,'Batch || Working'!$C$2:$C$438,'Batch || Working'!$D$2:$D$438)</f>
        <v>#NAME?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839</v>
      </c>
      <c r="B35" s="22" t="e">
        <f t="array" aca="1" ref="B35" ca="1">_xludf.XLOOKUP(A35,'Batch || Working'!$C$2:$C$438,'Batch || Working'!$D$2:$D$438)</f>
        <v>#NAME?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845</v>
      </c>
      <c r="B36" s="22" t="e">
        <f t="array" aca="1" ref="B36" ca="1">_xludf.XLOOKUP(A36,'Batch || Working'!$C$2:$C$438,'Batch || Working'!$D$2:$D$438)</f>
        <v>#NAME?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848</v>
      </c>
      <c r="B37" s="22" t="e">
        <f t="array" aca="1" ref="B37" ca="1">_xludf.XLOOKUP(A37,'Batch || Working'!$C$2:$C$438,'Batch || Working'!$D$2:$D$438)</f>
        <v>#NAME?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288</v>
      </c>
      <c r="B38" s="22" t="e">
        <f t="array" aca="1" ref="B38" ca="1">_xludf.XLOOKUP(A38,'Batch || Working'!$C$2:$C$438,'Batch || Working'!$D$2:$D$438)</f>
        <v>#NAME?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294</v>
      </c>
      <c r="B39" s="22" t="s">
        <v>1665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965</v>
      </c>
      <c r="B40" s="22" t="s">
        <v>1666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981</v>
      </c>
      <c r="B41" s="22" t="e">
        <f t="array" aca="1" ref="B41" ca="1">_xludf.XLOOKUP(A41,'Batch || Working'!$C$2:$C$438,'Batch || Working'!$D$2:$D$438)</f>
        <v>#NAME?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300</v>
      </c>
      <c r="B42" s="22" t="s">
        <v>1669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301</v>
      </c>
      <c r="B43" s="22" t="s">
        <v>1670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1066</v>
      </c>
      <c r="B44" s="22" t="s">
        <v>1671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1075</v>
      </c>
      <c r="B45" s="22" t="e">
        <f t="array" aca="1" ref="B45" ca="1">_xludf.XLOOKUP(A45,'Batch || Working'!$C$2:$C$438,'Batch || Working'!$D$2:$D$438)</f>
        <v>#NAME?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1078</v>
      </c>
      <c r="B46" s="22" t="s">
        <v>1673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1081</v>
      </c>
      <c r="B47" s="22" t="s">
        <v>1674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1084</v>
      </c>
      <c r="B48" s="22" t="s">
        <v>1675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1087</v>
      </c>
      <c r="B49" s="22" t="e">
        <f t="array" aca="1" ref="B49" ca="1">_xludf.XLOOKUP(A49,'Batch || Working'!$C$2:$C$438,'Batch || Working'!$D$2:$D$438)</f>
        <v>#NAME?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1093</v>
      </c>
      <c r="B50" s="22" t="e">
        <f t="array" aca="1" ref="B50" ca="1">_xludf.XLOOKUP(A50,'Batch || Working'!$C$2:$C$438,'Batch || Working'!$D$2:$D$438)</f>
        <v>#NAME?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1098</v>
      </c>
      <c r="B51" s="22" t="e">
        <f t="array" aca="1" ref="B51" ca="1">_xludf.XLOOKUP(A51,'Batch || Working'!$C$2:$C$438,'Batch || Working'!$D$2:$D$438)</f>
        <v>#NAME?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306</v>
      </c>
      <c r="B52" s="22" t="e">
        <f t="array" aca="1" ref="B52" ca="1">_xludf.XLOOKUP(A52,'Batch || Working'!$C$2:$C$438,'Batch || Working'!$D$2:$D$438)</f>
        <v>#NAME?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307</v>
      </c>
      <c r="B53" s="22" t="e">
        <f t="array" aca="1" ref="B53" ca="1">_xludf.XLOOKUP(A53,'Batch || Working'!$C$2:$C$438,'Batch || Working'!$D$2:$D$438)</f>
        <v>#NAME?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1125</v>
      </c>
      <c r="B54" s="22" t="e">
        <f t="array" aca="1" ref="B54" ca="1">_xludf.XLOOKUP(A54,'Batch || Working'!$C$2:$C$438,'Batch || Working'!$D$2:$D$438)</f>
        <v>#NAME?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1128</v>
      </c>
      <c r="B55" s="22" t="e">
        <f t="array" aca="1" ref="B55" ca="1">_xludf.XLOOKUP(A55,'Batch || Working'!$C$2:$C$438,'Batch || Working'!$D$2:$D$438)</f>
        <v>#NAME?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1135</v>
      </c>
      <c r="B56" s="22" t="e">
        <f t="array" aca="1" ref="B56" ca="1">_xludf.XLOOKUP(A56,'Batch || Working'!$C$2:$C$438,'Batch || Working'!$D$2:$D$438)</f>
        <v>#NAME?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1138</v>
      </c>
      <c r="B57" s="22" t="e">
        <f t="array" aca="1" ref="B57" ca="1">_xludf.XLOOKUP(A57,'Batch || Working'!$C$2:$C$438,'Batch || Working'!$D$2:$D$438)</f>
        <v>#NAME?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310</v>
      </c>
      <c r="B58" s="22" t="e">
        <f t="array" aca="1" ref="B58" ca="1">_xludf.XLOOKUP(A58,'Batch || Working'!$C$2:$C$438,'Batch || Working'!$D$2:$D$438)</f>
        <v>#NAME?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313</v>
      </c>
      <c r="B59" s="22" t="e">
        <f t="array" aca="1" ref="B59" ca="1">_xludf.XLOOKUP(A59,'Batch || Working'!$C$2:$C$438,'Batch || Working'!$D$2:$D$438)</f>
        <v>#NAME?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1172</v>
      </c>
      <c r="B60" s="22" t="e">
        <f t="array" aca="1" ref="B60" ca="1">_xludf.XLOOKUP(A60,'Batch || Working'!$C$2:$C$438,'Batch || Working'!$D$2:$D$438)</f>
        <v>#NAME?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1182</v>
      </c>
      <c r="B61" s="22" t="e">
        <f t="array" aca="1" ref="B61" ca="1">_xludf.XLOOKUP(A61,'Batch || Working'!$C$2:$C$438,'Batch || Working'!$D$2:$D$438)</f>
        <v>#NAME?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1191</v>
      </c>
      <c r="B62" s="22" t="e">
        <f t="array" aca="1" ref="B62" ca="1">_xludf.XLOOKUP(A62,'Batch || Working'!$C$2:$C$438,'Batch || Working'!$D$2:$D$438)</f>
        <v>#NAME?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1194</v>
      </c>
      <c r="B63" s="22" t="e">
        <f t="array" aca="1" ref="B63" ca="1">_xludf.XLOOKUP(A63,'Batch || Working'!$C$2:$C$438,'Batch || Working'!$D$2:$D$438)</f>
        <v>#NAME?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1200</v>
      </c>
      <c r="B64" s="22" t="e">
        <f t="array" aca="1" ref="B64" ca="1">_xludf.XLOOKUP(A64,'Batch || Working'!$C$2:$C$438,'Batch || Working'!$D$2:$D$438)</f>
        <v>#NAME?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862</v>
      </c>
      <c r="B65" s="22" t="e">
        <f t="array" aca="1" ref="B65" ca="1">_xludf.XLOOKUP(A65,'Batch || Working'!$C$2:$C$438,'Batch || Working'!$D$2:$D$438)</f>
        <v>#NAME?</v>
      </c>
      <c r="C65" s="22" t="e">
        <f t="array" aca="1" ref="C65" ca="1">_xludf.XLOOKUP(A65,'Batch || Working'!$C$2:$C$438,'Batch || Working'!$E$2:$E$438)</f>
        <v>#NAME?</v>
      </c>
    </row>
    <row r="66" spans="1:3" ht="14.25" customHeight="1"/>
    <row r="67" spans="1:3" ht="14.25" customHeight="1"/>
    <row r="68" spans="1:3" ht="14.25" customHeight="1"/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6" customWidth="1"/>
    <col min="3" max="22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1328</v>
      </c>
      <c r="B2" s="22" t="s">
        <v>1693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1331</v>
      </c>
      <c r="B3" s="22" t="s">
        <v>1583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1342</v>
      </c>
      <c r="B4" s="22" t="s">
        <v>1694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1360</v>
      </c>
      <c r="B5" s="22" t="s">
        <v>1588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1408</v>
      </c>
      <c r="B6" s="22" t="s">
        <v>1409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1417</v>
      </c>
      <c r="B7" s="22" t="s">
        <v>1418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1473</v>
      </c>
      <c r="B8" s="22" t="s">
        <v>1695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1507</v>
      </c>
      <c r="B9" s="22" t="s">
        <v>1508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205</v>
      </c>
      <c r="B10" s="22" t="s">
        <v>1542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1548</v>
      </c>
      <c r="B11" s="22" t="s">
        <v>1549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207</v>
      </c>
      <c r="B12" s="22" t="s">
        <v>1696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673</v>
      </c>
      <c r="B13" s="22" t="s">
        <v>1697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879</v>
      </c>
      <c r="B14" s="22" t="s">
        <v>1596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534</v>
      </c>
      <c r="B15" s="22" t="s">
        <v>1698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1229</v>
      </c>
      <c r="B16" s="22" t="s">
        <v>1699</v>
      </c>
      <c r="C16" s="144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1036</v>
      </c>
      <c r="B17" s="22" t="s">
        <v>1700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213</v>
      </c>
      <c r="B18" s="22" t="s">
        <v>1701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548</v>
      </c>
      <c r="B19" s="22" t="s">
        <v>1702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702</v>
      </c>
      <c r="B20" s="22" t="s">
        <v>1601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216</v>
      </c>
      <c r="B21" s="22" t="s">
        <v>1703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217</v>
      </c>
      <c r="B22" s="22" t="s">
        <v>1704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218</v>
      </c>
      <c r="B23" s="22" t="s">
        <v>1603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708</v>
      </c>
      <c r="B24" s="22" t="s">
        <v>1705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865</v>
      </c>
      <c r="B25" s="22" t="s">
        <v>1605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876</v>
      </c>
      <c r="B26" s="22" t="s">
        <v>1706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682</v>
      </c>
      <c r="B27" s="22" t="s">
        <v>1707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1033</v>
      </c>
      <c r="B28" s="22" t="s">
        <v>1708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690</v>
      </c>
      <c r="B29" s="22" t="s">
        <v>1709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1235</v>
      </c>
      <c r="B30" s="22" t="s">
        <v>1710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543</v>
      </c>
      <c r="B31" s="22" t="s">
        <v>1711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222</v>
      </c>
      <c r="B32" s="22" t="s">
        <v>1712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699</v>
      </c>
      <c r="B33" s="22" t="s">
        <v>1610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1055</v>
      </c>
      <c r="B34" s="22" t="s">
        <v>1713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224</v>
      </c>
      <c r="B35" s="22" t="s">
        <v>1714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1238</v>
      </c>
      <c r="B36" s="22" t="s">
        <v>1715</v>
      </c>
      <c r="C36" s="144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1217</v>
      </c>
      <c r="B37" s="22" t="s">
        <v>1613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388</v>
      </c>
      <c r="B38" s="22" t="s">
        <v>1615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232</v>
      </c>
      <c r="B39" s="22" t="s">
        <v>1716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405</v>
      </c>
      <c r="B40" s="22" t="s">
        <v>1717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420</v>
      </c>
      <c r="B41" s="22" t="s">
        <v>1619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236</v>
      </c>
      <c r="B42" s="22" t="s">
        <v>1718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437</v>
      </c>
      <c r="B43" s="22" t="s">
        <v>1719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240</v>
      </c>
      <c r="B44" s="22" t="s">
        <v>1720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457</v>
      </c>
      <c r="B45" s="22" t="s">
        <v>1721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244</v>
      </c>
      <c r="B46" s="22" t="s">
        <v>1621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485</v>
      </c>
      <c r="B47" s="22" t="s">
        <v>1722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250</v>
      </c>
      <c r="B48" s="22" t="s">
        <v>1212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509</v>
      </c>
      <c r="B49" s="22" t="s">
        <v>1625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255</v>
      </c>
      <c r="B50" s="22" t="s">
        <v>1629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578</v>
      </c>
      <c r="B51" s="22" t="s">
        <v>1723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256</v>
      </c>
      <c r="B52" s="22" t="s">
        <v>1630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583</v>
      </c>
      <c r="B53" s="22" t="s">
        <v>1724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589</v>
      </c>
      <c r="B54" s="22" t="s">
        <v>1725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592</v>
      </c>
      <c r="B55" s="22" t="s">
        <v>1631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262</v>
      </c>
      <c r="B56" s="22" t="s">
        <v>1726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637</v>
      </c>
      <c r="B57" s="22" t="s">
        <v>1727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648</v>
      </c>
      <c r="B58" s="22" t="s">
        <v>1728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653</v>
      </c>
      <c r="B59" s="22" t="s">
        <v>1638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738</v>
      </c>
      <c r="B60" s="22" t="s">
        <v>1729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755</v>
      </c>
      <c r="B61" s="22" t="s">
        <v>1643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758</v>
      </c>
      <c r="B62" s="22" t="s">
        <v>1644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276</v>
      </c>
      <c r="B63" s="22" t="s">
        <v>1650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802</v>
      </c>
      <c r="B64" s="22" t="s">
        <v>1651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808</v>
      </c>
      <c r="B65" s="22" t="s">
        <v>1730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278</v>
      </c>
      <c r="B66" s="22" t="s">
        <v>1652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831</v>
      </c>
      <c r="B67" s="22" t="s">
        <v>1731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842</v>
      </c>
      <c r="B68" s="22" t="s">
        <v>1732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848</v>
      </c>
      <c r="B69" s="22" t="s">
        <v>1658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288</v>
      </c>
      <c r="B70" s="22" t="s">
        <v>1660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933</v>
      </c>
      <c r="B71" s="22" t="s">
        <v>1661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946</v>
      </c>
      <c r="B72" s="22" t="s">
        <v>1733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292</v>
      </c>
      <c r="B73" s="22" t="s">
        <v>1664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956</v>
      </c>
      <c r="B74" s="22" t="s">
        <v>1734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965</v>
      </c>
      <c r="B75" s="22" t="s">
        <v>1666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981</v>
      </c>
      <c r="B76" s="22" t="s">
        <v>1668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300</v>
      </c>
      <c r="B77" s="22" t="s">
        <v>1669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1066</v>
      </c>
      <c r="B78" s="22" t="s">
        <v>1671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1075</v>
      </c>
      <c r="B79" s="22" t="s">
        <v>1672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1087</v>
      </c>
      <c r="B80" s="22" t="s">
        <v>1676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1093</v>
      </c>
      <c r="B81" s="22" t="s">
        <v>1677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1098</v>
      </c>
      <c r="B82" s="22" t="s">
        <v>1678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305</v>
      </c>
      <c r="B83" s="22" t="s">
        <v>1735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1109</v>
      </c>
      <c r="B84" s="22" t="s">
        <v>1736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1112</v>
      </c>
      <c r="B85" s="22" t="s">
        <v>1737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1128</v>
      </c>
      <c r="B86" s="22" t="s">
        <v>1682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1138</v>
      </c>
      <c r="B87" s="22" t="s">
        <v>1684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1145</v>
      </c>
      <c r="B88" s="22" t="s">
        <v>1738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1159</v>
      </c>
      <c r="B89" s="22" t="s">
        <v>1739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1167</v>
      </c>
      <c r="B90" s="22" t="s">
        <v>1740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315</v>
      </c>
      <c r="B91" s="22" t="s">
        <v>1741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1194</v>
      </c>
      <c r="B92" s="22" t="s">
        <v>1690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1197</v>
      </c>
      <c r="B93" s="22" t="s">
        <v>1742</v>
      </c>
      <c r="C93" s="144" t="e">
        <f t="array" aca="1" ref="C93" ca="1">_xludf.XLOOKUP(A93,'Batch || Working'!$C$2:$C$438,'Batch || Working'!$E$2:$E$438)</f>
        <v>#NAME?</v>
      </c>
    </row>
    <row r="94" spans="1:3" ht="14.25" customHeight="1"/>
    <row r="95" spans="1:3" ht="14.25" customHeight="1"/>
    <row r="96" spans="1:3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60"/>
  <sheetViews>
    <sheetView workbookViewId="0"/>
  </sheetViews>
  <sheetFormatPr defaultColWidth="14.3984375" defaultRowHeight="15.75" customHeight="1"/>
  <cols>
    <col min="1" max="1" width="10.296875" customWidth="1"/>
    <col min="2" max="2" width="26" customWidth="1"/>
    <col min="3" max="24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1261</v>
      </c>
      <c r="B2" s="22" t="s">
        <v>1567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179</v>
      </c>
      <c r="B3" s="22" t="s">
        <v>1568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1289</v>
      </c>
      <c r="B4" s="22" t="s">
        <v>1572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1318</v>
      </c>
      <c r="B5" s="22" t="s">
        <v>1579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181</v>
      </c>
      <c r="B6" s="22" t="s">
        <v>1580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1334</v>
      </c>
      <c r="B7" s="22" t="s">
        <v>1584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1360</v>
      </c>
      <c r="B8" s="22" t="s">
        <v>1588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1371</v>
      </c>
      <c r="B9" s="22" t="s">
        <v>1591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187</v>
      </c>
      <c r="B10" s="22" t="s">
        <v>1592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1383</v>
      </c>
      <c r="B11" s="22" t="s">
        <v>1593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879</v>
      </c>
      <c r="B12" s="22" t="s">
        <v>1596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1028</v>
      </c>
      <c r="B13" s="22" t="s">
        <v>1597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209</v>
      </c>
      <c r="B14" s="22" t="s">
        <v>1598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702</v>
      </c>
      <c r="B15" s="22" t="e">
        <f t="array" aca="1" ref="B15" ca="1">_xludf.XLOOKUP(A15,'Batch || Working'!$C$2:$C$438,'Batch || Working'!$D$2:$D$438)</f>
        <v>#NAME?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1052</v>
      </c>
      <c r="B16" s="22" t="e">
        <f t="array" aca="1" ref="B16" ca="1">_xludf.XLOOKUP(A16,'Batch || Working'!$C$2:$C$438,'Batch || Working'!$D$2:$D$438)</f>
        <v>#NAME?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218</v>
      </c>
      <c r="B17" s="22" t="e">
        <f t="array" aca="1" ref="B17" ca="1">_xludf.XLOOKUP(A17,'Batch || Working'!$C$2:$C$438,'Batch || Working'!$D$2:$D$438)</f>
        <v>#NAME?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711</v>
      </c>
      <c r="B18" s="22" t="s">
        <v>1604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865</v>
      </c>
      <c r="B19" s="22" t="s">
        <v>1605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679</v>
      </c>
      <c r="B20" s="22" t="s">
        <v>1606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531</v>
      </c>
      <c r="B21" s="22" t="e">
        <f t="array" aca="1" ref="B21" ca="1">_xludf.XLOOKUP(A21,'Batch || Working'!$C$2:$C$438,'Batch || Working'!$D$2:$D$438)</f>
        <v>#NAME?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885</v>
      </c>
      <c r="B22" s="22" t="e">
        <f t="array" aca="1" ref="B22" ca="1">_xludf.XLOOKUP(A22,'Batch || Working'!$C$2:$C$438,'Batch || Working'!$D$2:$D$438)</f>
        <v>#NAME?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1249</v>
      </c>
      <c r="B23" s="22" t="e">
        <f t="array" aca="1" ref="B23" ca="1">_xludf.XLOOKUP(A23,'Batch || Working'!$C$2:$C$438,'Batch || Working'!$D$2:$D$438)</f>
        <v>#NAME?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229</v>
      </c>
      <c r="B24" s="22" t="s">
        <v>1614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388</v>
      </c>
      <c r="B25" s="22" t="s">
        <v>1615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231</v>
      </c>
      <c r="B26" s="22" t="s">
        <v>553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234</v>
      </c>
      <c r="B27" s="22" t="s">
        <v>1616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409</v>
      </c>
      <c r="B28" s="22" t="s">
        <v>1617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413</v>
      </c>
      <c r="B29" s="22" t="s">
        <v>1618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420</v>
      </c>
      <c r="B30" s="22" t="s">
        <v>1619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244</v>
      </c>
      <c r="B31" s="22" t="s">
        <v>1621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245</v>
      </c>
      <c r="B32" s="22" t="s">
        <v>1622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246</v>
      </c>
      <c r="B33" s="22" t="s">
        <v>1208</v>
      </c>
      <c r="C33" s="144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477</v>
      </c>
      <c r="B34" s="22" t="s">
        <v>1623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506</v>
      </c>
      <c r="B35" s="22" t="s">
        <v>1624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509</v>
      </c>
      <c r="B36" s="22" t="s">
        <v>1625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558</v>
      </c>
      <c r="B37" s="22" t="s">
        <v>1626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253</v>
      </c>
      <c r="B38" s="22" t="s">
        <v>1627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255</v>
      </c>
      <c r="B39" s="22" t="s">
        <v>1629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256</v>
      </c>
      <c r="B40" s="22" t="s">
        <v>1630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592</v>
      </c>
      <c r="B41" s="22" t="s">
        <v>1631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598</v>
      </c>
      <c r="B42" s="22" t="s">
        <v>1632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606</v>
      </c>
      <c r="B43" s="22" t="s">
        <v>1633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258</v>
      </c>
      <c r="B44" s="22" t="s">
        <v>1634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613</v>
      </c>
      <c r="B45" s="22" t="s">
        <v>1635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623</v>
      </c>
      <c r="B46" s="22" t="s">
        <v>1636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653</v>
      </c>
      <c r="B47" s="22" t="s">
        <v>1638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659</v>
      </c>
      <c r="B48" s="22" t="s">
        <v>1639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266</v>
      </c>
      <c r="B49" s="22" t="s">
        <v>1640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744</v>
      </c>
      <c r="B50" s="22" t="s">
        <v>1641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267</v>
      </c>
      <c r="B51" s="22" t="s">
        <v>1642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755</v>
      </c>
      <c r="B52" s="22" t="s">
        <v>1643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758</v>
      </c>
      <c r="B53" s="22" t="s">
        <v>1644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268</v>
      </c>
      <c r="B54" s="22" t="s">
        <v>1645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270</v>
      </c>
      <c r="B55" s="22" t="s">
        <v>1646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784</v>
      </c>
      <c r="B56" s="22" t="s">
        <v>1648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274</v>
      </c>
      <c r="B57" s="22" t="s">
        <v>1649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276</v>
      </c>
      <c r="B58" s="22" t="s">
        <v>1650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802</v>
      </c>
      <c r="B59" s="22" t="s">
        <v>1651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280</v>
      </c>
      <c r="B60" s="22" t="s">
        <v>1653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928</v>
      </c>
      <c r="B61" s="22" t="s">
        <v>1659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933</v>
      </c>
      <c r="B62" s="22" t="s">
        <v>1661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949</v>
      </c>
      <c r="B63" s="22" t="s">
        <v>1662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291</v>
      </c>
      <c r="B64" s="22" t="s">
        <v>1663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292</v>
      </c>
      <c r="B65" s="22" t="s">
        <v>1664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296</v>
      </c>
      <c r="B66" s="22" t="s">
        <v>1667</v>
      </c>
      <c r="C66" s="22" t="e">
        <f t="array" aca="1" ref="C66" ca="1">_xludf.XLOOKUP(A66,'Batch || Working'!$C$2:$C$438,'Batch || Working'!$E$2:$E$438)</f>
        <v>#NAME?</v>
      </c>
    </row>
    <row r="67" spans="1:3" ht="14.25" customHeight="1"/>
    <row r="68" spans="1:3" ht="14.25" customHeight="1"/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54"/>
  <sheetViews>
    <sheetView workbookViewId="0"/>
  </sheetViews>
  <sheetFormatPr defaultColWidth="14.3984375" defaultRowHeight="15.75" customHeight="1"/>
  <cols>
    <col min="2" max="2" width="26.59765625" customWidth="1"/>
    <col min="3" max="3" width="35.39843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3">
      <c r="A2" s="103" t="s">
        <v>1408</v>
      </c>
      <c r="B2" s="22" t="str">
        <f>VLOOKUP(A2,BEDM!A:C,2,FALSE)</f>
        <v>Aditya Kaswan</v>
      </c>
      <c r="C2" s="22" t="e">
        <f ca="1">VLOOKUP(A2,BEDM!A:C,3,FALSE)</f>
        <v>#NAME?</v>
      </c>
    </row>
    <row r="3" spans="1:3" ht="13">
      <c r="A3" s="22" t="s">
        <v>1417</v>
      </c>
      <c r="B3" s="22" t="s">
        <v>1418</v>
      </c>
      <c r="C3" s="22" t="e">
        <f t="array" aca="1" ref="C3" ca="1">_xludf.XLOOKUP(A3,'Batch || Working'!$C$2:$C$438,'Batch || Working'!$E$2:$E$438)</f>
        <v>#NAME?</v>
      </c>
    </row>
    <row r="4" spans="1:3" ht="13">
      <c r="A4" s="103" t="s">
        <v>1473</v>
      </c>
      <c r="B4" s="22" t="str">
        <f>VLOOKUP(A4,BEDM!A:C,2,FALSE)</f>
        <v>Rajkumar Pathina</v>
      </c>
      <c r="C4" s="22" t="e">
        <f ca="1">VLOOKUP(A4,BEDM!A:C,3,FALSE)</f>
        <v>#NAME?</v>
      </c>
    </row>
    <row r="5" spans="1:3" ht="13">
      <c r="A5" s="103" t="s">
        <v>205</v>
      </c>
      <c r="B5" s="22" t="str">
        <f>VLOOKUP(A5,BEDM!A:C,2,FALSE)</f>
        <v>Yuvraj Jaiswal</v>
      </c>
      <c r="C5" s="22" t="e">
        <f ca="1">VLOOKUP(A5,BEDM!A:C,3,FALSE)</f>
        <v>#NAME?</v>
      </c>
    </row>
    <row r="6" spans="1:3" ht="13">
      <c r="A6" s="145" t="s">
        <v>1548</v>
      </c>
      <c r="B6" s="145" t="s">
        <v>1549</v>
      </c>
      <c r="C6" s="145" t="e">
        <f t="array" aca="1" ref="C6" ca="1">_xludf.XLOOKUP(A6,'Batch || Working'!$C$2:$C$438,'Batch || Working'!$E$2:$E$438)</f>
        <v>#NAME?</v>
      </c>
    </row>
    <row r="7" spans="1:3" ht="13">
      <c r="A7" s="103" t="s">
        <v>207</v>
      </c>
      <c r="B7" s="22" t="str">
        <f>VLOOKUP(A7,BEDM!A:C,2,FALSE)</f>
        <v>ADITI AGRAWAL</v>
      </c>
      <c r="C7" s="22" t="e">
        <f ca="1">VLOOKUP(A7,BEDM!A:C,3,FALSE)</f>
        <v>#NAME?</v>
      </c>
    </row>
    <row r="8" spans="1:3" ht="13">
      <c r="A8" s="145" t="s">
        <v>879</v>
      </c>
      <c r="B8" s="145" t="s">
        <v>1596</v>
      </c>
      <c r="C8" s="145" t="e">
        <f t="array" aca="1" ref="C8" ca="1">_xludf.XLOOKUP(A8,'Batch || Working'!$C$2:$C$438,'Batch || Working'!$E$2:$E$438)</f>
        <v>#NAME?</v>
      </c>
    </row>
    <row r="9" spans="1:3" ht="13">
      <c r="A9" s="22" t="s">
        <v>534</v>
      </c>
      <c r="B9" s="22" t="s">
        <v>1698</v>
      </c>
      <c r="C9" s="22" t="e">
        <f t="array" aca="1" ref="C9" ca="1">_xludf.XLOOKUP(A9,'Batch || Working'!$C$2:$C$438,'Batch || Working'!$E$2:$E$438)</f>
        <v>#NAME?</v>
      </c>
    </row>
    <row r="10" spans="1:3" ht="13">
      <c r="A10" s="145" t="s">
        <v>1229</v>
      </c>
      <c r="B10" s="145" t="s">
        <v>1699</v>
      </c>
      <c r="C10" s="146" t="e">
        <f t="array" aca="1" ref="C10" ca="1">_xludf.XLOOKUP(A10,'Batch || Working'!$C$2:$C$438,'Batch || Working'!$E$2:$E$438)</f>
        <v>#NAME?</v>
      </c>
    </row>
    <row r="11" spans="1:3" ht="13">
      <c r="A11" s="145" t="s">
        <v>216</v>
      </c>
      <c r="B11" s="145" t="s">
        <v>1703</v>
      </c>
      <c r="C11" s="145" t="e">
        <f t="array" aca="1" ref="C11" ca="1">_xludf.XLOOKUP(A11,'Batch || Working'!$C$2:$C$438,'Batch || Working'!$E$2:$E$438)</f>
        <v>#NAME?</v>
      </c>
    </row>
    <row r="12" spans="1:3" ht="13">
      <c r="A12" s="103" t="s">
        <v>217</v>
      </c>
      <c r="B12" s="22" t="str">
        <f>VLOOKUP(A12,BEDM!A:C,2,FALSE)</f>
        <v>TUSSHAR RAJ SINHA</v>
      </c>
      <c r="C12" s="22" t="e">
        <f ca="1">VLOOKUP(A12,BEDM!A:C,3,FALSE)</f>
        <v>#NAME?</v>
      </c>
    </row>
    <row r="13" spans="1:3" ht="13">
      <c r="A13" s="103" t="s">
        <v>218</v>
      </c>
      <c r="B13" s="22" t="str">
        <f>VLOOKUP(A13,BEDM!A:C,2,FALSE)</f>
        <v>YASH AKSHAT KUMAR</v>
      </c>
      <c r="C13" s="22" t="e">
        <f ca="1">VLOOKUP(A13,BEDM!A:C,3,FALSE)</f>
        <v>#NAME?</v>
      </c>
    </row>
    <row r="14" spans="1:3" ht="13">
      <c r="A14" s="103" t="s">
        <v>708</v>
      </c>
      <c r="B14" s="22" t="str">
        <f>VLOOKUP(A14,BEDM!A:C,2,FALSE)</f>
        <v>YASHIKA YADAV</v>
      </c>
      <c r="C14" s="22" t="e">
        <f ca="1">VLOOKUP(A14,BEDM!A:C,3,FALSE)</f>
        <v>#NAME?</v>
      </c>
    </row>
    <row r="15" spans="1:3" ht="13">
      <c r="A15" s="22" t="s">
        <v>1033</v>
      </c>
      <c r="B15" s="22" t="s">
        <v>1708</v>
      </c>
      <c r="C15" s="22" t="e">
        <f t="array" aca="1" ref="C15" ca="1">_xludf.XLOOKUP(A15,'Batch || Working'!$C$2:$C$438,'Batch || Working'!$E$2:$E$438)</f>
        <v>#NAME?</v>
      </c>
    </row>
    <row r="16" spans="1:3" ht="13">
      <c r="A16" s="22" t="s">
        <v>1235</v>
      </c>
      <c r="B16" s="22" t="s">
        <v>1710</v>
      </c>
      <c r="C16" s="22" t="e">
        <f t="array" aca="1" ref="C16" ca="1">_xludf.XLOOKUP(A16,'Batch || Working'!$C$2:$C$438,'Batch || Working'!$E$2:$E$438)</f>
        <v>#NAME?</v>
      </c>
    </row>
    <row r="17" spans="1:22" ht="14.25" customHeight="1">
      <c r="A17" s="145" t="s">
        <v>405</v>
      </c>
      <c r="B17" s="145" t="s">
        <v>1717</v>
      </c>
      <c r="C17" s="145" t="e">
        <f t="array" aca="1" ref="C17" ca="1">_xludf.XLOOKUP(A17,'Batch || Working'!$C$2:$C$438,'Batch || Working'!$E$2:$E$438)</f>
        <v>#NAME?</v>
      </c>
    </row>
    <row r="18" spans="1:22" ht="13">
      <c r="A18" s="145" t="s">
        <v>437</v>
      </c>
      <c r="B18" s="145" t="s">
        <v>1719</v>
      </c>
      <c r="C18" s="145" t="e">
        <f t="array" aca="1" ref="C18" ca="1">_xludf.XLOOKUP(A18,'Batch || Working'!$C$2:$C$438,'Batch || Working'!$E$2:$E$438)</f>
        <v>#NAME?</v>
      </c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</row>
    <row r="19" spans="1:22" ht="13">
      <c r="A19" s="103" t="s">
        <v>250</v>
      </c>
      <c r="B19" s="22" t="str">
        <f>VLOOKUP(A19,BEDM!A:C,2,FALSE)</f>
        <v>Nikhil Kumar</v>
      </c>
      <c r="C19" s="22" t="e">
        <f ca="1">VLOOKUP(A19,BEDM!A:C,3,FALSE)</f>
        <v>#NAME?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</row>
    <row r="20" spans="1:22" ht="14.25" customHeight="1">
      <c r="A20" s="22" t="s">
        <v>255</v>
      </c>
      <c r="B20" s="22" t="s">
        <v>1629</v>
      </c>
      <c r="C20" s="22" t="e">
        <f t="array" aca="1" ref="C20" ca="1">_xludf.XLOOKUP(A20,'Batch || Working'!$C$2:$C$438,'Batch || Working'!$E$2:$E$438)</f>
        <v>#NAME?</v>
      </c>
    </row>
    <row r="21" spans="1:22" ht="14.25" customHeight="1">
      <c r="A21" s="103" t="s">
        <v>578</v>
      </c>
      <c r="B21" s="22" t="str">
        <f>VLOOKUP(A21,BEDM!A:C,2,FALSE)</f>
        <v>BHUMI KALPESH SHAH</v>
      </c>
      <c r="C21" s="22" t="e">
        <f ca="1">VLOOKUP(A21,BEDM!A:C,3,FALSE)</f>
        <v>#NAME?</v>
      </c>
    </row>
    <row r="22" spans="1:22" ht="13">
      <c r="A22" s="22" t="s">
        <v>256</v>
      </c>
      <c r="B22" s="22" t="s">
        <v>1630</v>
      </c>
      <c r="C22" s="22" t="e">
        <f t="array" aca="1" ref="C22" ca="1">_xludf.XLOOKUP(A22,'Batch || Working'!$C$2:$C$438,'Batch || Working'!$E$2:$E$438)</f>
        <v>#NAME?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</row>
    <row r="23" spans="1:22" ht="13">
      <c r="A23" s="22" t="s">
        <v>592</v>
      </c>
      <c r="B23" s="22" t="s">
        <v>1631</v>
      </c>
      <c r="C23" s="22" t="e">
        <f t="array" aca="1" ref="C23" ca="1">_xludf.XLOOKUP(A23,'Batch || Working'!$C$2:$C$438,'Batch || Working'!$E$2:$E$438)</f>
        <v>#NAME?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</row>
    <row r="24" spans="1:22" ht="13">
      <c r="A24" s="103" t="s">
        <v>637</v>
      </c>
      <c r="B24" s="22" t="str">
        <f>VLOOKUP(A24,BEDM!A:C,2,FALSE)</f>
        <v>SHRAVANI ASHISH MAISKAR</v>
      </c>
      <c r="C24" s="22" t="e">
        <f ca="1">VLOOKUP(A24,BEDM!A:C,3,FALSE)</f>
        <v>#NAME?</v>
      </c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</row>
    <row r="25" spans="1:22" ht="13">
      <c r="A25" s="145" t="s">
        <v>755</v>
      </c>
      <c r="B25" s="145" t="s">
        <v>1643</v>
      </c>
      <c r="C25" s="145" t="e">
        <f t="array" aca="1" ref="C25" ca="1">_xludf.XLOOKUP(A25,'Batch || Working'!$C$2:$C$438,'Batch || Working'!$E$2:$E$438)</f>
        <v>#NAME?</v>
      </c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</row>
    <row r="26" spans="1:22" ht="13">
      <c r="A26" s="22" t="s">
        <v>758</v>
      </c>
      <c r="B26" s="22" t="s">
        <v>1644</v>
      </c>
      <c r="C26" s="22" t="e">
        <f t="array" aca="1" ref="C26" ca="1">_xludf.XLOOKUP(A26,'Batch || Working'!$C$2:$C$438,'Batch || Working'!$E$2:$E$438)</f>
        <v>#NAME?</v>
      </c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</row>
    <row r="27" spans="1:22" ht="13">
      <c r="A27" s="103" t="s">
        <v>802</v>
      </c>
      <c r="B27" s="22" t="str">
        <f>VLOOKUP(A27,BEDM!A:C,2,FALSE)</f>
        <v>PRIYASHA GUPTA</v>
      </c>
      <c r="C27" s="22" t="e">
        <f ca="1">VLOOKUP(A27,BEDM!A:C,3,FALSE)</f>
        <v>#NAME?</v>
      </c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spans="1:22" ht="13">
      <c r="A28" s="145" t="s">
        <v>278</v>
      </c>
      <c r="B28" s="145" t="s">
        <v>1652</v>
      </c>
      <c r="C28" s="145" t="e">
        <f t="array" aca="1" ref="C28" ca="1">_xludf.XLOOKUP(A28,'Batch || Working'!$C$2:$C$438,'Batch || Working'!$E$2:$E$438)</f>
        <v>#NAME?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</row>
    <row r="29" spans="1:22" ht="13">
      <c r="A29" s="145" t="s">
        <v>848</v>
      </c>
      <c r="B29" s="145" t="s">
        <v>1658</v>
      </c>
      <c r="C29" s="145" t="e">
        <f t="array" aca="1" ref="C29" ca="1">_xludf.XLOOKUP(A29,'Batch || Working'!$C$2:$C$438,'Batch || Working'!$E$2:$E$438)</f>
        <v>#NAME?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</row>
    <row r="30" spans="1:22" ht="13">
      <c r="A30" s="145" t="s">
        <v>288</v>
      </c>
      <c r="B30" s="145" t="s">
        <v>1660</v>
      </c>
      <c r="C30" s="145" t="e">
        <f t="array" aca="1" ref="C30" ca="1">_xludf.XLOOKUP(A30,'Batch || Working'!$C$2:$C$438,'Batch || Working'!$E$2:$E$438)</f>
        <v>#NAME?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</row>
    <row r="31" spans="1:22" ht="13">
      <c r="A31" s="145" t="s">
        <v>933</v>
      </c>
      <c r="B31" s="145" t="s">
        <v>1661</v>
      </c>
      <c r="C31" s="145" t="e">
        <f t="array" aca="1" ref="C31" ca="1">_xludf.XLOOKUP(A31,'Batch || Working'!$C$2:$C$438,'Batch || Working'!$E$2:$E$438)</f>
        <v>#NAME?</v>
      </c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</row>
    <row r="32" spans="1:22" ht="13">
      <c r="A32" s="103" t="s">
        <v>292</v>
      </c>
      <c r="B32" s="22" t="str">
        <f>VLOOKUP(A32,BEDM!A:C,2,FALSE)</f>
        <v>ISHITA</v>
      </c>
      <c r="C32" s="22" t="e">
        <f ca="1">VLOOKUP(A32,BEDM!A:C,3,FALSE)</f>
        <v>#NAME?</v>
      </c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</row>
    <row r="33" spans="1:22" ht="13">
      <c r="A33" s="145" t="s">
        <v>956</v>
      </c>
      <c r="B33" s="145" t="s">
        <v>1734</v>
      </c>
      <c r="C33" s="145" t="e">
        <f t="array" aca="1" ref="C33" ca="1">_xludf.XLOOKUP(A33,'Batch || Working'!$C$2:$C$438,'Batch || Working'!$E$2:$E$438)</f>
        <v>#NAME?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</row>
    <row r="34" spans="1:22" ht="13">
      <c r="A34" s="145" t="s">
        <v>981</v>
      </c>
      <c r="B34" s="145" t="s">
        <v>1668</v>
      </c>
      <c r="C34" s="145" t="e">
        <f t="array" aca="1" ref="C34" ca="1">_xludf.XLOOKUP(A34,'Batch || Working'!$C$2:$C$438,'Batch || Working'!$E$2:$E$438)</f>
        <v>#NAME?</v>
      </c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</row>
    <row r="35" spans="1:22" ht="13">
      <c r="A35" s="145" t="s">
        <v>300</v>
      </c>
      <c r="B35" s="145" t="s">
        <v>1669</v>
      </c>
      <c r="C35" s="145" t="e">
        <f t="array" aca="1" ref="C35" ca="1">_xludf.XLOOKUP(A35,'Batch || Working'!$C$2:$C$438,'Batch || Working'!$E$2:$E$438)</f>
        <v>#NAME?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</row>
    <row r="36" spans="1:22" ht="13">
      <c r="A36" s="22" t="s">
        <v>1066</v>
      </c>
      <c r="B36" s="22" t="s">
        <v>1671</v>
      </c>
      <c r="C36" s="22" t="e">
        <f t="array" aca="1" ref="C36" ca="1">_xludf.XLOOKUP(A36,'Batch || Working'!$C$2:$C$438,'Batch || Working'!$E$2:$E$438)</f>
        <v>#NAME?</v>
      </c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</row>
    <row r="37" spans="1:22" ht="13">
      <c r="A37" s="103" t="s">
        <v>1075</v>
      </c>
      <c r="B37" s="22" t="str">
        <f>VLOOKUP(A37,BEDM!A:C,2,FALSE)</f>
        <v>ADITYA PADHI</v>
      </c>
      <c r="C37" s="22" t="e">
        <f ca="1">VLOOKUP(A37,BEDM!A:C,3,FALSE)</f>
        <v>#NAME?</v>
      </c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</row>
    <row r="38" spans="1:22" ht="13">
      <c r="A38" s="103" t="s">
        <v>1098</v>
      </c>
      <c r="B38" s="22" t="str">
        <f>VLOOKUP(A38,BEDM!A:C,2,FALSE)</f>
        <v>ANUSHKA GAYEN</v>
      </c>
      <c r="C38" s="22" t="e">
        <f ca="1">VLOOKUP(A38,BEDM!A:C,3,FALSE)</f>
        <v>#NAME?</v>
      </c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</row>
    <row r="39" spans="1:22" ht="14.25" customHeight="1">
      <c r="A39" s="103" t="s">
        <v>1109</v>
      </c>
      <c r="B39" s="22" t="str">
        <f>VLOOKUP(A39,BEDM!A:C,2,FALSE)</f>
        <v>DEBOJYOTI SARKAR</v>
      </c>
      <c r="C39" s="22" t="e">
        <f ca="1">VLOOKUP(A39,BEDM!A:C,3,FALSE)</f>
        <v>#NAME?</v>
      </c>
    </row>
    <row r="40" spans="1:22" ht="14.25" customHeight="1">
      <c r="A40" s="145" t="s">
        <v>1138</v>
      </c>
      <c r="B40" s="145" t="s">
        <v>1684</v>
      </c>
      <c r="C40" s="145" t="e">
        <f t="array" aca="1" ref="C40" ca="1">_xludf.XLOOKUP(A40,'Batch || Working'!$C$2:$C$438,'Batch || Working'!$E$2:$E$438)</f>
        <v>#NAME?</v>
      </c>
    </row>
    <row r="41" spans="1:22" ht="13">
      <c r="A41" s="145" t="s">
        <v>1159</v>
      </c>
      <c r="B41" s="145" t="s">
        <v>1739</v>
      </c>
      <c r="C41" s="145" t="e">
        <f t="array" aca="1" ref="C41" ca="1">_xludf.XLOOKUP(A41,'Batch || Working'!$C$2:$C$438,'Batch || Working'!$E$2:$E$438)</f>
        <v>#NAME?</v>
      </c>
    </row>
    <row r="42" spans="1:22" ht="13">
      <c r="A42" s="145" t="s">
        <v>1167</v>
      </c>
      <c r="B42" s="145" t="s">
        <v>1740</v>
      </c>
      <c r="C42" s="145" t="e">
        <f t="array" aca="1" ref="C42" ca="1">_xludf.XLOOKUP(A42,'Batch || Working'!$C$2:$C$438,'Batch || Working'!$E$2:$E$438)</f>
        <v>#NAME?</v>
      </c>
    </row>
    <row r="43" spans="1:22" ht="13">
      <c r="A43" s="22" t="s">
        <v>315</v>
      </c>
      <c r="B43" s="22" t="s">
        <v>1741</v>
      </c>
      <c r="C43" s="22" t="e">
        <f t="array" aca="1" ref="C43" ca="1">_xludf.XLOOKUP(A43,'Batch || Working'!$C$2:$C$438,'Batch || Working'!$E$2:$E$438)</f>
        <v>#NAME?</v>
      </c>
    </row>
    <row r="44" spans="1:22" ht="13">
      <c r="A44" s="145" t="s">
        <v>1194</v>
      </c>
      <c r="B44" s="145" t="s">
        <v>1690</v>
      </c>
      <c r="C44" s="145" t="e">
        <f t="array" aca="1" ref="C44" ca="1">_xludf.XLOOKUP(A44,'Batch || Working'!$C$2:$C$438,'Batch || Working'!$E$2:$E$438)</f>
        <v>#NAME?</v>
      </c>
    </row>
    <row r="45" spans="1:22" ht="13">
      <c r="A45" s="145" t="s">
        <v>1197</v>
      </c>
      <c r="B45" s="145" t="s">
        <v>1742</v>
      </c>
      <c r="C45" s="146" t="e">
        <f t="array" aca="1" ref="C45" ca="1">_xludf.XLOOKUP(A45,'Batch || Working'!$C$2:$C$438,'Batch || Working'!$E$2:$E$438)</f>
        <v>#NAME?</v>
      </c>
    </row>
    <row r="46" spans="1:22" ht="13">
      <c r="C46" s="146"/>
    </row>
    <row r="47" spans="1:22" ht="13">
      <c r="C47" s="146"/>
    </row>
    <row r="48" spans="1:22" ht="13">
      <c r="C48" s="146"/>
    </row>
    <row r="49" spans="3:3" ht="13">
      <c r="C49" s="146"/>
    </row>
    <row r="50" spans="3:3" ht="13">
      <c r="C50" s="146"/>
    </row>
    <row r="51" spans="3:3" ht="13">
      <c r="C51" s="146"/>
    </row>
    <row r="52" spans="3:3" ht="13">
      <c r="C52" s="146"/>
    </row>
    <row r="53" spans="3:3" ht="13">
      <c r="C53" s="146"/>
    </row>
    <row r="54" spans="3:3" ht="13">
      <c r="C54" s="14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53"/>
  <sheetViews>
    <sheetView workbookViewId="0"/>
  </sheetViews>
  <sheetFormatPr defaultColWidth="14.3984375" defaultRowHeight="15.75" customHeight="1"/>
  <cols>
    <col min="2" max="2" width="21.69921875" customWidth="1"/>
    <col min="3" max="3" width="35.296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3">
      <c r="A2" s="22" t="s">
        <v>1328</v>
      </c>
      <c r="B2" s="22" t="s">
        <v>1693</v>
      </c>
      <c r="C2" s="22" t="e">
        <f t="array" aca="1" ref="C2" ca="1">_xludf.XLOOKUP(A2,'Batch || Working'!$C$2:$C$438,'Batch || Working'!$E$2:$E$438)</f>
        <v>#NAME?</v>
      </c>
    </row>
    <row r="3" spans="1:3" ht="13">
      <c r="A3" s="22" t="s">
        <v>1331</v>
      </c>
      <c r="B3" s="22" t="s">
        <v>1583</v>
      </c>
      <c r="C3" s="22" t="e">
        <f t="array" aca="1" ref="C3" ca="1">_xludf.XLOOKUP(A3,'Batch || Working'!$C$2:$C$438,'Batch || Working'!$E$2:$E$438)</f>
        <v>#NAME?</v>
      </c>
    </row>
    <row r="4" spans="1:3" ht="13">
      <c r="A4" s="22" t="s">
        <v>1342</v>
      </c>
      <c r="B4" s="22" t="s">
        <v>1694</v>
      </c>
      <c r="C4" s="22" t="e">
        <f t="array" aca="1" ref="C4" ca="1">_xludf.XLOOKUP(A4,'Batch || Working'!$C$2:$C$438,'Batch || Working'!$E$2:$E$438)</f>
        <v>#NAME?</v>
      </c>
    </row>
    <row r="5" spans="1:3" ht="13">
      <c r="A5" s="22" t="s">
        <v>1360</v>
      </c>
      <c r="B5" s="22" t="s">
        <v>1588</v>
      </c>
      <c r="C5" s="22" t="e">
        <f t="array" aca="1" ref="C5" ca="1">_xludf.XLOOKUP(A5,'Batch || Working'!$C$2:$C$438,'Batch || Working'!$E$2:$E$438)</f>
        <v>#NAME?</v>
      </c>
    </row>
    <row r="6" spans="1:3" ht="13">
      <c r="A6" s="145" t="s">
        <v>1507</v>
      </c>
      <c r="B6" s="145" t="s">
        <v>1508</v>
      </c>
      <c r="C6" s="145" t="e">
        <f t="array" aca="1" ref="C6" ca="1">_xludf.XLOOKUP(A6,'Batch || Working'!$C$2:$C$438,'Batch || Working'!$E$2:$E$438)</f>
        <v>#NAME?</v>
      </c>
    </row>
    <row r="7" spans="1:3" ht="13">
      <c r="A7" s="22" t="s">
        <v>673</v>
      </c>
      <c r="B7" s="22" t="s">
        <v>1697</v>
      </c>
      <c r="C7" s="22" t="e">
        <f t="array" aca="1" ref="C7" ca="1">_xludf.XLOOKUP(A7,'Batch || Working'!$C$2:$C$438,'Batch || Working'!$E$2:$E$438)</f>
        <v>#NAME?</v>
      </c>
    </row>
    <row r="8" spans="1:3" ht="13">
      <c r="A8" s="22" t="s">
        <v>1036</v>
      </c>
      <c r="B8" s="22" t="s">
        <v>1700</v>
      </c>
      <c r="C8" s="22" t="e">
        <f t="array" aca="1" ref="C8" ca="1">_xludf.XLOOKUP(A8,'Batch || Working'!$C$2:$C$438,'Batch || Working'!$E$2:$E$438)</f>
        <v>#NAME?</v>
      </c>
    </row>
    <row r="9" spans="1:3" ht="13">
      <c r="A9" s="22" t="s">
        <v>213</v>
      </c>
      <c r="B9" s="22" t="s">
        <v>1701</v>
      </c>
      <c r="C9" s="22" t="e">
        <f t="array" aca="1" ref="C9" ca="1">_xludf.XLOOKUP(A9,'Batch || Working'!$C$2:$C$438,'Batch || Working'!$E$2:$E$438)</f>
        <v>#NAME?</v>
      </c>
    </row>
    <row r="10" spans="1:3" ht="13">
      <c r="A10" s="22" t="s">
        <v>548</v>
      </c>
      <c r="B10" s="22" t="s">
        <v>1702</v>
      </c>
      <c r="C10" s="22" t="e">
        <f t="array" aca="1" ref="C10" ca="1">_xludf.XLOOKUP(A10,'Batch || Working'!$C$2:$C$438,'Batch || Working'!$E$2:$E$438)</f>
        <v>#NAME?</v>
      </c>
    </row>
    <row r="11" spans="1:3" ht="13">
      <c r="A11" s="22" t="s">
        <v>702</v>
      </c>
      <c r="B11" s="22" t="s">
        <v>1601</v>
      </c>
      <c r="C11" s="22" t="e">
        <f t="array" aca="1" ref="C11" ca="1">_xludf.XLOOKUP(A11,'Batch || Working'!$C$2:$C$438,'Batch || Working'!$E$2:$E$438)</f>
        <v>#NAME?</v>
      </c>
    </row>
    <row r="12" spans="1:3" ht="13">
      <c r="A12" s="22" t="s">
        <v>865</v>
      </c>
      <c r="B12" s="22" t="s">
        <v>1605</v>
      </c>
      <c r="C12" s="22" t="e">
        <f t="array" aca="1" ref="C12" ca="1">_xludf.XLOOKUP(A12,'Batch || Working'!$C$2:$C$438,'Batch || Working'!$E$2:$E$438)</f>
        <v>#NAME?</v>
      </c>
    </row>
    <row r="13" spans="1:3" ht="13">
      <c r="A13" s="22" t="s">
        <v>876</v>
      </c>
      <c r="B13" s="22" t="s">
        <v>1706</v>
      </c>
      <c r="C13" s="22" t="e">
        <f t="array" aca="1" ref="C13" ca="1">_xludf.XLOOKUP(A13,'Batch || Working'!$C$2:$C$438,'Batch || Working'!$E$2:$E$438)</f>
        <v>#NAME?</v>
      </c>
    </row>
    <row r="14" spans="1:3" ht="13">
      <c r="A14" s="22" t="s">
        <v>682</v>
      </c>
      <c r="B14" s="22" t="s">
        <v>1707</v>
      </c>
      <c r="C14" s="22" t="e">
        <f t="array" aca="1" ref="C14" ca="1">_xludf.XLOOKUP(A14,'Batch || Working'!$C$2:$C$438,'Batch || Working'!$E$2:$E$438)</f>
        <v>#NAME?</v>
      </c>
    </row>
    <row r="15" spans="1:3" ht="13">
      <c r="A15" s="103" t="s">
        <v>690</v>
      </c>
      <c r="B15" s="22" t="str">
        <f>VLOOKUP(A15,BEDM!A:C,2,FALSE)</f>
        <v>NAMEERA ALI</v>
      </c>
      <c r="C15" s="22" t="e">
        <f ca="1">VLOOKUP(A15,BEDM!A:C,3,FALSE)</f>
        <v>#NAME?</v>
      </c>
    </row>
    <row r="16" spans="1:3" ht="13">
      <c r="A16" s="22" t="s">
        <v>543</v>
      </c>
      <c r="B16" s="22" t="s">
        <v>1711</v>
      </c>
      <c r="C16" s="22" t="e">
        <f t="array" aca="1" ref="C16" ca="1">_xludf.XLOOKUP(A16,'Batch || Working'!$C$2:$C$438,'Batch || Working'!$E$2:$E$438)</f>
        <v>#NAME?</v>
      </c>
    </row>
    <row r="17" spans="1:3" ht="13">
      <c r="A17" s="22" t="s">
        <v>222</v>
      </c>
      <c r="B17" s="22" t="s">
        <v>1712</v>
      </c>
      <c r="C17" s="22" t="e">
        <f t="array" aca="1" ref="C17" ca="1">_xludf.XLOOKUP(A17,'Batch || Working'!$C$2:$C$438,'Batch || Working'!$E$2:$E$438)</f>
        <v>#NAME?</v>
      </c>
    </row>
    <row r="18" spans="1:3" ht="13">
      <c r="A18" s="22" t="s">
        <v>699</v>
      </c>
      <c r="B18" s="22" t="s">
        <v>1610</v>
      </c>
      <c r="C18" s="22" t="e">
        <f t="array" aca="1" ref="C18" ca="1">_xludf.XLOOKUP(A18,'Batch || Working'!$C$2:$C$438,'Batch || Working'!$E$2:$E$438)</f>
        <v>#NAME?</v>
      </c>
    </row>
    <row r="19" spans="1:3" ht="13">
      <c r="A19" s="22" t="s">
        <v>1055</v>
      </c>
      <c r="B19" s="22" t="s">
        <v>1713</v>
      </c>
      <c r="C19" s="22" t="e">
        <f t="array" aca="1" ref="C19" ca="1">_xludf.XLOOKUP(A19,'Batch || Working'!$C$2:$C$438,'Batch || Working'!$E$2:$E$438)</f>
        <v>#NAME?</v>
      </c>
    </row>
    <row r="20" spans="1:3" ht="13">
      <c r="A20" s="22" t="s">
        <v>224</v>
      </c>
      <c r="B20" s="22" t="s">
        <v>1714</v>
      </c>
      <c r="C20" s="22" t="e">
        <f t="array" aca="1" ref="C20" ca="1">_xludf.XLOOKUP(A20,'Batch || Working'!$C$2:$C$438,'Batch || Working'!$E$2:$E$438)</f>
        <v>#NAME?</v>
      </c>
    </row>
    <row r="21" spans="1:3" ht="13">
      <c r="A21" s="22" t="s">
        <v>1238</v>
      </c>
      <c r="B21" s="22" t="s">
        <v>1715</v>
      </c>
      <c r="C21" s="144" t="e">
        <f t="array" aca="1" ref="C21" ca="1">_xludf.XLOOKUP(A21,'Batch || Working'!$C$2:$C$438,'Batch || Working'!$E$2:$E$438)</f>
        <v>#NAME?</v>
      </c>
    </row>
    <row r="22" spans="1:3" ht="13">
      <c r="A22" s="22" t="s">
        <v>1217</v>
      </c>
      <c r="B22" s="22" t="s">
        <v>1613</v>
      </c>
      <c r="C22" s="22" t="e">
        <f t="array" aca="1" ref="C22" ca="1">_xludf.XLOOKUP(A22,'Batch || Working'!$C$2:$C$438,'Batch || Working'!$E$2:$E$438)</f>
        <v>#NAME?</v>
      </c>
    </row>
    <row r="23" spans="1:3" ht="13">
      <c r="A23" s="22" t="s">
        <v>388</v>
      </c>
      <c r="B23" s="22" t="s">
        <v>1615</v>
      </c>
      <c r="C23" s="22" t="e">
        <f t="array" aca="1" ref="C23" ca="1">_xludf.XLOOKUP(A23,'Batch || Working'!$C$2:$C$438,'Batch || Working'!$E$2:$E$438)</f>
        <v>#NAME?</v>
      </c>
    </row>
    <row r="24" spans="1:3" ht="13">
      <c r="A24" s="22" t="s">
        <v>232</v>
      </c>
      <c r="B24" s="22" t="s">
        <v>1716</v>
      </c>
      <c r="C24" s="22" t="e">
        <f t="array" aca="1" ref="C24" ca="1">_xludf.XLOOKUP(A24,'Batch || Working'!$C$2:$C$438,'Batch || Working'!$E$2:$E$438)</f>
        <v>#NAME?</v>
      </c>
    </row>
    <row r="25" spans="1:3" ht="13">
      <c r="A25" s="22" t="s">
        <v>420</v>
      </c>
      <c r="B25" s="22" t="s">
        <v>1619</v>
      </c>
      <c r="C25" s="22" t="e">
        <f t="array" aca="1" ref="C25" ca="1">_xludf.XLOOKUP(A25,'Batch || Working'!$C$2:$C$438,'Batch || Working'!$E$2:$E$438)</f>
        <v>#NAME?</v>
      </c>
    </row>
    <row r="26" spans="1:3" ht="13">
      <c r="A26" s="22" t="s">
        <v>236</v>
      </c>
      <c r="B26" s="22" t="s">
        <v>1718</v>
      </c>
      <c r="C26" s="22" t="e">
        <f t="array" aca="1" ref="C26" ca="1">_xludf.XLOOKUP(A26,'Batch || Working'!$C$2:$C$438,'Batch || Working'!$E$2:$E$438)</f>
        <v>#NAME?</v>
      </c>
    </row>
    <row r="27" spans="1:3" ht="13">
      <c r="A27" s="22" t="s">
        <v>240</v>
      </c>
      <c r="B27" s="22" t="s">
        <v>1720</v>
      </c>
      <c r="C27" s="22" t="e">
        <f t="array" aca="1" ref="C27" ca="1">_xludf.XLOOKUP(A27,'Batch || Working'!$C$2:$C$438,'Batch || Working'!$E$2:$E$438)</f>
        <v>#NAME?</v>
      </c>
    </row>
    <row r="28" spans="1:3" ht="13">
      <c r="A28" s="22" t="s">
        <v>457</v>
      </c>
      <c r="B28" s="22" t="s">
        <v>1721</v>
      </c>
      <c r="C28" s="22" t="e">
        <f t="array" aca="1" ref="C28" ca="1">_xludf.XLOOKUP(A28,'Batch || Working'!$C$2:$C$438,'Batch || Working'!$E$2:$E$438)</f>
        <v>#NAME?</v>
      </c>
    </row>
    <row r="29" spans="1:3" ht="13">
      <c r="A29" s="22" t="s">
        <v>244</v>
      </c>
      <c r="B29" s="22" t="s">
        <v>1621</v>
      </c>
      <c r="C29" s="22" t="e">
        <f t="array" aca="1" ref="C29" ca="1">_xludf.XLOOKUP(A29,'Batch || Working'!$C$2:$C$438,'Batch || Working'!$E$2:$E$438)</f>
        <v>#NAME?</v>
      </c>
    </row>
    <row r="30" spans="1:3" ht="13">
      <c r="A30" s="22" t="s">
        <v>485</v>
      </c>
      <c r="B30" s="22" t="s">
        <v>1722</v>
      </c>
      <c r="C30" s="22" t="e">
        <f t="array" aca="1" ref="C30" ca="1">_xludf.XLOOKUP(A30,'Batch || Working'!$C$2:$C$438,'Batch || Working'!$E$2:$E$438)</f>
        <v>#NAME?</v>
      </c>
    </row>
    <row r="31" spans="1:3" ht="13">
      <c r="A31" s="22" t="s">
        <v>509</v>
      </c>
      <c r="B31" s="22" t="s">
        <v>1625</v>
      </c>
      <c r="C31" s="22" t="e">
        <f t="array" aca="1" ref="C31" ca="1">_xludf.XLOOKUP(A31,'Batch || Working'!$C$2:$C$438,'Batch || Working'!$E$2:$E$438)</f>
        <v>#NAME?</v>
      </c>
    </row>
    <row r="32" spans="1:3" ht="13">
      <c r="A32" s="22" t="s">
        <v>583</v>
      </c>
      <c r="B32" s="22" t="s">
        <v>1724</v>
      </c>
      <c r="C32" s="22" t="e">
        <f t="array" aca="1" ref="C32" ca="1">_xludf.XLOOKUP(A32,'Batch || Working'!$C$2:$C$438,'Batch || Working'!$E$2:$E$438)</f>
        <v>#NAME?</v>
      </c>
    </row>
    <row r="33" spans="1:3" ht="13">
      <c r="A33" s="22" t="s">
        <v>589</v>
      </c>
      <c r="B33" s="22" t="s">
        <v>1725</v>
      </c>
      <c r="C33" s="22" t="e">
        <f t="array" aca="1" ref="C33" ca="1">_xludf.XLOOKUP(A33,'Batch || Working'!$C$2:$C$438,'Batch || Working'!$E$2:$E$438)</f>
        <v>#NAME?</v>
      </c>
    </row>
    <row r="34" spans="1:3" ht="13">
      <c r="A34" s="22" t="s">
        <v>262</v>
      </c>
      <c r="B34" s="22" t="s">
        <v>1726</v>
      </c>
      <c r="C34" s="22" t="e">
        <f t="array" aca="1" ref="C34" ca="1">_xludf.XLOOKUP(A34,'Batch || Working'!$C$2:$C$438,'Batch || Working'!$E$2:$E$438)</f>
        <v>#NAME?</v>
      </c>
    </row>
    <row r="35" spans="1:3" ht="13">
      <c r="A35" s="145" t="s">
        <v>648</v>
      </c>
      <c r="B35" s="145" t="s">
        <v>1728</v>
      </c>
      <c r="C35" s="145" t="e">
        <f t="array" aca="1" ref="C35" ca="1">_xludf.XLOOKUP(A35,'Batch || Working'!$C$2:$C$438,'Batch || Working'!$E$2:$E$438)</f>
        <v>#NAME?</v>
      </c>
    </row>
    <row r="36" spans="1:3" ht="13">
      <c r="A36" s="22" t="s">
        <v>653</v>
      </c>
      <c r="B36" s="22" t="s">
        <v>1638</v>
      </c>
      <c r="C36" s="22" t="e">
        <f t="array" aca="1" ref="C36" ca="1">_xludf.XLOOKUP(A36,'Batch || Working'!$C$2:$C$438,'Batch || Working'!$E$2:$E$438)</f>
        <v>#NAME?</v>
      </c>
    </row>
    <row r="37" spans="1:3" ht="13">
      <c r="A37" s="22" t="s">
        <v>738</v>
      </c>
      <c r="B37" s="22" t="s">
        <v>1729</v>
      </c>
      <c r="C37" s="22" t="e">
        <f t="array" aca="1" ref="C37" ca="1">_xludf.XLOOKUP(A37,'Batch || Working'!$C$2:$C$438,'Batch || Working'!$E$2:$E$438)</f>
        <v>#NAME?</v>
      </c>
    </row>
    <row r="38" spans="1:3" ht="13">
      <c r="A38" s="22" t="s">
        <v>276</v>
      </c>
      <c r="B38" s="22" t="s">
        <v>1650</v>
      </c>
      <c r="C38" s="22" t="e">
        <f t="array" aca="1" ref="C38" ca="1">_xludf.XLOOKUP(A38,'Batch || Working'!$C$2:$C$438,'Batch || Working'!$E$2:$E$438)</f>
        <v>#NAME?</v>
      </c>
    </row>
    <row r="39" spans="1:3" ht="13">
      <c r="A39" s="145" t="s">
        <v>808</v>
      </c>
      <c r="B39" s="145" t="s">
        <v>1730</v>
      </c>
      <c r="C39" s="145" t="e">
        <f t="array" aca="1" ref="C39" ca="1">_xludf.XLOOKUP(A39,'Batch || Working'!$C$2:$C$438,'Batch || Working'!$E$2:$E$438)</f>
        <v>#NAME?</v>
      </c>
    </row>
    <row r="40" spans="1:3" ht="13">
      <c r="A40" s="145" t="s">
        <v>831</v>
      </c>
      <c r="B40" s="145" t="s">
        <v>1731</v>
      </c>
      <c r="C40" s="145" t="e">
        <f t="array" aca="1" ref="C40" ca="1">_xludf.XLOOKUP(A40,'Batch || Working'!$C$2:$C$438,'Batch || Working'!$E$2:$E$438)</f>
        <v>#NAME?</v>
      </c>
    </row>
    <row r="41" spans="1:3" ht="13">
      <c r="A41" s="22" t="s">
        <v>842</v>
      </c>
      <c r="B41" s="22" t="s">
        <v>1732</v>
      </c>
      <c r="C41" s="22" t="e">
        <f t="array" aca="1" ref="C41" ca="1">_xludf.XLOOKUP(A41,'Batch || Working'!$C$2:$C$438,'Batch || Working'!$E$2:$E$438)</f>
        <v>#NAME?</v>
      </c>
    </row>
    <row r="42" spans="1:3" ht="13">
      <c r="A42" s="103" t="s">
        <v>946</v>
      </c>
      <c r="B42" s="22" t="str">
        <f>VLOOKUP(A42,BEDM!A:C,2,FALSE)</f>
        <v>GURJIT SAGAR V</v>
      </c>
      <c r="C42" s="22" t="e">
        <f ca="1">VLOOKUP(A42,BEDM!A:C,3,FALSE)</f>
        <v>#NAME?</v>
      </c>
    </row>
    <row r="43" spans="1:3" ht="13">
      <c r="A43" s="22" t="s">
        <v>965</v>
      </c>
      <c r="B43" s="22" t="s">
        <v>1666</v>
      </c>
      <c r="C43" s="22" t="e">
        <f t="array" aca="1" ref="C43" ca="1">_xludf.XLOOKUP(A43,'Batch || Working'!$C$2:$C$438,'Batch || Working'!$E$2:$E$438)</f>
        <v>#NAME?</v>
      </c>
    </row>
    <row r="44" spans="1:3" ht="13">
      <c r="A44" s="22" t="s">
        <v>1087</v>
      </c>
      <c r="B44" s="22" t="s">
        <v>1676</v>
      </c>
      <c r="C44" s="22" t="e">
        <f t="array" aca="1" ref="C44" ca="1">_xludf.XLOOKUP(A44,'Batch || Working'!$C$2:$C$438,'Batch || Working'!$E$2:$E$438)</f>
        <v>#NAME?</v>
      </c>
    </row>
    <row r="45" spans="1:3" ht="13">
      <c r="A45" s="22" t="s">
        <v>1093</v>
      </c>
      <c r="B45" s="22" t="s">
        <v>1677</v>
      </c>
      <c r="C45" s="22" t="e">
        <f t="array" aca="1" ref="C45" ca="1">_xludf.XLOOKUP(A45,'Batch || Working'!$C$2:$C$438,'Batch || Working'!$E$2:$E$438)</f>
        <v>#NAME?</v>
      </c>
    </row>
    <row r="46" spans="1:3" ht="13">
      <c r="A46" s="22" t="s">
        <v>305</v>
      </c>
      <c r="B46" s="22" t="s">
        <v>1735</v>
      </c>
      <c r="C46" s="22" t="e">
        <f t="array" aca="1" ref="C46" ca="1">_xludf.XLOOKUP(A46,'Batch || Working'!$C$2:$C$438,'Batch || Working'!$E$2:$E$438)</f>
        <v>#NAME?</v>
      </c>
    </row>
    <row r="47" spans="1:3" ht="13">
      <c r="A47" s="22" t="s">
        <v>1112</v>
      </c>
      <c r="B47" s="22" t="s">
        <v>1737</v>
      </c>
      <c r="C47" s="22" t="e">
        <f t="array" aca="1" ref="C47" ca="1">_xludf.XLOOKUP(A47,'Batch || Working'!$C$2:$C$438,'Batch || Working'!$E$2:$E$438)</f>
        <v>#NAME?</v>
      </c>
    </row>
    <row r="48" spans="1:3" ht="13">
      <c r="A48" s="22" t="s">
        <v>1128</v>
      </c>
      <c r="B48" s="22" t="s">
        <v>1682</v>
      </c>
      <c r="C48" s="22" t="e">
        <f t="array" aca="1" ref="C48" ca="1">_xludf.XLOOKUP(A48,'Batch || Working'!$C$2:$C$438,'Batch || Working'!$E$2:$E$438)</f>
        <v>#NAME?</v>
      </c>
    </row>
    <row r="49" spans="1:3" ht="13">
      <c r="A49" s="22" t="s">
        <v>1145</v>
      </c>
      <c r="B49" s="22" t="s">
        <v>1738</v>
      </c>
      <c r="C49" s="22" t="e">
        <f t="array" aca="1" ref="C49" ca="1">_xludf.XLOOKUP(A49,'Batch || Working'!$C$2:$C$438,'Batch || Working'!$E$2:$E$438)</f>
        <v>#NAME?</v>
      </c>
    </row>
    <row r="50" spans="1:3" ht="13">
      <c r="C50" s="145"/>
    </row>
    <row r="51" spans="1:3" ht="13">
      <c r="C51" s="145"/>
    </row>
    <row r="52" spans="1:3" ht="13">
      <c r="C52" s="145"/>
    </row>
    <row r="53" spans="1:3" ht="13">
      <c r="C53" s="14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4.3984375" defaultRowHeight="15.75" customHeight="1"/>
  <cols>
    <col min="1" max="1" width="10.296875" customWidth="1"/>
    <col min="2" max="2" width="26.69921875" customWidth="1"/>
    <col min="3" max="3" width="32" customWidth="1"/>
    <col min="4" max="25" width="8.69921875" customWidth="1"/>
  </cols>
  <sheetData>
    <row r="1" spans="1:6" ht="14.25" customHeight="1">
      <c r="A1" s="104" t="s">
        <v>176</v>
      </c>
      <c r="B1" s="104" t="s">
        <v>177</v>
      </c>
      <c r="C1" s="104" t="s">
        <v>364</v>
      </c>
    </row>
    <row r="2" spans="1:6" ht="14.25" customHeight="1">
      <c r="A2" s="22" t="s">
        <v>186</v>
      </c>
      <c r="B2" s="22" t="s">
        <v>1743</v>
      </c>
      <c r="C2" s="22" t="e">
        <f t="array" aca="1" ref="C2" ca="1">_xludf.XLOOKUP(A2,'Batch || Working'!$C$2:$C$438,'Batch || Working'!$E$2:$E$438)</f>
        <v>#NAME?</v>
      </c>
    </row>
    <row r="3" spans="1:6" ht="14.25" customHeight="1">
      <c r="A3" s="22" t="s">
        <v>1398</v>
      </c>
      <c r="B3" s="22" t="s">
        <v>1399</v>
      </c>
      <c r="C3" s="22" t="e">
        <f t="array" aca="1" ref="C3" ca="1">_xludf.XLOOKUP(A3,'Batch || Working'!$C$2:$C$438,'Batch || Working'!$E$2:$E$438)</f>
        <v>#NAME?</v>
      </c>
      <c r="F3" s="22" t="str">
        <f>VLOOKUP(A3,'WH-B'!A:A,1,FALSE)</f>
        <v>H001-24</v>
      </c>
    </row>
    <row r="4" spans="1:6" ht="14.25" customHeight="1">
      <c r="A4" s="22" t="s">
        <v>1551</v>
      </c>
      <c r="B4" s="22" t="s">
        <v>1744</v>
      </c>
      <c r="C4" s="22" t="e">
        <f t="array" aca="1" ref="C4" ca="1">_xludf.XLOOKUP(A4,'Batch || Working'!$C$2:$C$438,'Batch || Working'!$E$2:$E$438)</f>
        <v>#NAME?</v>
      </c>
    </row>
    <row r="5" spans="1:6" ht="14.25" customHeight="1">
      <c r="A5" s="22" t="s">
        <v>1408</v>
      </c>
      <c r="B5" s="22" t="s">
        <v>1409</v>
      </c>
      <c r="C5" s="22" t="e">
        <f t="array" aca="1" ref="C5" ca="1">_xludf.XLOOKUP(A5,'Batch || Working'!$C$2:$C$438,'Batch || Working'!$E$2:$E$438)</f>
        <v>#NAME?</v>
      </c>
      <c r="F5" s="22" t="str">
        <f>VLOOKUP(A5,'WH-B'!A:A,1,FALSE)</f>
        <v>H005-24</v>
      </c>
    </row>
    <row r="6" spans="1:6" ht="14.25" customHeight="1">
      <c r="A6" s="22" t="s">
        <v>1423</v>
      </c>
      <c r="B6" s="22" t="s">
        <v>1424</v>
      </c>
      <c r="C6" s="22" t="e">
        <f t="array" aca="1" ref="C6" ca="1">_xludf.XLOOKUP(A6,'Batch || Working'!$C$2:$C$438,'Batch || Working'!$E$2:$E$438)</f>
        <v>#NAME?</v>
      </c>
    </row>
    <row r="7" spans="1:6" ht="14.25" customHeight="1">
      <c r="A7" s="22" t="s">
        <v>1431</v>
      </c>
      <c r="B7" s="22" t="s">
        <v>1432</v>
      </c>
      <c r="C7" s="22" t="e">
        <f t="array" aca="1" ref="C7" ca="1">_xludf.XLOOKUP(A7,'Batch || Working'!$C$2:$C$438,'Batch || Working'!$E$2:$E$438)</f>
        <v>#NAME?</v>
      </c>
      <c r="F7" s="22" t="str">
        <f>VLOOKUP(A7,'WH-B'!A:A,1,FALSE)</f>
        <v>H014-24</v>
      </c>
    </row>
    <row r="8" spans="1:6" ht="14.25" customHeight="1">
      <c r="A8" s="22" t="s">
        <v>1434</v>
      </c>
      <c r="B8" s="22" t="s">
        <v>1435</v>
      </c>
      <c r="C8" s="22" t="e">
        <f t="array" aca="1" ref="C8" ca="1">_xludf.XLOOKUP(A8,'Batch || Working'!$C$2:$C$438,'Batch || Working'!$E$2:$E$438)</f>
        <v>#NAME?</v>
      </c>
      <c r="F8" s="22" t="str">
        <f>VLOOKUP(A8,'WH-B'!A:A,1,FALSE)</f>
        <v>H015-24</v>
      </c>
    </row>
    <row r="9" spans="1:6" ht="14.25" customHeight="1">
      <c r="A9" s="22" t="s">
        <v>1442</v>
      </c>
      <c r="B9" s="22" t="s">
        <v>1443</v>
      </c>
      <c r="C9" s="22" t="e">
        <f t="array" aca="1" ref="C9" ca="1">_xludf.XLOOKUP(A9,'Batch || Working'!$C$2:$C$438,'Batch || Working'!$E$2:$E$438)</f>
        <v>#NAME?</v>
      </c>
    </row>
    <row r="10" spans="1:6" ht="14.25" customHeight="1">
      <c r="A10" s="22" t="s">
        <v>1445</v>
      </c>
      <c r="B10" s="22" t="s">
        <v>1446</v>
      </c>
      <c r="C10" s="22" t="e">
        <f t="array" aca="1" ref="C10" ca="1">_xludf.XLOOKUP(A10,'Batch || Working'!$C$2:$C$438,'Batch || Working'!$E$2:$E$438)</f>
        <v>#NAME?</v>
      </c>
    </row>
    <row r="11" spans="1:6" ht="14.25" customHeight="1">
      <c r="A11" s="22" t="s">
        <v>1456</v>
      </c>
      <c r="B11" s="22" t="s">
        <v>1457</v>
      </c>
      <c r="C11" s="22" t="e">
        <f t="array" aca="1" ref="C11" ca="1">_xludf.XLOOKUP(A11,'Batch || Working'!$C$2:$C$438,'Batch || Working'!$E$2:$E$438)</f>
        <v>#NAME?</v>
      </c>
      <c r="F11" s="22" t="str">
        <f>VLOOKUP(A11,'WH-B'!A:A,1,FALSE)</f>
        <v>H023-24</v>
      </c>
    </row>
    <row r="12" spans="1:6" ht="14.25" customHeight="1">
      <c r="A12" s="22" t="s">
        <v>1462</v>
      </c>
      <c r="B12" s="22" t="s">
        <v>1463</v>
      </c>
      <c r="C12" s="22" t="e">
        <f t="array" aca="1" ref="C12" ca="1">_xludf.XLOOKUP(A12,'Batch || Working'!$C$2:$C$438,'Batch || Working'!$E$2:$E$438)</f>
        <v>#NAME?</v>
      </c>
      <c r="F12" s="22" t="str">
        <f>VLOOKUP(A12,'WH-B'!A:A,1,FALSE)</f>
        <v>H026-24</v>
      </c>
    </row>
    <row r="13" spans="1:6" ht="14.25" customHeight="1">
      <c r="A13" s="22" t="s">
        <v>1465</v>
      </c>
      <c r="B13" s="22" t="s">
        <v>1466</v>
      </c>
      <c r="C13" s="22" t="e">
        <f t="array" aca="1" ref="C13" ca="1">_xludf.XLOOKUP(A13,'Batch || Working'!$C$2:$C$438,'Batch || Working'!$E$2:$E$438)</f>
        <v>#NAME?</v>
      </c>
      <c r="F13" s="22" t="str">
        <f>VLOOKUP(A13,'WH-B'!A:A,1,FALSE)</f>
        <v>H027-24</v>
      </c>
    </row>
    <row r="14" spans="1:6" ht="14.25" customHeight="1">
      <c r="A14" s="22" t="s">
        <v>1468</v>
      </c>
      <c r="B14" s="22" t="s">
        <v>1469</v>
      </c>
      <c r="C14" s="22" t="e">
        <f t="array" aca="1" ref="C14" ca="1">_xludf.XLOOKUP(A14,'Batch || Working'!$C$2:$C$438,'Batch || Working'!$E$2:$E$438)</f>
        <v>#NAME?</v>
      </c>
      <c r="F14" s="22" t="str">
        <f>VLOOKUP(A14,'WH-B'!A:A,1,FALSE)</f>
        <v>H028-24</v>
      </c>
    </row>
    <row r="15" spans="1:6" ht="14.25" customHeight="1">
      <c r="A15" s="22" t="s">
        <v>1554</v>
      </c>
      <c r="B15" s="22" t="s">
        <v>1745</v>
      </c>
      <c r="C15" s="22" t="e">
        <f t="array" aca="1" ref="C15" ca="1">_xludf.XLOOKUP(A15,'Batch || Working'!$C$2:$C$438,'Batch || Working'!$E$2:$E$438)</f>
        <v>#NAME?</v>
      </c>
    </row>
    <row r="16" spans="1:6" ht="14.25" customHeight="1">
      <c r="A16" s="22" t="s">
        <v>1473</v>
      </c>
      <c r="B16" s="22" t="s">
        <v>1695</v>
      </c>
      <c r="C16" s="22" t="e">
        <f t="array" aca="1" ref="C16" ca="1">_xludf.XLOOKUP(A16,'Batch || Working'!$C$2:$C$438,'Batch || Working'!$E$2:$E$438)</f>
        <v>#NAME?</v>
      </c>
      <c r="F16" s="22" t="e">
        <f>VLOOKUP(A16,'WH-B'!A:A,1,FALSE)</f>
        <v>#N/A</v>
      </c>
    </row>
    <row r="17" spans="1:6" ht="14.25" customHeight="1">
      <c r="A17" s="22" t="s">
        <v>1484</v>
      </c>
      <c r="B17" s="22" t="s">
        <v>1485</v>
      </c>
      <c r="C17" s="22" t="e">
        <f t="array" aca="1" ref="C17" ca="1">_xludf.XLOOKUP(A17,'Batch || Working'!$C$2:$C$438,'Batch || Working'!$E$2:$E$438)</f>
        <v>#NAME?</v>
      </c>
    </row>
    <row r="18" spans="1:6" ht="14.25" customHeight="1">
      <c r="A18" s="22" t="s">
        <v>1489</v>
      </c>
      <c r="B18" s="22" t="s">
        <v>1490</v>
      </c>
      <c r="C18" s="22" t="e">
        <f t="array" aca="1" ref="C18" ca="1">_xludf.XLOOKUP(A18,'Batch || Working'!$C$2:$C$438,'Batch || Working'!$E$2:$E$438)</f>
        <v>#NAME?</v>
      </c>
    </row>
    <row r="19" spans="1:6" ht="14.25" customHeight="1">
      <c r="A19" s="22" t="s">
        <v>1517</v>
      </c>
      <c r="B19" s="22" t="s">
        <v>1518</v>
      </c>
      <c r="C19" s="22" t="e">
        <f t="array" aca="1" ref="C19" ca="1">_xludf.XLOOKUP(A19,'Batch || Working'!$C$2:$C$438,'Batch || Working'!$E$2:$E$438)</f>
        <v>#NAME?</v>
      </c>
      <c r="F19" s="22" t="str">
        <f>VLOOKUP(A19,'WH-B'!A:A,1,FALSE)</f>
        <v>H048-24</v>
      </c>
    </row>
    <row r="20" spans="1:6" ht="14.25" customHeight="1">
      <c r="A20" s="22" t="s">
        <v>202</v>
      </c>
      <c r="B20" s="22" t="s">
        <v>1746</v>
      </c>
      <c r="C20" s="22" t="e">
        <f t="array" aca="1" ref="C20" ca="1">_xludf.XLOOKUP(A20,'Batch || Working'!$C$2:$C$438,'Batch || Working'!$E$2:$E$438)</f>
        <v>#NAME?</v>
      </c>
    </row>
    <row r="21" spans="1:6" ht="14.25" customHeight="1">
      <c r="A21" s="22" t="s">
        <v>1522</v>
      </c>
      <c r="B21" s="22" t="s">
        <v>1523</v>
      </c>
      <c r="C21" s="22" t="e">
        <f t="array" aca="1" ref="C21" ca="1">_xludf.XLOOKUP(A21,'Batch || Working'!$C$2:$C$438,'Batch || Working'!$E$2:$E$438)</f>
        <v>#NAME?</v>
      </c>
      <c r="F21" s="22" t="str">
        <f>VLOOKUP(A21,'WH-B'!A:A,1,FALSE)</f>
        <v>H050-24</v>
      </c>
    </row>
    <row r="22" spans="1:6" ht="14.25" customHeight="1">
      <c r="A22" s="22" t="s">
        <v>1534</v>
      </c>
      <c r="B22" s="22" t="s">
        <v>1535</v>
      </c>
      <c r="C22" s="22" t="e">
        <f t="array" aca="1" ref="C22" ca="1">_xludf.XLOOKUP(A22,'Batch || Working'!$C$2:$C$438,'Batch || Working'!$E$2:$E$438)</f>
        <v>#NAME?</v>
      </c>
      <c r="F22" s="22" t="str">
        <f>VLOOKUP(A22,'WH-B'!A:A,1,FALSE)</f>
        <v>H055-24</v>
      </c>
    </row>
    <row r="23" spans="1:6" ht="14.25" customHeight="1">
      <c r="A23" s="22" t="s">
        <v>205</v>
      </c>
      <c r="B23" s="22" t="s">
        <v>1542</v>
      </c>
      <c r="C23" s="22" t="e">
        <f t="array" aca="1" ref="C23" ca="1">_xludf.XLOOKUP(A23,'Batch || Working'!$C$2:$C$438,'Batch || Working'!$E$2:$E$438)</f>
        <v>#NAME?</v>
      </c>
      <c r="F23" s="22" t="str">
        <f>VLOOKUP(A23,'WH-B'!A:A,1,FALSE)</f>
        <v>H058-24</v>
      </c>
    </row>
    <row r="24" spans="1:6" ht="14.25" customHeight="1">
      <c r="A24" s="22" t="s">
        <v>206</v>
      </c>
      <c r="B24" s="22" t="s">
        <v>1544</v>
      </c>
      <c r="C24" s="22" t="e">
        <f t="array" aca="1" ref="C24" ca="1">_xludf.XLOOKUP(A24,'Batch || Working'!$C$2:$C$438,'Batch || Working'!$E$2:$E$438)</f>
        <v>#NAME?</v>
      </c>
      <c r="F24" s="22" t="str">
        <f>VLOOKUP(A24,'WH-B'!A:A,1,FALSE)</f>
        <v>H059-24</v>
      </c>
    </row>
    <row r="25" spans="1:6" ht="14.25" customHeight="1">
      <c r="A25" s="22" t="s">
        <v>1557</v>
      </c>
      <c r="B25" s="22" t="s">
        <v>1747</v>
      </c>
      <c r="C25" s="22" t="e">
        <f t="array" aca="1" ref="C25" ca="1">_xludf.XLOOKUP(A25,'Batch || Working'!$C$2:$C$438,'Batch || Working'!$E$2:$E$438)</f>
        <v>#NAME?</v>
      </c>
    </row>
    <row r="26" spans="1:6" ht="14.25" customHeight="1">
      <c r="A26" s="22" t="s">
        <v>1563</v>
      </c>
      <c r="B26" s="22" t="s">
        <v>1748</v>
      </c>
      <c r="C26" s="22" t="e">
        <f t="array" aca="1" ref="C26" ca="1">_xludf.XLOOKUP(A26,'Batch || Working'!$C$2:$C$438,'Batch || Working'!$E$2:$E$438)</f>
        <v>#NAME?</v>
      </c>
    </row>
    <row r="27" spans="1:6" ht="14.25" customHeight="1">
      <c r="A27" s="22" t="s">
        <v>1220</v>
      </c>
      <c r="B27" s="22" t="s">
        <v>1749</v>
      </c>
      <c r="C27" s="144" t="e">
        <f t="array" aca="1" ref="C27" ca="1">_xludf.XLOOKUP(A27,'Batch || Working'!$C$2:$C$438,'Batch || Working'!$E$2:$E$438)</f>
        <v>#NAME?</v>
      </c>
    </row>
    <row r="28" spans="1:6" ht="14.25" customHeight="1">
      <c r="A28" s="22" t="s">
        <v>207</v>
      </c>
      <c r="B28" s="22" t="s">
        <v>1696</v>
      </c>
      <c r="C28" s="22" t="e">
        <f t="array" aca="1" ref="C28" ca="1">_xludf.XLOOKUP(A28,'Batch || Working'!$C$2:$C$438,'Batch || Working'!$E$2:$E$438)</f>
        <v>#NAME?</v>
      </c>
      <c r="F28" s="22" t="str">
        <f>VLOOKUP(A28,'WH-B'!A:A,1,FALSE)</f>
        <v>IPM005-21</v>
      </c>
    </row>
    <row r="29" spans="1:6" ht="14.25" customHeight="1">
      <c r="A29" s="22" t="s">
        <v>676</v>
      </c>
      <c r="B29" s="22" t="s">
        <v>1750</v>
      </c>
      <c r="C29" s="22" t="e">
        <f t="array" aca="1" ref="C29" ca="1">_xludf.XLOOKUP(A29,'Batch || Working'!$C$2:$C$438,'Batch || Working'!$E$2:$E$438)</f>
        <v>#NAME?</v>
      </c>
    </row>
    <row r="30" spans="1:6" ht="14.25" customHeight="1">
      <c r="A30" s="22" t="s">
        <v>212</v>
      </c>
      <c r="B30" s="22" t="s">
        <v>1751</v>
      </c>
      <c r="C30" s="22" t="e">
        <f t="array" aca="1" ref="C30" ca="1">_xludf.XLOOKUP(A30,'Batch || Working'!$C$2:$C$438,'Batch || Working'!$E$2:$E$438)</f>
        <v>#NAME?</v>
      </c>
    </row>
    <row r="31" spans="1:6" ht="14.25" customHeight="1">
      <c r="A31" s="22" t="s">
        <v>214</v>
      </c>
      <c r="B31" s="22" t="s">
        <v>1752</v>
      </c>
      <c r="C31" s="22" t="e">
        <f t="array" aca="1" ref="C31" ca="1">_xludf.XLOOKUP(A31,'Batch || Working'!$C$2:$C$438,'Batch || Working'!$E$2:$E$438)</f>
        <v>#NAME?</v>
      </c>
    </row>
    <row r="32" spans="1:6" ht="14.25" customHeight="1">
      <c r="A32" s="22" t="s">
        <v>217</v>
      </c>
      <c r="B32" s="22" t="s">
        <v>1704</v>
      </c>
      <c r="C32" s="22" t="e">
        <f t="array" aca="1" ref="C32" ca="1">_xludf.XLOOKUP(A32,'Batch || Working'!$C$2:$C$438,'Batch || Working'!$E$2:$E$438)</f>
        <v>#NAME?</v>
      </c>
      <c r="F32" s="22" t="str">
        <f>VLOOKUP(A32,'WH-B'!A:A,1,FALSE)</f>
        <v>IPM054-21</v>
      </c>
    </row>
    <row r="33" spans="1:6" ht="14.25" customHeight="1">
      <c r="A33" s="22" t="s">
        <v>218</v>
      </c>
      <c r="B33" s="22" t="s">
        <v>1603</v>
      </c>
      <c r="C33" s="22" t="e">
        <f t="array" aca="1" ref="C33" ca="1">_xludf.XLOOKUP(A33,'Batch || Working'!$C$2:$C$438,'Batch || Working'!$E$2:$E$438)</f>
        <v>#NAME?</v>
      </c>
      <c r="F33" s="22" t="str">
        <f>VLOOKUP(A33,'WH-B'!A:A,1,FALSE)</f>
        <v>IPM058-21</v>
      </c>
    </row>
    <row r="34" spans="1:6" ht="14.25" customHeight="1">
      <c r="A34" s="22" t="s">
        <v>708</v>
      </c>
      <c r="B34" s="22" t="s">
        <v>1705</v>
      </c>
      <c r="C34" s="22" t="e">
        <f t="array" aca="1" ref="C34" ca="1">_xludf.XLOOKUP(A34,'Batch || Working'!$C$2:$C$438,'Batch || Working'!$E$2:$E$438)</f>
        <v>#NAME?</v>
      </c>
      <c r="F34" s="22" t="e">
        <f>VLOOKUP(A34,'WH-B'!A:A,1,FALSE)</f>
        <v>#N/A</v>
      </c>
    </row>
    <row r="35" spans="1:6" ht="14.25" customHeight="1">
      <c r="A35" s="22" t="s">
        <v>670</v>
      </c>
      <c r="B35" s="22" t="s">
        <v>1753</v>
      </c>
      <c r="C35" s="22" t="e">
        <f t="array" aca="1" ref="C35" ca="1">_xludf.XLOOKUP(A35,'Batch || Working'!$C$2:$C$438,'Batch || Working'!$E$2:$E$438)</f>
        <v>#NAME?</v>
      </c>
    </row>
    <row r="36" spans="1:6" ht="14.25" customHeight="1">
      <c r="A36" s="22" t="s">
        <v>520</v>
      </c>
      <c r="B36" s="22" t="s">
        <v>1754</v>
      </c>
      <c r="C36" s="22" t="e">
        <f t="array" aca="1" ref="C36" ca="1">_xludf.XLOOKUP(A36,'Batch || Working'!$C$2:$C$438,'Batch || Working'!$E$2:$E$438)</f>
        <v>#NAME?</v>
      </c>
    </row>
    <row r="37" spans="1:6" ht="14.25" customHeight="1">
      <c r="A37" s="22" t="s">
        <v>531</v>
      </c>
      <c r="B37" s="22" t="s">
        <v>1607</v>
      </c>
      <c r="C37" s="22" t="e">
        <f t="array" aca="1" ref="C37" ca="1">_xludf.XLOOKUP(A37,'Batch || Working'!$C$2:$C$438,'Batch || Working'!$E$2:$E$438)</f>
        <v>#NAME?</v>
      </c>
      <c r="F37" s="22" t="str">
        <f>VLOOKUP(A37,'WH-B'!A:A,1,FALSE)</f>
        <v>IPM076-21</v>
      </c>
    </row>
    <row r="38" spans="1:6" ht="14.25" customHeight="1">
      <c r="A38" s="22" t="s">
        <v>1039</v>
      </c>
      <c r="B38" s="22" t="s">
        <v>1755</v>
      </c>
      <c r="C38" s="22" t="e">
        <f t="array" aca="1" ref="C38" ca="1">_xludf.XLOOKUP(A38,'Batch || Working'!$C$2:$C$438,'Batch || Working'!$E$2:$E$438)</f>
        <v>#NAME?</v>
      </c>
    </row>
    <row r="39" spans="1:6" ht="14.25" customHeight="1">
      <c r="A39" s="22" t="s">
        <v>690</v>
      </c>
      <c r="B39" s="22" t="s">
        <v>1709</v>
      </c>
      <c r="C39" s="22" t="e">
        <f t="array" aca="1" ref="C39" ca="1">_xludf.XLOOKUP(A39,'Batch || Working'!$C$2:$C$438,'Batch || Working'!$E$2:$E$438)</f>
        <v>#NAME?</v>
      </c>
      <c r="F39" s="22" t="str">
        <f>VLOOKUP(A39,'WH-B'!A:A,1,FALSE)</f>
        <v>IPM088-21</v>
      </c>
    </row>
    <row r="40" spans="1:6" ht="14.25" customHeight="1">
      <c r="A40" s="22" t="s">
        <v>1049</v>
      </c>
      <c r="B40" s="22" t="s">
        <v>1756</v>
      </c>
      <c r="C40" s="22" t="e">
        <f t="array" aca="1" ref="C40" ca="1">_xludf.XLOOKUP(A40,'Batch || Working'!$C$2:$C$438,'Batch || Working'!$E$2:$E$438)</f>
        <v>#NAME?</v>
      </c>
      <c r="F40" s="22" t="str">
        <f>VLOOKUP(A40,'WH-B'!A:A,1,FALSE)</f>
        <v>IPM110-21</v>
      </c>
    </row>
    <row r="41" spans="1:6" ht="14.25" customHeight="1">
      <c r="A41" s="22" t="s">
        <v>1058</v>
      </c>
      <c r="B41" s="22" t="s">
        <v>1757</v>
      </c>
      <c r="C41" s="22" t="e">
        <f t="array" aca="1" ref="C41" ca="1">_xludf.XLOOKUP(A41,'Batch || Working'!$C$2:$C$438,'Batch || Working'!$E$2:$E$438)</f>
        <v>#NAME?</v>
      </c>
    </row>
    <row r="42" spans="1:6" ht="14.25" customHeight="1">
      <c r="A42" s="22" t="s">
        <v>225</v>
      </c>
      <c r="B42" s="22" t="s">
        <v>1758</v>
      </c>
      <c r="C42" s="22" t="e">
        <f t="array" aca="1" ref="C42" ca="1">_xludf.XLOOKUP(A42,'Batch || Working'!$C$2:$C$438,'Batch || Working'!$E$2:$E$438)</f>
        <v>#NAME?</v>
      </c>
    </row>
    <row r="43" spans="1:6" ht="14.25" customHeight="1">
      <c r="A43" s="22" t="s">
        <v>227</v>
      </c>
      <c r="B43" s="22" t="s">
        <v>1759</v>
      </c>
      <c r="C43" s="22" t="e">
        <f t="array" aca="1" ref="C43" ca="1">_xludf.XLOOKUP(A43,'Batch || Working'!$C$2:$C$438,'Batch || Working'!$E$2:$E$438)</f>
        <v>#NAME?</v>
      </c>
    </row>
    <row r="44" spans="1:6" ht="14.25" customHeight="1">
      <c r="A44" s="22" t="s">
        <v>233</v>
      </c>
      <c r="B44" s="22" t="s">
        <v>1760</v>
      </c>
      <c r="C44" s="22" t="e">
        <f t="array" aca="1" ref="C44" ca="1">_xludf.XLOOKUP(A44,'Batch || Working'!$C$2:$C$438,'Batch || Working'!$E$2:$E$438)</f>
        <v>#NAME?</v>
      </c>
      <c r="F44" s="22" t="str">
        <f>VLOOKUP(A44,'WH-B'!A:A,1,FALSE)</f>
        <v>M011-24</v>
      </c>
    </row>
    <row r="45" spans="1:6" ht="14.25" customHeight="1">
      <c r="A45" s="22" t="s">
        <v>409</v>
      </c>
      <c r="B45" s="22" t="s">
        <v>1617</v>
      </c>
      <c r="C45" s="22" t="e">
        <f t="array" aca="1" ref="C45" ca="1">_xludf.XLOOKUP(A45,'Batch || Working'!$C$2:$C$438,'Batch || Working'!$E$2:$E$438)</f>
        <v>#NAME?</v>
      </c>
      <c r="F45" s="22" t="str">
        <f>VLOOKUP(A45,'WH-B'!A:A,1,FALSE)</f>
        <v>M015-24</v>
      </c>
    </row>
    <row r="46" spans="1:6" ht="14.25" customHeight="1">
      <c r="A46" s="22" t="s">
        <v>413</v>
      </c>
      <c r="B46" s="22" t="s">
        <v>1618</v>
      </c>
      <c r="C46" s="22" t="e">
        <f t="array" aca="1" ref="C46" ca="1">_xludf.XLOOKUP(A46,'Batch || Working'!$C$2:$C$438,'Batch || Working'!$E$2:$E$438)</f>
        <v>#NAME?</v>
      </c>
      <c r="F46" s="22" t="str">
        <f>VLOOKUP(A46,'WH-B'!A:A,1,FALSE)</f>
        <v>M016-24</v>
      </c>
    </row>
    <row r="47" spans="1:6" ht="14.25" customHeight="1">
      <c r="A47" s="22" t="s">
        <v>424</v>
      </c>
      <c r="B47" s="22" t="s">
        <v>1761</v>
      </c>
      <c r="C47" s="22" t="e">
        <f t="array" aca="1" ref="C47" ca="1">_xludf.XLOOKUP(A47,'Batch || Working'!$C$2:$C$438,'Batch || Working'!$E$2:$E$438)</f>
        <v>#NAME?</v>
      </c>
    </row>
    <row r="48" spans="1:6" ht="14.25" customHeight="1">
      <c r="A48" s="22" t="s">
        <v>714</v>
      </c>
      <c r="B48" s="22" t="s">
        <v>715</v>
      </c>
      <c r="C48" s="22" t="e">
        <f t="array" aca="1" ref="C48" ca="1">_xludf.XLOOKUP(A48,'Batch || Working'!$C$2:$C$438,'Batch || Working'!$E$2:$E$438)</f>
        <v>#NAME?</v>
      </c>
      <c r="F48" s="22" t="str">
        <f>VLOOKUP(A48,'WH-B'!A:A,1,FALSE)</f>
        <v>M034-23</v>
      </c>
    </row>
    <row r="49" spans="1:6" ht="14.25" customHeight="1">
      <c r="A49" s="22" t="s">
        <v>464</v>
      </c>
      <c r="B49" s="22" t="s">
        <v>1762</v>
      </c>
      <c r="C49" s="22" t="e">
        <f t="array" aca="1" ref="C49" ca="1">_xludf.XLOOKUP(A49,'Batch || Working'!$C$2:$C$438,'Batch || Working'!$E$2:$E$438)</f>
        <v>#NAME?</v>
      </c>
    </row>
    <row r="50" spans="1:6" ht="14.25" customHeight="1">
      <c r="A50" s="22" t="s">
        <v>480</v>
      </c>
      <c r="B50" s="22" t="s">
        <v>1763</v>
      </c>
      <c r="C50" s="22" t="e">
        <f t="array" aca="1" ref="C50" ca="1">_xludf.XLOOKUP(A50,'Batch || Working'!$C$2:$C$438,'Batch || Working'!$E$2:$E$438)</f>
        <v>#NAME?</v>
      </c>
    </row>
    <row r="51" spans="1:6" ht="14.25" customHeight="1">
      <c r="A51" s="22" t="s">
        <v>490</v>
      </c>
      <c r="B51" s="22" t="s">
        <v>1764</v>
      </c>
      <c r="C51" s="22" t="e">
        <f t="array" aca="1" ref="C51" ca="1">_xludf.XLOOKUP(A51,'Batch || Working'!$C$2:$C$438,'Batch || Working'!$E$2:$E$438)</f>
        <v>#NAME?</v>
      </c>
    </row>
    <row r="52" spans="1:6" ht="14.25" customHeight="1">
      <c r="A52" s="22" t="s">
        <v>498</v>
      </c>
      <c r="B52" s="22" t="s">
        <v>1765</v>
      </c>
      <c r="C52" s="22" t="e">
        <f t="array" aca="1" ref="C52" ca="1">_xludf.XLOOKUP(A52,'Batch || Working'!$C$2:$C$438,'Batch || Working'!$E$2:$E$438)</f>
        <v>#NAME?</v>
      </c>
      <c r="F52" s="22" t="str">
        <f>VLOOKUP(A52,'WH-B'!A:A,1,FALSE)</f>
        <v>M048-24</v>
      </c>
    </row>
    <row r="53" spans="1:6" ht="14.25" customHeight="1">
      <c r="A53" s="22" t="s">
        <v>250</v>
      </c>
      <c r="B53" s="22" t="s">
        <v>1212</v>
      </c>
      <c r="C53" s="22" t="e">
        <f t="array" aca="1" ref="C53" ca="1">_xludf.XLOOKUP(A53,'Batch || Working'!$C$2:$C$438,'Batch || Working'!$E$2:$E$438)</f>
        <v>#NAME?</v>
      </c>
      <c r="F53" s="22" t="str">
        <f>VLOOKUP(A53,'WH-B'!A:A,1,FALSE)</f>
        <v>M049-23</v>
      </c>
    </row>
    <row r="54" spans="1:6" ht="14.25" customHeight="1">
      <c r="A54" s="22" t="s">
        <v>503</v>
      </c>
      <c r="B54" s="22" t="s">
        <v>1766</v>
      </c>
      <c r="C54" s="22" t="e">
        <f t="array" aca="1" ref="C54" ca="1">_xludf.XLOOKUP(A54,'Batch || Working'!$C$2:$C$438,'Batch || Working'!$E$2:$E$438)</f>
        <v>#NAME?</v>
      </c>
    </row>
    <row r="55" spans="1:6" ht="14.25" customHeight="1">
      <c r="A55" s="22" t="s">
        <v>252</v>
      </c>
      <c r="B55" s="22" t="s">
        <v>1767</v>
      </c>
      <c r="C55" s="22" t="e">
        <f t="array" aca="1" ref="C55" ca="1">_xludf.XLOOKUP(A55,'Batch || Working'!$C$2:$C$438,'Batch || Working'!$E$2:$E$438)</f>
        <v>#NAME?</v>
      </c>
      <c r="F55" s="22" t="str">
        <f>VLOOKUP(A55,'WH-B'!A:A,1,FALSE)</f>
        <v>M057-24</v>
      </c>
    </row>
    <row r="56" spans="1:6" ht="14.25" customHeight="1">
      <c r="A56" s="22" t="s">
        <v>253</v>
      </c>
      <c r="B56" s="22" t="s">
        <v>1627</v>
      </c>
      <c r="C56" s="22" t="e">
        <f t="array" aca="1" ref="C56" ca="1">_xludf.XLOOKUP(A56,'Batch || Working'!$C$2:$C$438,'Batch || Working'!$E$2:$E$438)</f>
        <v>#NAME?</v>
      </c>
    </row>
    <row r="57" spans="1:6" ht="14.25" customHeight="1">
      <c r="A57" s="22" t="s">
        <v>565</v>
      </c>
      <c r="B57" s="22" t="s">
        <v>1768</v>
      </c>
      <c r="C57" s="22" t="e">
        <f t="array" aca="1" ref="C57" ca="1">_xludf.XLOOKUP(A57,'Batch || Working'!$C$2:$C$438,'Batch || Working'!$E$2:$E$438)</f>
        <v>#NAME?</v>
      </c>
      <c r="F57" s="22" t="str">
        <f>VLOOKUP(A57,'WH-B'!A:A,1,FALSE)</f>
        <v>M060-24</v>
      </c>
    </row>
    <row r="58" spans="1:6" ht="14.25" customHeight="1">
      <c r="A58" s="22" t="s">
        <v>254</v>
      </c>
      <c r="B58" s="22" t="s">
        <v>1769</v>
      </c>
      <c r="C58" s="22" t="e">
        <f t="array" aca="1" ref="C58" ca="1">_xludf.XLOOKUP(A58,'Batch || Working'!$C$2:$C$438,'Batch || Working'!$E$2:$E$438)</f>
        <v>#NAME?</v>
      </c>
      <c r="F58" s="22" t="str">
        <f>VLOOKUP(A58,'WH-B'!A:A,1,FALSE)</f>
        <v>M063-24</v>
      </c>
    </row>
    <row r="59" spans="1:6" ht="14.25" customHeight="1">
      <c r="A59" s="22" t="s">
        <v>575</v>
      </c>
      <c r="B59" s="22" t="s">
        <v>1770</v>
      </c>
      <c r="C59" s="22" t="e">
        <f t="array" aca="1" ref="C59" ca="1">_xludf.XLOOKUP(A59,'Batch || Working'!$C$2:$C$438,'Batch || Working'!$E$2:$E$438)</f>
        <v>#NAME?</v>
      </c>
      <c r="F59" s="22" t="str">
        <f>VLOOKUP(A59,'WH-B'!A:A,1,FALSE)</f>
        <v>M066-24</v>
      </c>
    </row>
    <row r="60" spans="1:6" ht="14.25" customHeight="1">
      <c r="A60" s="22" t="s">
        <v>578</v>
      </c>
      <c r="B60" s="22" t="s">
        <v>1723</v>
      </c>
      <c r="C60" s="22" t="e">
        <f t="array" aca="1" ref="C60" ca="1">_xludf.XLOOKUP(A60,'Batch || Working'!$C$2:$C$438,'Batch || Working'!$E$2:$E$438)</f>
        <v>#NAME?</v>
      </c>
      <c r="F60" s="22" t="str">
        <f>VLOOKUP(A60,'WH-B'!A:A,1,FALSE)</f>
        <v>M067-24</v>
      </c>
    </row>
    <row r="61" spans="1:6" ht="14.25" customHeight="1">
      <c r="A61" s="22" t="s">
        <v>258</v>
      </c>
      <c r="B61" s="22" t="s">
        <v>1634</v>
      </c>
      <c r="C61" s="22" t="e">
        <f t="array" aca="1" ref="C61" ca="1">_xludf.XLOOKUP(A61,'Batch || Working'!$C$2:$C$438,'Batch || Working'!$E$2:$E$438)</f>
        <v>#NAME?</v>
      </c>
    </row>
    <row r="62" spans="1:6" ht="14.25" customHeight="1">
      <c r="A62" s="22" t="s">
        <v>259</v>
      </c>
      <c r="B62" s="22" t="s">
        <v>1771</v>
      </c>
      <c r="C62" s="22" t="e">
        <f t="array" aca="1" ref="C62" ca="1">_xludf.XLOOKUP(A62,'Batch || Working'!$C$2:$C$438,'Batch || Working'!$E$2:$E$438)</f>
        <v>#NAME?</v>
      </c>
    </row>
    <row r="63" spans="1:6" ht="14.25" customHeight="1">
      <c r="A63" s="22" t="s">
        <v>637</v>
      </c>
      <c r="B63" s="22" t="s">
        <v>1727</v>
      </c>
      <c r="C63" s="22" t="e">
        <f t="array" aca="1" ref="C63" ca="1">_xludf.XLOOKUP(A63,'Batch || Working'!$C$2:$C$438,'Batch || Working'!$E$2:$E$438)</f>
        <v>#NAME?</v>
      </c>
      <c r="F63" s="22" t="str">
        <f>VLOOKUP(A63,'WH-B'!A:A,1,FALSE)</f>
        <v>M097-24</v>
      </c>
    </row>
    <row r="64" spans="1:6" ht="14.25" customHeight="1">
      <c r="A64" s="22" t="s">
        <v>717</v>
      </c>
      <c r="B64" s="22" t="s">
        <v>1772</v>
      </c>
      <c r="C64" s="22" t="e">
        <f t="array" aca="1" ref="C64" ca="1">_xludf.XLOOKUP(A64,'Batch || Working'!$C$2:$C$438,'Batch || Working'!$E$2:$E$438)</f>
        <v>#NAME?</v>
      </c>
      <c r="F64" s="22" t="str">
        <f>VLOOKUP(A64,'WH-B'!A:A,1,FALSE)</f>
        <v>M099-23</v>
      </c>
    </row>
    <row r="65" spans="1:6" ht="14.25" customHeight="1">
      <c r="A65" s="22" t="s">
        <v>263</v>
      </c>
      <c r="B65" s="22" t="s">
        <v>1773</v>
      </c>
      <c r="C65" s="22" t="e">
        <f t="array" aca="1" ref="C65" ca="1">_xludf.XLOOKUP(A65,'Batch || Working'!$C$2:$C$438,'Batch || Working'!$E$2:$E$438)</f>
        <v>#NAME?</v>
      </c>
      <c r="F65" s="22" t="str">
        <f>VLOOKUP(A65,'WH-B'!A:A,1,FALSE)</f>
        <v>M099-24</v>
      </c>
    </row>
    <row r="66" spans="1:6" ht="14.25" customHeight="1">
      <c r="A66" s="22" t="s">
        <v>662</v>
      </c>
      <c r="B66" s="22" t="s">
        <v>1774</v>
      </c>
      <c r="C66" s="22" t="e">
        <f t="array" aca="1" ref="C66" ca="1">_xludf.XLOOKUP(A66,'Batch || Working'!$C$2:$C$438,'Batch || Working'!$E$2:$E$438)</f>
        <v>#NAME?</v>
      </c>
    </row>
    <row r="67" spans="1:6" ht="14.25" customHeight="1">
      <c r="A67" s="22" t="s">
        <v>741</v>
      </c>
      <c r="B67" s="22" t="s">
        <v>1775</v>
      </c>
      <c r="C67" s="22" t="e">
        <f t="array" aca="1" ref="C67" ca="1">_xludf.XLOOKUP(A67,'Batch || Working'!$C$2:$C$438,'Batch || Working'!$E$2:$E$438)</f>
        <v>#NAME?</v>
      </c>
    </row>
    <row r="68" spans="1:6" ht="14.25" customHeight="1">
      <c r="A68" s="22" t="s">
        <v>747</v>
      </c>
      <c r="B68" s="22" t="s">
        <v>1776</v>
      </c>
      <c r="C68" s="22" t="e">
        <f t="array" aca="1" ref="C68" ca="1">_xludf.XLOOKUP(A68,'Batch || Working'!$C$2:$C$438,'Batch || Working'!$E$2:$E$438)</f>
        <v>#NAME?</v>
      </c>
    </row>
    <row r="69" spans="1:6" ht="14.25" customHeight="1">
      <c r="A69" s="22" t="s">
        <v>752</v>
      </c>
      <c r="B69" s="22" t="s">
        <v>1777</v>
      </c>
      <c r="C69" s="22" t="e">
        <f t="array" aca="1" ref="C69" ca="1">_xludf.XLOOKUP(A69,'Batch || Working'!$C$2:$C$438,'Batch || Working'!$E$2:$E$438)</f>
        <v>#NAME?</v>
      </c>
      <c r="F69" s="22" t="str">
        <f>VLOOKUP(A69,'WH-B'!A:A,1,FALSE)</f>
        <v>M116-24</v>
      </c>
    </row>
    <row r="70" spans="1:6" ht="14.25" customHeight="1">
      <c r="A70" s="22" t="s">
        <v>763</v>
      </c>
      <c r="B70" s="22" t="s">
        <v>1778</v>
      </c>
      <c r="C70" s="22" t="e">
        <f t="array" aca="1" ref="C70" ca="1">_xludf.XLOOKUP(A70,'Batch || Working'!$C$2:$C$438,'Batch || Working'!$E$2:$E$438)</f>
        <v>#NAME?</v>
      </c>
    </row>
    <row r="71" spans="1:6" ht="14.25" customHeight="1">
      <c r="A71" s="22" t="s">
        <v>269</v>
      </c>
      <c r="B71" s="22" t="s">
        <v>1779</v>
      </c>
      <c r="C71" s="22" t="e">
        <f t="array" aca="1" ref="C71" ca="1">_xludf.XLOOKUP(A71,'Batch || Working'!$C$2:$C$438,'Batch || Working'!$E$2:$E$438)</f>
        <v>#NAME?</v>
      </c>
    </row>
    <row r="72" spans="1:6" ht="14.25" customHeight="1">
      <c r="A72" s="22" t="s">
        <v>768</v>
      </c>
      <c r="B72" s="22" t="s">
        <v>1780</v>
      </c>
      <c r="C72" s="22" t="e">
        <f t="array" aca="1" ref="C72" ca="1">_xludf.XLOOKUP(A72,'Batch || Working'!$C$2:$C$438,'Batch || Working'!$E$2:$E$438)</f>
        <v>#NAME?</v>
      </c>
    </row>
    <row r="73" spans="1:6" ht="14.25" customHeight="1">
      <c r="A73" s="22" t="s">
        <v>776</v>
      </c>
      <c r="B73" s="22" t="s">
        <v>1781</v>
      </c>
      <c r="C73" s="22" t="e">
        <f t="array" aca="1" ref="C73" ca="1">_xludf.XLOOKUP(A73,'Batch || Working'!$C$2:$C$438,'Batch || Working'!$E$2:$E$438)</f>
        <v>#NAME?</v>
      </c>
    </row>
    <row r="74" spans="1:6" ht="14.25" customHeight="1">
      <c r="A74" s="22" t="s">
        <v>784</v>
      </c>
      <c r="B74" s="22" t="s">
        <v>1648</v>
      </c>
      <c r="C74" s="22" t="e">
        <f t="array" aca="1" ref="C74" ca="1">_xludf.XLOOKUP(A74,'Batch || Working'!$C$2:$C$438,'Batch || Working'!$E$2:$E$438)</f>
        <v>#NAME?</v>
      </c>
      <c r="F74" s="22" t="str">
        <f>VLOOKUP(A74,'WH-B'!A:A,1,FALSE)</f>
        <v>M131-24</v>
      </c>
    </row>
    <row r="75" spans="1:6" ht="14.25" customHeight="1">
      <c r="A75" s="22" t="s">
        <v>787</v>
      </c>
      <c r="B75" s="22" t="s">
        <v>1782</v>
      </c>
      <c r="C75" s="22" t="e">
        <f t="array" aca="1" ref="C75" ca="1">_xludf.XLOOKUP(A75,'Batch || Working'!$C$2:$C$438,'Batch || Working'!$E$2:$E$438)</f>
        <v>#NAME?</v>
      </c>
      <c r="F75" s="22" t="str">
        <f>VLOOKUP(A75,'WH-B'!A:A,1,FALSE)</f>
        <v>M132-24</v>
      </c>
    </row>
    <row r="76" spans="1:6" ht="14.25" customHeight="1">
      <c r="A76" s="22" t="s">
        <v>790</v>
      </c>
      <c r="B76" s="22" t="s">
        <v>1783</v>
      </c>
      <c r="C76" s="22" t="e">
        <f t="array" aca="1" ref="C76" ca="1">_xludf.XLOOKUP(A76,'Batch || Working'!$C$2:$C$438,'Batch || Working'!$E$2:$E$438)</f>
        <v>#NAME?</v>
      </c>
    </row>
    <row r="77" spans="1:6" ht="14.25" customHeight="1">
      <c r="A77" s="22" t="s">
        <v>275</v>
      </c>
      <c r="B77" s="22" t="s">
        <v>1784</v>
      </c>
      <c r="C77" s="22" t="e">
        <f t="array" aca="1" ref="C77" ca="1">_xludf.XLOOKUP(A77,'Batch || Working'!$C$2:$C$438,'Batch || Working'!$E$2:$E$438)</f>
        <v>#NAME?</v>
      </c>
    </row>
    <row r="78" spans="1:6" ht="14.25" customHeight="1">
      <c r="A78" s="22" t="s">
        <v>802</v>
      </c>
      <c r="B78" s="22" t="s">
        <v>1651</v>
      </c>
      <c r="C78" s="22" t="e">
        <f t="array" aca="1" ref="C78" ca="1">_xludf.XLOOKUP(A78,'Batch || Working'!$C$2:$C$438,'Batch || Working'!$E$2:$E$438)</f>
        <v>#NAME?</v>
      </c>
      <c r="F78" s="22" t="str">
        <f>VLOOKUP(A78,'WH-B'!A:A,1,FALSE)</f>
        <v>M138-24</v>
      </c>
    </row>
    <row r="79" spans="1:6" ht="14.25" customHeight="1">
      <c r="A79" s="22" t="s">
        <v>277</v>
      </c>
      <c r="B79" s="22" t="s">
        <v>1785</v>
      </c>
      <c r="C79" s="22" t="e">
        <f t="array" aca="1" ref="C79" ca="1">_xludf.XLOOKUP(A79,'Batch || Working'!$C$2:$C$438,'Batch || Working'!$E$2:$E$438)</f>
        <v>#NAME?</v>
      </c>
    </row>
    <row r="80" spans="1:6" ht="14.25" customHeight="1">
      <c r="A80" s="22" t="s">
        <v>819</v>
      </c>
      <c r="B80" s="22" t="s">
        <v>1786</v>
      </c>
      <c r="C80" s="22" t="e">
        <f t="array" aca="1" ref="C80" ca="1">_xludf.XLOOKUP(A80,'Batch || Working'!$C$2:$C$438,'Batch || Working'!$E$2:$E$438)</f>
        <v>#NAME?</v>
      </c>
    </row>
    <row r="81" spans="1:6" ht="14.25" customHeight="1">
      <c r="A81" s="22" t="s">
        <v>279</v>
      </c>
      <c r="B81" s="22" t="s">
        <v>1787</v>
      </c>
      <c r="C81" s="22" t="e">
        <f t="array" aca="1" ref="C81" ca="1">_xludf.XLOOKUP(A81,'Batch || Working'!$C$2:$C$438,'Batch || Working'!$E$2:$E$438)</f>
        <v>#NAME?</v>
      </c>
    </row>
    <row r="82" spans="1:6" ht="14.25" customHeight="1">
      <c r="A82" s="22" t="s">
        <v>281</v>
      </c>
      <c r="B82" s="22" t="s">
        <v>1210</v>
      </c>
      <c r="C82" s="22" t="e">
        <f t="array" aca="1" ref="C82" ca="1">_xludf.XLOOKUP(A82,'Batch || Working'!$C$2:$C$438,'Batch || Working'!$E$2:$E$438)</f>
        <v>#NAME?</v>
      </c>
    </row>
    <row r="83" spans="1:6" ht="14.25" customHeight="1">
      <c r="A83" s="22" t="s">
        <v>282</v>
      </c>
      <c r="B83" s="22" t="s">
        <v>1788</v>
      </c>
      <c r="C83" s="22" t="e">
        <f t="array" aca="1" ref="C83" ca="1">_xludf.XLOOKUP(A83,'Batch || Working'!$C$2:$C$438,'Batch || Working'!$E$2:$E$438)</f>
        <v>#NAME?</v>
      </c>
    </row>
    <row r="84" spans="1:6" ht="14.25" customHeight="1">
      <c r="A84" s="22" t="s">
        <v>836</v>
      </c>
      <c r="B84" s="22" t="s">
        <v>1655</v>
      </c>
      <c r="C84" s="22" t="e">
        <f t="array" aca="1" ref="C84" ca="1">_xludf.XLOOKUP(A84,'Batch || Working'!$C$2:$C$438,'Batch || Working'!$E$2:$E$438)</f>
        <v>#NAME?</v>
      </c>
      <c r="F84" s="22" t="str">
        <f>VLOOKUP(A84,'WH-B'!A:A,1,FALSE)</f>
        <v>M152-24</v>
      </c>
    </row>
    <row r="85" spans="1:6" ht="14.25" customHeight="1">
      <c r="A85" s="22" t="s">
        <v>851</v>
      </c>
      <c r="B85" s="22" t="s">
        <v>1789</v>
      </c>
      <c r="C85" s="22" t="e">
        <f t="array" aca="1" ref="C85" ca="1">_xludf.XLOOKUP(A85,'Batch || Working'!$C$2:$C$438,'Batch || Working'!$E$2:$E$438)</f>
        <v>#NAME?</v>
      </c>
    </row>
    <row r="86" spans="1:6" ht="14.25" customHeight="1">
      <c r="A86" s="22" t="s">
        <v>859</v>
      </c>
      <c r="B86" s="22" t="s">
        <v>1790</v>
      </c>
      <c r="C86" s="22" t="e">
        <f t="array" aca="1" ref="C86" ca="1">_xludf.XLOOKUP(A86,'Batch || Working'!$C$2:$C$438,'Batch || Working'!$E$2:$E$438)</f>
        <v>#NAME?</v>
      </c>
    </row>
    <row r="87" spans="1:6" ht="14.25" customHeight="1">
      <c r="A87" s="22" t="s">
        <v>905</v>
      </c>
      <c r="B87" s="22" t="s">
        <v>1791</v>
      </c>
      <c r="C87" s="22" t="e">
        <f t="array" aca="1" ref="C87" ca="1">_xludf.XLOOKUP(A87,'Batch || Working'!$C$2:$C$438,'Batch || Working'!$E$2:$E$438)</f>
        <v>#NAME?</v>
      </c>
    </row>
    <row r="88" spans="1:6" ht="14.25" customHeight="1">
      <c r="A88" s="22" t="s">
        <v>908</v>
      </c>
      <c r="B88" s="22" t="s">
        <v>1792</v>
      </c>
      <c r="C88" s="22" t="e">
        <f t="array" aca="1" ref="C88" ca="1">_xludf.XLOOKUP(A88,'Batch || Working'!$C$2:$C$438,'Batch || Working'!$E$2:$E$438)</f>
        <v>#NAME?</v>
      </c>
      <c r="F88" s="22" t="str">
        <f>VLOOKUP(A88,'WH-B'!A:A,1,FALSE)</f>
        <v>M165-24</v>
      </c>
    </row>
    <row r="89" spans="1:6" ht="14.25" customHeight="1">
      <c r="A89" s="22" t="s">
        <v>918</v>
      </c>
      <c r="B89" s="22" t="s">
        <v>1793</v>
      </c>
      <c r="C89" s="22" t="e">
        <f t="array" aca="1" ref="C89" ca="1">_xludf.XLOOKUP(A89,'Batch || Working'!$C$2:$C$438,'Batch || Working'!$E$2:$E$438)</f>
        <v>#NAME?</v>
      </c>
      <c r="F89" s="22" t="str">
        <f>VLOOKUP(A89,'WH-B'!A:A,1,FALSE)</f>
        <v>M170-24</v>
      </c>
    </row>
    <row r="90" spans="1:6" ht="14.25" customHeight="1">
      <c r="A90" s="22" t="s">
        <v>286</v>
      </c>
      <c r="B90" s="22" t="s">
        <v>1794</v>
      </c>
      <c r="C90" s="22" t="e">
        <f t="array" aca="1" ref="C90" ca="1">_xludf.XLOOKUP(A90,'Batch || Working'!$C$2:$C$438,'Batch || Working'!$E$2:$E$438)</f>
        <v>#NAME?</v>
      </c>
      <c r="F90" s="22" t="str">
        <f>VLOOKUP(A90,'WH-B'!A:A,1,FALSE)</f>
        <v>M171-24</v>
      </c>
    </row>
    <row r="91" spans="1:6" ht="14.25" customHeight="1">
      <c r="A91" s="22" t="s">
        <v>943</v>
      </c>
      <c r="B91" s="22" t="s">
        <v>1795</v>
      </c>
      <c r="C91" s="22" t="e">
        <f t="array" aca="1" ref="C91" ca="1">_xludf.XLOOKUP(A91,'Batch || Working'!$C$2:$C$438,'Batch || Working'!$E$2:$E$438)</f>
        <v>#NAME?</v>
      </c>
      <c r="F91" s="22" t="str">
        <f>VLOOKUP(A91,'WH-B'!A:A,1,FALSE)</f>
        <v>M182-24</v>
      </c>
    </row>
    <row r="92" spans="1:6" ht="14.25" customHeight="1">
      <c r="A92" s="22" t="s">
        <v>946</v>
      </c>
      <c r="B92" s="22" t="s">
        <v>1733</v>
      </c>
      <c r="C92" s="22" t="e">
        <f t="array" aca="1" ref="C92" ca="1">_xludf.XLOOKUP(A92,'Batch || Working'!$C$2:$C$438,'Batch || Working'!$E$2:$E$438)</f>
        <v>#NAME?</v>
      </c>
      <c r="F92" s="22" t="str">
        <f>VLOOKUP(A92,'WH-B'!A:A,1,FALSE)</f>
        <v>M184-24</v>
      </c>
    </row>
    <row r="93" spans="1:6" ht="14.25" customHeight="1">
      <c r="A93" s="22" t="s">
        <v>949</v>
      </c>
      <c r="B93" s="22" t="s">
        <v>1662</v>
      </c>
      <c r="C93" s="22" t="e">
        <f t="array" aca="1" ref="C93" ca="1">_xludf.XLOOKUP(A93,'Batch || Working'!$C$2:$C$438,'Batch || Working'!$E$2:$E$438)</f>
        <v>#NAME?</v>
      </c>
    </row>
    <row r="94" spans="1:6" ht="14.25" customHeight="1">
      <c r="A94" s="22" t="s">
        <v>515</v>
      </c>
      <c r="B94" s="22" t="s">
        <v>516</v>
      </c>
      <c r="C94" s="22" t="e">
        <f t="array" aca="1" ref="C94" ca="1">_xludf.XLOOKUP(A94,'Batch || Working'!$C$2:$C$438,'Batch || Working'!$E$2:$E$438)</f>
        <v>#NAME?</v>
      </c>
    </row>
    <row r="95" spans="1:6" ht="14.25" customHeight="1">
      <c r="A95" s="22" t="s">
        <v>292</v>
      </c>
      <c r="B95" s="22" t="s">
        <v>1664</v>
      </c>
      <c r="C95" s="22" t="e">
        <f t="array" aca="1" ref="C95" ca="1">_xludf.XLOOKUP(A95,'Batch || Working'!$C$2:$C$438,'Batch || Working'!$E$2:$E$438)</f>
        <v>#NAME?</v>
      </c>
      <c r="F95" s="22" t="str">
        <f>VLOOKUP(A95,'WH-B'!A:A,1,FALSE)</f>
        <v>M188-24</v>
      </c>
    </row>
    <row r="96" spans="1:6" ht="14.25" customHeight="1">
      <c r="A96" s="22" t="s">
        <v>296</v>
      </c>
      <c r="B96" s="22" t="s">
        <v>1667</v>
      </c>
      <c r="C96" s="22" t="e">
        <f t="array" aca="1" ref="C96" ca="1">_xludf.XLOOKUP(A96,'Batch || Working'!$C$2:$C$438,'Batch || Working'!$E$2:$E$438)</f>
        <v>#NAME?</v>
      </c>
    </row>
    <row r="97" spans="1:6" ht="14.25" customHeight="1">
      <c r="A97" s="22" t="s">
        <v>298</v>
      </c>
      <c r="B97" s="22" t="s">
        <v>726</v>
      </c>
      <c r="C97" s="22" t="e">
        <f t="array" aca="1" ref="C97" ca="1">_xludf.XLOOKUP(A97,'Batch || Working'!$C$2:$C$438,'Batch || Working'!$E$2:$E$438)</f>
        <v>#NAME?</v>
      </c>
      <c r="F97" s="22" t="str">
        <f>VLOOKUP(A97,'WH-B'!A:A,1,FALSE)</f>
        <v>M200-23</v>
      </c>
    </row>
    <row r="98" spans="1:6" ht="14.25" customHeight="1">
      <c r="A98" s="22" t="s">
        <v>989</v>
      </c>
      <c r="B98" s="22" t="s">
        <v>1796</v>
      </c>
      <c r="C98" s="22" t="e">
        <f t="array" aca="1" ref="C98" ca="1">_xludf.XLOOKUP(A98,'Batch || Working'!$C$2:$C$438,'Batch || Working'!$E$2:$E$438)</f>
        <v>#NAME?</v>
      </c>
      <c r="F98" s="22" t="str">
        <f>VLOOKUP(A98,'WH-B'!A:A,1,FALSE)</f>
        <v>M202-24</v>
      </c>
    </row>
    <row r="99" spans="1:6" ht="14.25" customHeight="1">
      <c r="A99" s="22" t="s">
        <v>992</v>
      </c>
      <c r="B99" s="22" t="s">
        <v>1797</v>
      </c>
      <c r="C99" s="22" t="e">
        <f t="array" aca="1" ref="C99" ca="1">_xludf.XLOOKUP(A99,'Batch || Working'!$C$2:$C$438,'Batch || Working'!$E$2:$E$438)</f>
        <v>#NAME?</v>
      </c>
    </row>
    <row r="100" spans="1:6" ht="14.25" customHeight="1">
      <c r="A100" s="22" t="s">
        <v>728</v>
      </c>
      <c r="B100" s="22" t="s">
        <v>729</v>
      </c>
      <c r="C100" s="22" t="e">
        <f t="array" aca="1" ref="C100" ca="1">_xludf.XLOOKUP(A100,'Batch || Working'!$C$2:$C$438,'Batch || Working'!$E$2:$E$438)</f>
        <v>#NAME?</v>
      </c>
      <c r="F100" s="22" t="str">
        <f>VLOOKUP(A100,'WH-B'!A:A,1,FALSE)</f>
        <v>M208-23</v>
      </c>
    </row>
    <row r="101" spans="1:6" ht="14.25" customHeight="1">
      <c r="A101" s="22" t="s">
        <v>1002</v>
      </c>
      <c r="B101" s="22" t="s">
        <v>1798</v>
      </c>
      <c r="C101" s="22" t="e">
        <f t="array" aca="1" ref="C101" ca="1">_xludf.XLOOKUP(A101,'Batch || Working'!$C$2:$C$438,'Batch || Working'!$E$2:$E$438)</f>
        <v>#NAME?</v>
      </c>
    </row>
    <row r="102" spans="1:6" ht="14.25" customHeight="1">
      <c r="A102" s="22" t="s">
        <v>302</v>
      </c>
      <c r="B102" s="22" t="s">
        <v>1799</v>
      </c>
      <c r="C102" s="22" t="e">
        <f t="array" aca="1" ref="C102" ca="1">_xludf.XLOOKUP(A102,'Batch || Working'!$C$2:$C$438,'Batch || Working'!$E$2:$E$438)</f>
        <v>#NAME?</v>
      </c>
      <c r="F102" s="22" t="str">
        <f>VLOOKUP(A102,'WH-B'!A:A,1,FALSE)</f>
        <v>M210-24</v>
      </c>
    </row>
    <row r="103" spans="1:6" ht="14.25" customHeight="1">
      <c r="A103" s="22" t="s">
        <v>1019</v>
      </c>
      <c r="B103" s="22" t="s">
        <v>1800</v>
      </c>
      <c r="C103" s="22" t="e">
        <f t="array" aca="1" ref="C103" ca="1">_xludf.XLOOKUP(A103,'Batch || Working'!$C$2:$C$438,'Batch || Working'!$E$2:$E$438)</f>
        <v>#NAME?</v>
      </c>
    </row>
    <row r="104" spans="1:6" ht="14.25" customHeight="1">
      <c r="A104" s="22" t="s">
        <v>1069</v>
      </c>
      <c r="B104" s="22" t="s">
        <v>1801</v>
      </c>
      <c r="C104" s="22" t="e">
        <f t="array" aca="1" ref="C104" ca="1">_xludf.XLOOKUP(A104,'Batch || Working'!$C$2:$C$438,'Batch || Working'!$E$2:$E$438)</f>
        <v>#NAME?</v>
      </c>
    </row>
    <row r="105" spans="1:6" ht="14.25" customHeight="1">
      <c r="A105" s="22" t="s">
        <v>1072</v>
      </c>
      <c r="B105" s="22" t="s">
        <v>1802</v>
      </c>
      <c r="C105" s="22" t="e">
        <f t="array" aca="1" ref="C105" ca="1">_xludf.XLOOKUP(A105,'Batch || Working'!$C$2:$C$438,'Batch || Working'!$E$2:$E$438)</f>
        <v>#NAME?</v>
      </c>
    </row>
    <row r="106" spans="1:6" ht="14.25" customHeight="1">
      <c r="A106" s="22" t="s">
        <v>1075</v>
      </c>
      <c r="B106" s="22" t="s">
        <v>1672</v>
      </c>
      <c r="C106" s="22" t="e">
        <f t="array" aca="1" ref="C106" ca="1">_xludf.XLOOKUP(A106,'Batch || Working'!$C$2:$C$438,'Batch || Working'!$E$2:$E$438)</f>
        <v>#NAME?</v>
      </c>
      <c r="F106" s="22" t="str">
        <f>VLOOKUP(A106,'WH-B'!A:A,1,FALSE)</f>
        <v>M221-24</v>
      </c>
    </row>
    <row r="107" spans="1:6" ht="14.25" customHeight="1">
      <c r="A107" s="22" t="s">
        <v>1098</v>
      </c>
      <c r="B107" s="22" t="s">
        <v>1678</v>
      </c>
      <c r="C107" s="22" t="e">
        <f t="array" aca="1" ref="C107" ca="1">_xludf.XLOOKUP(A107,'Batch || Working'!$C$2:$C$438,'Batch || Working'!$E$2:$E$438)</f>
        <v>#NAME?</v>
      </c>
      <c r="F107" s="22" t="str">
        <f>VLOOKUP(A107,'WH-B'!A:A,1,FALSE)</f>
        <v>M229-24</v>
      </c>
    </row>
    <row r="108" spans="1:6" ht="14.25" customHeight="1">
      <c r="A108" s="22" t="s">
        <v>1101</v>
      </c>
      <c r="B108" s="22" t="s">
        <v>1803</v>
      </c>
      <c r="C108" s="22" t="e">
        <f t="array" aca="1" ref="C108" ca="1">_xludf.XLOOKUP(A108,'Batch || Working'!$C$2:$C$438,'Batch || Working'!$E$2:$E$438)</f>
        <v>#NAME?</v>
      </c>
    </row>
    <row r="109" spans="1:6" ht="14.25" customHeight="1">
      <c r="A109" s="22" t="s">
        <v>1109</v>
      </c>
      <c r="B109" s="22" t="s">
        <v>1736</v>
      </c>
      <c r="C109" s="22" t="e">
        <f t="array" aca="1" ref="C109" ca="1">_xludf.XLOOKUP(A109,'Batch || Working'!$C$2:$C$438,'Batch || Working'!$E$2:$E$438)</f>
        <v>#NAME?</v>
      </c>
      <c r="F109" s="22" t="str">
        <f>VLOOKUP(A109,'WH-B'!A:A,1,FALSE)</f>
        <v>M234-24</v>
      </c>
    </row>
    <row r="110" spans="1:6" ht="14.25" customHeight="1">
      <c r="A110" s="22" t="s">
        <v>1115</v>
      </c>
      <c r="B110" s="22" t="s">
        <v>1804</v>
      </c>
      <c r="C110" s="22" t="e">
        <f t="array" aca="1" ref="C110" ca="1">_xludf.XLOOKUP(A110,'Batch || Working'!$C$2:$C$438,'Batch || Working'!$E$2:$E$438)</f>
        <v>#NAME?</v>
      </c>
    </row>
    <row r="111" spans="1:6" ht="14.25" customHeight="1">
      <c r="A111" s="22" t="s">
        <v>307</v>
      </c>
      <c r="B111" s="22" t="s">
        <v>1680</v>
      </c>
      <c r="C111" s="22" t="e">
        <f t="array" aca="1" ref="C111" ca="1">_xludf.XLOOKUP(A111,'Batch || Working'!$C$2:$C$438,'Batch || Working'!$E$2:$E$438)</f>
        <v>#NAME?</v>
      </c>
      <c r="F111" s="22" t="str">
        <f>VLOOKUP(A111,'WH-B'!A:A,1,FALSE)</f>
        <v>M239-24</v>
      </c>
    </row>
    <row r="112" spans="1:6" ht="14.25" customHeight="1">
      <c r="A112" s="22" t="s">
        <v>308</v>
      </c>
      <c r="B112" s="22" t="s">
        <v>1805</v>
      </c>
      <c r="C112" s="144" t="e">
        <f t="array" aca="1" ref="C112" ca="1">_xludf.XLOOKUP(A112,'Batch || Working'!$C$2:$C$438,'Batch || Working'!$E$2:$E$438)</f>
        <v>#NAME?</v>
      </c>
    </row>
    <row r="113" spans="1:6" ht="14.25" customHeight="1">
      <c r="A113" s="22" t="s">
        <v>731</v>
      </c>
      <c r="B113" s="22" t="s">
        <v>732</v>
      </c>
      <c r="C113" s="22" t="e">
        <f t="array" aca="1" ref="C113" ca="1">_xludf.XLOOKUP(A113,'Batch || Working'!$C$2:$C$438,'Batch || Working'!$E$2:$E$438)</f>
        <v>#NAME?</v>
      </c>
      <c r="F113" s="22" t="str">
        <f>VLOOKUP(A113,'WH-B'!A:A,1,FALSE)</f>
        <v>M244-23</v>
      </c>
    </row>
    <row r="114" spans="1:6" ht="14.25" customHeight="1">
      <c r="A114" s="22" t="s">
        <v>1135</v>
      </c>
      <c r="B114" s="22" t="s">
        <v>1683</v>
      </c>
      <c r="C114" s="22" t="e">
        <f t="array" aca="1" ref="C114" ca="1">_xludf.XLOOKUP(A114,'Batch || Working'!$C$2:$C$438,'Batch || Working'!$E$2:$E$438)</f>
        <v>#NAME?</v>
      </c>
      <c r="F114" s="22" t="str">
        <f>VLOOKUP(A114,'WH-B'!A:A,1,FALSE)</f>
        <v>M244-24</v>
      </c>
    </row>
    <row r="115" spans="1:6" ht="14.25" customHeight="1">
      <c r="A115" s="22" t="s">
        <v>312</v>
      </c>
      <c r="B115" s="22" t="s">
        <v>1203</v>
      </c>
      <c r="C115" s="22" t="e">
        <f t="array" aca="1" ref="C115" ca="1">_xludf.XLOOKUP(A115,'Batch || Working'!$C$2:$C$438,'Batch || Working'!$E$2:$E$438)</f>
        <v>#NAME?</v>
      </c>
    </row>
    <row r="116" spans="1:6" ht="14.25" customHeight="1">
      <c r="A116" s="22" t="s">
        <v>314</v>
      </c>
      <c r="B116" s="22" t="s">
        <v>1806</v>
      </c>
      <c r="C116" s="22" t="e">
        <f t="array" aca="1" ref="C116" ca="1">_xludf.XLOOKUP(A116,'Batch || Working'!$C$2:$C$438,'Batch || Working'!$E$2:$E$438)</f>
        <v>#NAME?</v>
      </c>
      <c r="F116" s="22" t="str">
        <f>VLOOKUP(A116,'WH-B'!A:A,1,FALSE)</f>
        <v>M255-24</v>
      </c>
    </row>
    <row r="117" spans="1:6" ht="14.25" customHeight="1">
      <c r="A117" s="22" t="s">
        <v>1164</v>
      </c>
      <c r="B117" s="22" t="s">
        <v>1807</v>
      </c>
      <c r="C117" s="22" t="e">
        <f t="array" aca="1" ref="C117" ca="1">_xludf.XLOOKUP(A117,'Batch || Working'!$C$2:$C$438,'Batch || Working'!$E$2:$E$438)</f>
        <v>#NAME?</v>
      </c>
    </row>
    <row r="118" spans="1:6" ht="14.25" customHeight="1">
      <c r="A118" s="22" t="s">
        <v>667</v>
      </c>
      <c r="B118" s="22" t="s">
        <v>1808</v>
      </c>
      <c r="C118" s="22" t="e">
        <f t="array" aca="1" ref="C118" ca="1">_xludf.XLOOKUP(A118,'Batch || Working'!$C$2:$C$438,'Batch || Working'!$E$2:$E$438)</f>
        <v>#NAME?</v>
      </c>
    </row>
    <row r="119" spans="1:6" ht="14.25" customHeight="1"/>
    <row r="120" spans="1:6" ht="14.25" customHeight="1"/>
    <row r="121" spans="1:6" ht="14.25" customHeight="1"/>
    <row r="122" spans="1:6" ht="14.25" customHeight="1"/>
    <row r="123" spans="1:6" ht="14.25" customHeight="1"/>
    <row r="124" spans="1:6" ht="14.25" customHeight="1"/>
    <row r="125" spans="1:6" ht="14.25" customHeight="1"/>
    <row r="126" spans="1:6" ht="14.25" customHeight="1"/>
    <row r="127" spans="1:6" ht="14.25" customHeight="1"/>
    <row r="128" spans="1:6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F1:F1000" xr:uid="{00000000-0009-0000-0000-00000E000000}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Y63"/>
  <sheetViews>
    <sheetView workbookViewId="0"/>
  </sheetViews>
  <sheetFormatPr defaultColWidth="14.3984375" defaultRowHeight="15.75" customHeight="1"/>
  <cols>
    <col min="2" max="2" width="25.59765625" customWidth="1"/>
    <col min="3" max="3" width="37.39843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186</v>
      </c>
      <c r="B2" s="22" t="s">
        <v>1743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1551</v>
      </c>
      <c r="B3" s="22" t="s">
        <v>1744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1423</v>
      </c>
      <c r="B4" s="22" t="s">
        <v>1424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1442</v>
      </c>
      <c r="B5" s="22" t="s">
        <v>1443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1445</v>
      </c>
      <c r="B6" s="22" t="s">
        <v>1446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1554</v>
      </c>
      <c r="B7" s="22" t="s">
        <v>1745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147" t="s">
        <v>1473</v>
      </c>
      <c r="B8" s="145" t="str">
        <f>VLOOKUP(A8,BEDM!A:C,2,FALSE)</f>
        <v>Rajkumar Pathina</v>
      </c>
      <c r="C8" s="145" t="e">
        <f ca="1">VLOOKUP(A8,BEDM!A:C,3,FALSE)</f>
        <v>#NAME?</v>
      </c>
    </row>
    <row r="9" spans="1:3" ht="14.25" customHeight="1">
      <c r="A9" s="22" t="s">
        <v>1484</v>
      </c>
      <c r="B9" s="22" t="s">
        <v>1485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1489</v>
      </c>
      <c r="B10" s="22" t="s">
        <v>1490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202</v>
      </c>
      <c r="B11" s="22" t="s">
        <v>1746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1557</v>
      </c>
      <c r="B12" s="22" t="s">
        <v>1747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1563</v>
      </c>
      <c r="B13" s="22" t="s">
        <v>1748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1220</v>
      </c>
      <c r="B14" s="22" t="s">
        <v>1749</v>
      </c>
      <c r="C14" s="144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676</v>
      </c>
      <c r="B15" s="22" t="s">
        <v>1750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212</v>
      </c>
      <c r="B16" s="22" t="s">
        <v>1751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214</v>
      </c>
      <c r="B17" s="22" t="s">
        <v>1752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147" t="s">
        <v>708</v>
      </c>
      <c r="B18" s="145" t="str">
        <f>VLOOKUP(A18,BEDM!A:C,2,FALSE)</f>
        <v>YASHIKA YADAV</v>
      </c>
      <c r="C18" s="145" t="e">
        <f ca="1">VLOOKUP(A18,BEDM!A:C,3,FALSE)</f>
        <v>#NAME?</v>
      </c>
    </row>
    <row r="19" spans="1:3" ht="14.25" customHeight="1">
      <c r="A19" s="22" t="s">
        <v>670</v>
      </c>
      <c r="B19" s="22" t="s">
        <v>1753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520</v>
      </c>
      <c r="B20" s="22" t="s">
        <v>1754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1039</v>
      </c>
      <c r="B21" s="22" t="s">
        <v>1755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1058</v>
      </c>
      <c r="B22" s="22" t="s">
        <v>1757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225</v>
      </c>
      <c r="B23" s="22" t="s">
        <v>1758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227</v>
      </c>
      <c r="B24" s="22" t="s">
        <v>1759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424</v>
      </c>
      <c r="B25" s="22" t="s">
        <v>1761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464</v>
      </c>
      <c r="B26" s="22" t="s">
        <v>1762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480</v>
      </c>
      <c r="B27" s="22" t="s">
        <v>1763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490</v>
      </c>
      <c r="B28" s="22" t="s">
        <v>1764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503</v>
      </c>
      <c r="B29" s="22" t="s">
        <v>1766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253</v>
      </c>
      <c r="B30" s="22" t="s">
        <v>1627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258</v>
      </c>
      <c r="B31" s="22" t="s">
        <v>1634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259</v>
      </c>
      <c r="B32" s="22" t="s">
        <v>1771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662</v>
      </c>
      <c r="B33" s="22" t="s">
        <v>1774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741</v>
      </c>
      <c r="B34" s="22" t="s">
        <v>1775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747</v>
      </c>
      <c r="B35" s="22" t="s">
        <v>1776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763</v>
      </c>
      <c r="B36" s="22" t="s">
        <v>1778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269</v>
      </c>
      <c r="B37" s="22" t="s">
        <v>1779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768</v>
      </c>
      <c r="B38" s="22" t="s">
        <v>1780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776</v>
      </c>
      <c r="B39" s="22" t="s">
        <v>1781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790</v>
      </c>
      <c r="B40" s="22" t="s">
        <v>1783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275</v>
      </c>
      <c r="B41" s="22" t="s">
        <v>1784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277</v>
      </c>
      <c r="B42" s="22" t="s">
        <v>1785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819</v>
      </c>
      <c r="B43" s="22" t="s">
        <v>1786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279</v>
      </c>
      <c r="B44" s="22" t="s">
        <v>1787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281</v>
      </c>
      <c r="B45" s="22" t="s">
        <v>1210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282</v>
      </c>
      <c r="B46" s="22" t="s">
        <v>1788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851</v>
      </c>
      <c r="B47" s="22" t="s">
        <v>1789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859</v>
      </c>
      <c r="B48" s="22" t="s">
        <v>1790</v>
      </c>
      <c r="C48" s="22" t="e">
        <f t="array" aca="1" ref="C48" ca="1">_xludf.XLOOKUP(A48,'Batch || Working'!$C$2:$C$438,'Batch || Working'!$E$2:$E$438)</f>
        <v>#NAME?</v>
      </c>
    </row>
    <row r="49" spans="1:25" ht="14.25" customHeight="1">
      <c r="A49" s="22" t="s">
        <v>905</v>
      </c>
      <c r="B49" s="22" t="s">
        <v>1791</v>
      </c>
      <c r="C49" s="22" t="e">
        <f t="array" aca="1" ref="C49" ca="1">_xludf.XLOOKUP(A49,'Batch || Working'!$C$2:$C$438,'Batch || Working'!$E$2:$E$438)</f>
        <v>#NAME?</v>
      </c>
    </row>
    <row r="50" spans="1:25" ht="14.25" customHeight="1">
      <c r="A50" s="22" t="s">
        <v>949</v>
      </c>
      <c r="B50" s="22" t="s">
        <v>1662</v>
      </c>
      <c r="C50" s="22" t="e">
        <f t="array" aca="1" ref="C50" ca="1">_xludf.XLOOKUP(A50,'Batch || Working'!$C$2:$C$438,'Batch || Working'!$E$2:$E$438)</f>
        <v>#NAME?</v>
      </c>
    </row>
    <row r="51" spans="1:25" ht="14.25" customHeight="1">
      <c r="A51" s="22" t="s">
        <v>515</v>
      </c>
      <c r="B51" s="22" t="s">
        <v>516</v>
      </c>
      <c r="C51" s="22" t="e">
        <f t="array" aca="1" ref="C51" ca="1">_xludf.XLOOKUP(A51,'Batch || Working'!$C$2:$C$438,'Batch || Working'!$E$2:$E$438)</f>
        <v>#NAME?</v>
      </c>
    </row>
    <row r="52" spans="1:25" ht="14.25" customHeight="1">
      <c r="A52" s="22" t="s">
        <v>296</v>
      </c>
      <c r="B52" s="22" t="s">
        <v>1667</v>
      </c>
      <c r="C52" s="22" t="e">
        <f t="array" aca="1" ref="C52" ca="1">_xludf.XLOOKUP(A52,'Batch || Working'!$C$2:$C$438,'Batch || Working'!$E$2:$E$438)</f>
        <v>#NAME?</v>
      </c>
    </row>
    <row r="53" spans="1:25" ht="14.25" customHeight="1">
      <c r="A53" s="22" t="s">
        <v>992</v>
      </c>
      <c r="B53" s="22" t="s">
        <v>1797</v>
      </c>
      <c r="C53" s="22" t="e">
        <f t="array" aca="1" ref="C53" ca="1">_xludf.XLOOKUP(A53,'Batch || Working'!$C$2:$C$438,'Batch || Working'!$E$2:$E$438)</f>
        <v>#NAME?</v>
      </c>
    </row>
    <row r="54" spans="1:25" ht="14.25" customHeight="1">
      <c r="A54" s="22" t="s">
        <v>1002</v>
      </c>
      <c r="B54" s="22" t="s">
        <v>1798</v>
      </c>
      <c r="C54" s="22" t="e">
        <f t="array" aca="1" ref="C54" ca="1">_xludf.XLOOKUP(A54,'Batch || Working'!$C$2:$C$438,'Batch || Working'!$E$2:$E$438)</f>
        <v>#NAME?</v>
      </c>
    </row>
    <row r="55" spans="1:25" ht="14.25" customHeight="1">
      <c r="A55" s="22" t="s">
        <v>1019</v>
      </c>
      <c r="B55" s="22" t="s">
        <v>1800</v>
      </c>
      <c r="C55" s="22" t="e">
        <f t="array" aca="1" ref="C55" ca="1">_xludf.XLOOKUP(A55,'Batch || Working'!$C$2:$C$438,'Batch || Working'!$E$2:$E$438)</f>
        <v>#NAME?</v>
      </c>
    </row>
    <row r="56" spans="1:25" ht="14.25" customHeight="1">
      <c r="A56" s="22" t="s">
        <v>1069</v>
      </c>
      <c r="B56" s="22" t="s">
        <v>1801</v>
      </c>
      <c r="C56" s="22" t="e">
        <f t="array" aca="1" ref="C56" ca="1">_xludf.XLOOKUP(A56,'Batch || Working'!$C$2:$C$438,'Batch || Working'!$E$2:$E$438)</f>
        <v>#NAME?</v>
      </c>
    </row>
    <row r="57" spans="1:25" ht="14.25" customHeight="1">
      <c r="A57" s="22" t="s">
        <v>1072</v>
      </c>
      <c r="B57" s="22" t="s">
        <v>1802</v>
      </c>
      <c r="C57" s="22" t="e">
        <f t="array" aca="1" ref="C57" ca="1">_xludf.XLOOKUP(A57,'Batch || Working'!$C$2:$C$438,'Batch || Working'!$E$2:$E$438)</f>
        <v>#NAME?</v>
      </c>
    </row>
    <row r="58" spans="1:25" ht="14.25" customHeight="1">
      <c r="A58" s="22" t="s">
        <v>1101</v>
      </c>
      <c r="B58" s="22" t="s">
        <v>1803</v>
      </c>
      <c r="C58" s="22" t="e">
        <f t="array" aca="1" ref="C58" ca="1">_xludf.XLOOKUP(A58,'Batch || Working'!$C$2:$C$438,'Batch || Working'!$E$2:$E$438)</f>
        <v>#NAME?</v>
      </c>
    </row>
    <row r="59" spans="1:25" ht="14.25" customHeight="1">
      <c r="A59" s="22" t="s">
        <v>1115</v>
      </c>
      <c r="B59" s="22" t="s">
        <v>1804</v>
      </c>
      <c r="C59" s="22" t="e">
        <f t="array" aca="1" ref="C59" ca="1">_xludf.XLOOKUP(A59,'Batch || Working'!$C$2:$C$438,'Batch || Working'!$E$2:$E$438)</f>
        <v>#NAME?</v>
      </c>
    </row>
    <row r="60" spans="1:25" ht="14.25" customHeight="1">
      <c r="A60" s="22" t="s">
        <v>308</v>
      </c>
      <c r="B60" s="22" t="s">
        <v>1805</v>
      </c>
      <c r="C60" s="144" t="e">
        <f t="array" aca="1" ref="C60" ca="1">_xludf.XLOOKUP(A60,'Batch || Working'!$C$2:$C$438,'Batch || Working'!$E$2:$E$438)</f>
        <v>#NAME?</v>
      </c>
    </row>
    <row r="61" spans="1:25" ht="14.25" customHeight="1">
      <c r="A61" s="22" t="s">
        <v>312</v>
      </c>
      <c r="B61" s="22" t="s">
        <v>1203</v>
      </c>
      <c r="C61" s="22" t="e">
        <f t="array" aca="1" ref="C61" ca="1">_xludf.XLOOKUP(A61,'Batch || Working'!$C$2:$C$438,'Batch || Working'!$E$2:$E$438)</f>
        <v>#NAME?</v>
      </c>
    </row>
    <row r="62" spans="1:25" ht="13">
      <c r="A62" s="22" t="s">
        <v>1164</v>
      </c>
      <c r="B62" s="22" t="s">
        <v>1807</v>
      </c>
      <c r="C62" s="22" t="e">
        <f t="array" aca="1" ref="C62" ca="1">_xludf.XLOOKUP(A62,'Batch || Working'!$C$2:$C$438,'Batch || Working'!$E$2:$E$438)</f>
        <v>#NAME?</v>
      </c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ht="13">
      <c r="A63" s="22" t="s">
        <v>667</v>
      </c>
      <c r="B63" s="22" t="s">
        <v>1808</v>
      </c>
      <c r="C63" s="22" t="e">
        <f t="array" aca="1" ref="C63" ca="1">_xludf.XLOOKUP(A63,'Batch || Working'!$C$2:$C$438,'Batch || Working'!$E$2:$E$438)</f>
        <v>#NAME?</v>
      </c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X56"/>
  <sheetViews>
    <sheetView workbookViewId="0"/>
  </sheetViews>
  <sheetFormatPr defaultColWidth="14.3984375" defaultRowHeight="15.75" customHeight="1"/>
  <cols>
    <col min="2" max="2" width="22.8984375" customWidth="1"/>
    <col min="3" max="3" width="35.39843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3">
      <c r="A2" s="22" t="s">
        <v>1398</v>
      </c>
      <c r="B2" s="22" t="s">
        <v>1399</v>
      </c>
      <c r="C2" s="22" t="e">
        <f t="array" aca="1" ref="C2" ca="1">_xludf.XLOOKUP(A2,'Batch || Working'!$C$2:$C$438,'Batch || Working'!$E$2:$E$438)</f>
        <v>#NAME?</v>
      </c>
    </row>
    <row r="3" spans="1:3" ht="13">
      <c r="A3" s="103" t="s">
        <v>1408</v>
      </c>
      <c r="B3" s="22" t="str">
        <f>VLOOKUP(A3,BEDM!A:C,2,FALSE)</f>
        <v>Aditya Kaswan</v>
      </c>
      <c r="C3" s="22" t="e">
        <f ca="1">VLOOKUP(A3,BEDM!A:C,3,FALSE)</f>
        <v>#NAME?</v>
      </c>
    </row>
    <row r="4" spans="1:3" ht="13">
      <c r="A4" s="145" t="s">
        <v>1431</v>
      </c>
      <c r="B4" s="145" t="s">
        <v>1432</v>
      </c>
      <c r="C4" s="145" t="e">
        <f t="array" aca="1" ref="C4" ca="1">_xludf.XLOOKUP(A4,'Batch || Working'!$C$2:$C$438,'Batch || Working'!$E$2:$E$438)</f>
        <v>#NAME?</v>
      </c>
    </row>
    <row r="5" spans="1:3" ht="13">
      <c r="A5" s="145" t="s">
        <v>1434</v>
      </c>
      <c r="B5" s="145" t="s">
        <v>1435</v>
      </c>
      <c r="C5" s="145" t="e">
        <f t="array" aca="1" ref="C5" ca="1">_xludf.XLOOKUP(A5,'Batch || Working'!$C$2:$C$438,'Batch || Working'!$E$2:$E$438)</f>
        <v>#NAME?</v>
      </c>
    </row>
    <row r="6" spans="1:3" ht="13">
      <c r="A6" s="145" t="s">
        <v>1456</v>
      </c>
      <c r="B6" s="145" t="s">
        <v>1457</v>
      </c>
      <c r="C6" s="145" t="e">
        <f t="array" aca="1" ref="C6" ca="1">_xludf.XLOOKUP(A6,'Batch || Working'!$C$2:$C$438,'Batch || Working'!$E$2:$E$438)</f>
        <v>#NAME?</v>
      </c>
    </row>
    <row r="7" spans="1:3" ht="13">
      <c r="A7" s="145" t="s">
        <v>1462</v>
      </c>
      <c r="B7" s="145" t="s">
        <v>1463</v>
      </c>
      <c r="C7" s="145" t="e">
        <f t="array" aca="1" ref="C7" ca="1">_xludf.XLOOKUP(A7,'Batch || Working'!$C$2:$C$438,'Batch || Working'!$E$2:$E$438)</f>
        <v>#NAME?</v>
      </c>
    </row>
    <row r="8" spans="1:3" ht="13">
      <c r="A8" s="145" t="s">
        <v>1465</v>
      </c>
      <c r="B8" s="145" t="s">
        <v>1466</v>
      </c>
      <c r="C8" s="145" t="e">
        <f t="array" aca="1" ref="C8" ca="1">_xludf.XLOOKUP(A8,'Batch || Working'!$C$2:$C$438,'Batch || Working'!$E$2:$E$438)</f>
        <v>#NAME?</v>
      </c>
    </row>
    <row r="9" spans="1:3" ht="13">
      <c r="A9" s="145" t="s">
        <v>1468</v>
      </c>
      <c r="B9" s="145" t="s">
        <v>1469</v>
      </c>
      <c r="C9" s="145" t="e">
        <f t="array" aca="1" ref="C9" ca="1">_xludf.XLOOKUP(A9,'Batch || Working'!$C$2:$C$438,'Batch || Working'!$E$2:$E$438)</f>
        <v>#NAME?</v>
      </c>
    </row>
    <row r="10" spans="1:3" ht="13">
      <c r="A10" s="145" t="s">
        <v>1517</v>
      </c>
      <c r="B10" s="145" t="s">
        <v>1518</v>
      </c>
      <c r="C10" s="145" t="e">
        <f t="array" aca="1" ref="C10" ca="1">_xludf.XLOOKUP(A10,'Batch || Working'!$C$2:$C$438,'Batch || Working'!$E$2:$E$438)</f>
        <v>#NAME?</v>
      </c>
    </row>
    <row r="11" spans="1:3" ht="13">
      <c r="A11" s="145" t="s">
        <v>1522</v>
      </c>
      <c r="B11" s="145" t="s">
        <v>1523</v>
      </c>
      <c r="C11" s="145" t="e">
        <f t="array" aca="1" ref="C11" ca="1">_xludf.XLOOKUP(A11,'Batch || Working'!$C$2:$C$438,'Batch || Working'!$E$2:$E$438)</f>
        <v>#NAME?</v>
      </c>
    </row>
    <row r="12" spans="1:3" ht="13">
      <c r="A12" s="145" t="s">
        <v>1534</v>
      </c>
      <c r="B12" s="145" t="s">
        <v>1535</v>
      </c>
      <c r="C12" s="145" t="e">
        <f t="array" aca="1" ref="C12" ca="1">_xludf.XLOOKUP(A12,'Batch || Working'!$C$2:$C$438,'Batch || Working'!$E$2:$E$438)</f>
        <v>#NAME?</v>
      </c>
    </row>
    <row r="13" spans="1:3" ht="13">
      <c r="A13" s="103" t="s">
        <v>205</v>
      </c>
      <c r="B13" s="22" t="str">
        <f>VLOOKUP(A13,BEDM!A:C,2,FALSE)</f>
        <v>Yuvraj Jaiswal</v>
      </c>
      <c r="C13" s="22" t="e">
        <f ca="1">VLOOKUP(A13,BEDM!A:C,3,FALSE)</f>
        <v>#NAME?</v>
      </c>
    </row>
    <row r="14" spans="1:3" ht="13">
      <c r="A14" s="145" t="s">
        <v>206</v>
      </c>
      <c r="B14" s="145" t="s">
        <v>1544</v>
      </c>
      <c r="C14" s="145" t="e">
        <f t="array" aca="1" ref="C14" ca="1">_xludf.XLOOKUP(A14,'Batch || Working'!$C$2:$C$438,'Batch || Working'!$E$2:$E$438)</f>
        <v>#NAME?</v>
      </c>
    </row>
    <row r="15" spans="1:3" ht="13">
      <c r="A15" s="103" t="s">
        <v>207</v>
      </c>
      <c r="B15" s="22" t="str">
        <f>VLOOKUP(A15,BEDM!A:C,2,FALSE)</f>
        <v>ADITI AGRAWAL</v>
      </c>
      <c r="C15" s="22" t="e">
        <f ca="1">VLOOKUP(A15,BEDM!A:C,3,FALSE)</f>
        <v>#NAME?</v>
      </c>
    </row>
    <row r="16" spans="1:3" ht="13">
      <c r="A16" s="103" t="s">
        <v>217</v>
      </c>
      <c r="B16" s="22" t="str">
        <f>VLOOKUP(A16,BEDM!A:C,2,FALSE)</f>
        <v>TUSSHAR RAJ SINHA</v>
      </c>
      <c r="C16" s="22" t="e">
        <f ca="1">VLOOKUP(A16,BEDM!A:C,3,FALSE)</f>
        <v>#NAME?</v>
      </c>
    </row>
    <row r="17" spans="1:24" ht="13">
      <c r="A17" s="103" t="s">
        <v>218</v>
      </c>
      <c r="B17" s="22" t="str">
        <f>VLOOKUP(A17,BEDM!A:C,2,FALSE)</f>
        <v>YASH AKSHAT KUMAR</v>
      </c>
      <c r="C17" s="22" t="e">
        <f ca="1">VLOOKUP(A17,BEDM!A:C,3,FALSE)</f>
        <v>#NAME?</v>
      </c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</row>
    <row r="18" spans="1:24" ht="13">
      <c r="A18" s="145" t="s">
        <v>531</v>
      </c>
      <c r="B18" s="145" t="s">
        <v>1607</v>
      </c>
      <c r="C18" s="145" t="e">
        <f t="array" aca="1" ref="C18" ca="1">_xludf.XLOOKUP(A18,'Batch || Working'!$C$2:$C$438,'Batch || Working'!$E$2:$E$438)</f>
        <v>#NAME?</v>
      </c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</row>
    <row r="19" spans="1:24" ht="13">
      <c r="A19" s="103" t="s">
        <v>690</v>
      </c>
      <c r="B19" s="22" t="str">
        <f>VLOOKUP(A19,BEDM!A:C,2,FALSE)</f>
        <v>NAMEERA ALI</v>
      </c>
      <c r="C19" s="22" t="e">
        <f ca="1">VLOOKUP(A19,BEDM!A:C,3,FALSE)</f>
        <v>#NAME?</v>
      </c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</row>
    <row r="20" spans="1:24" ht="13">
      <c r="A20" s="145" t="s">
        <v>1049</v>
      </c>
      <c r="B20" s="145" t="s">
        <v>1756</v>
      </c>
      <c r="C20" s="145" t="e">
        <f t="array" aca="1" ref="C20" ca="1">_xludf.XLOOKUP(A20,'Batch || Working'!$C$2:$C$438,'Batch || Working'!$E$2:$E$438)</f>
        <v>#NAME?</v>
      </c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</row>
    <row r="21" spans="1:24" ht="13">
      <c r="A21" s="145" t="s">
        <v>233</v>
      </c>
      <c r="B21" s="145" t="s">
        <v>1760</v>
      </c>
      <c r="C21" s="145" t="e">
        <f t="array" aca="1" ref="C21" ca="1">_xludf.XLOOKUP(A21,'Batch || Working'!$C$2:$C$438,'Batch || Working'!$E$2:$E$438)</f>
        <v>#NAME?</v>
      </c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</row>
    <row r="22" spans="1:24" ht="13">
      <c r="A22" s="145" t="s">
        <v>409</v>
      </c>
      <c r="B22" s="145" t="s">
        <v>1617</v>
      </c>
      <c r="C22" s="145" t="e">
        <f t="array" aca="1" ref="C22" ca="1">_xludf.XLOOKUP(A22,'Batch || Working'!$C$2:$C$438,'Batch || Working'!$E$2:$E$438)</f>
        <v>#NAME?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</row>
    <row r="23" spans="1:24" ht="13">
      <c r="A23" s="145" t="s">
        <v>413</v>
      </c>
      <c r="B23" s="145" t="s">
        <v>1618</v>
      </c>
      <c r="C23" s="145" t="e">
        <f t="array" aca="1" ref="C23" ca="1">_xludf.XLOOKUP(A23,'Batch || Working'!$C$2:$C$438,'Batch || Working'!$E$2:$E$438)</f>
        <v>#NAME?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</row>
    <row r="24" spans="1:24" ht="13">
      <c r="A24" s="145" t="s">
        <v>714</v>
      </c>
      <c r="B24" s="145" t="s">
        <v>715</v>
      </c>
      <c r="C24" s="145" t="e">
        <f t="array" aca="1" ref="C24" ca="1">_xludf.XLOOKUP(A24,'Batch || Working'!$C$2:$C$438,'Batch || Working'!$E$2:$E$438)</f>
        <v>#NAME?</v>
      </c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</row>
    <row r="25" spans="1:24" ht="13">
      <c r="A25" s="145" t="s">
        <v>498</v>
      </c>
      <c r="B25" s="145" t="s">
        <v>1765</v>
      </c>
      <c r="C25" s="145" t="e">
        <f t="array" aca="1" ref="C25" ca="1">_xludf.XLOOKUP(A25,'Batch || Working'!$C$2:$C$438,'Batch || Working'!$E$2:$E$438)</f>
        <v>#NAME?</v>
      </c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</row>
    <row r="26" spans="1:24" ht="13">
      <c r="A26" s="103" t="s">
        <v>250</v>
      </c>
      <c r="B26" s="22" t="str">
        <f>VLOOKUP(A26,BEDM!A:C,2,FALSE)</f>
        <v>Nikhil Kumar</v>
      </c>
      <c r="C26" s="22" t="e">
        <f ca="1">VLOOKUP(A26,BEDM!A:C,3,FALSE)</f>
        <v>#NAME?</v>
      </c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</row>
    <row r="27" spans="1:24" ht="13">
      <c r="A27" s="145" t="s">
        <v>252</v>
      </c>
      <c r="B27" s="145" t="s">
        <v>1767</v>
      </c>
      <c r="C27" s="145" t="e">
        <f t="array" aca="1" ref="C27" ca="1">_xludf.XLOOKUP(A27,'Batch || Working'!$C$2:$C$438,'Batch || Working'!$E$2:$E$438)</f>
        <v>#NAME?</v>
      </c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</row>
    <row r="28" spans="1:24" ht="13">
      <c r="A28" s="145" t="s">
        <v>565</v>
      </c>
      <c r="B28" s="145" t="s">
        <v>1768</v>
      </c>
      <c r="C28" s="145" t="e">
        <f t="array" aca="1" ref="C28" ca="1">_xludf.XLOOKUP(A28,'Batch || Working'!$C$2:$C$438,'Batch || Working'!$E$2:$E$438)</f>
        <v>#NAME?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</row>
    <row r="29" spans="1:24" ht="14.25" customHeight="1">
      <c r="A29" s="145" t="s">
        <v>254</v>
      </c>
      <c r="B29" s="145" t="s">
        <v>1769</v>
      </c>
      <c r="C29" s="145" t="e">
        <f t="array" aca="1" ref="C29" ca="1">_xludf.XLOOKUP(A29,'Batch || Working'!$C$2:$C$438,'Batch || Working'!$E$2:$E$438)</f>
        <v>#NAME?</v>
      </c>
    </row>
    <row r="30" spans="1:24" ht="14.25" customHeight="1">
      <c r="A30" s="145" t="s">
        <v>575</v>
      </c>
      <c r="B30" s="145" t="s">
        <v>1770</v>
      </c>
      <c r="C30" s="145" t="e">
        <f t="array" aca="1" ref="C30" ca="1">_xludf.XLOOKUP(A30,'Batch || Working'!$C$2:$C$438,'Batch || Working'!$E$2:$E$438)</f>
        <v>#NAME?</v>
      </c>
    </row>
    <row r="31" spans="1:24" ht="13">
      <c r="A31" s="103" t="s">
        <v>578</v>
      </c>
      <c r="B31" s="22" t="str">
        <f>VLOOKUP(A31,BEDM!A:C,2,FALSE)</f>
        <v>BHUMI KALPESH SHAH</v>
      </c>
      <c r="C31" s="22" t="e">
        <f ca="1">VLOOKUP(A31,BEDM!A:C,3,FALSE)</f>
        <v>#NAME?</v>
      </c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</row>
    <row r="32" spans="1:24" ht="13">
      <c r="A32" s="103" t="s">
        <v>637</v>
      </c>
      <c r="B32" s="22" t="str">
        <f>VLOOKUP(A32,BEDM!A:C,2,FALSE)</f>
        <v>SHRAVANI ASHISH MAISKAR</v>
      </c>
      <c r="C32" s="22" t="e">
        <f ca="1">VLOOKUP(A32,BEDM!A:C,3,FALSE)</f>
        <v>#NAME?</v>
      </c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</row>
    <row r="33" spans="1:24" ht="13">
      <c r="A33" s="145" t="s">
        <v>717</v>
      </c>
      <c r="B33" s="145" t="s">
        <v>1772</v>
      </c>
      <c r="C33" s="145" t="e">
        <f t="array" aca="1" ref="C33" ca="1">_xludf.XLOOKUP(A33,'Batch || Working'!$C$2:$C$438,'Batch || Working'!$E$2:$E$438)</f>
        <v>#NAME?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</row>
    <row r="34" spans="1:24" ht="13">
      <c r="A34" s="145" t="s">
        <v>263</v>
      </c>
      <c r="B34" s="145" t="s">
        <v>1773</v>
      </c>
      <c r="C34" s="145" t="e">
        <f t="array" aca="1" ref="C34" ca="1">_xludf.XLOOKUP(A34,'Batch || Working'!$C$2:$C$438,'Batch || Working'!$E$2:$E$438)</f>
        <v>#NAME?</v>
      </c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</row>
    <row r="35" spans="1:24" ht="13">
      <c r="A35" s="145" t="s">
        <v>752</v>
      </c>
      <c r="B35" s="145" t="s">
        <v>1777</v>
      </c>
      <c r="C35" s="145" t="e">
        <f t="array" aca="1" ref="C35" ca="1">_xludf.XLOOKUP(A35,'Batch || Working'!$C$2:$C$438,'Batch || Working'!$E$2:$E$438)</f>
        <v>#NAME?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</row>
    <row r="36" spans="1:24" ht="13">
      <c r="A36" s="145" t="s">
        <v>784</v>
      </c>
      <c r="B36" s="145" t="s">
        <v>1648</v>
      </c>
      <c r="C36" s="145" t="e">
        <f t="array" aca="1" ref="C36" ca="1">_xludf.XLOOKUP(A36,'Batch || Working'!$C$2:$C$438,'Batch || Working'!$E$2:$E$438)</f>
        <v>#NAME?</v>
      </c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</row>
    <row r="37" spans="1:24" ht="13">
      <c r="A37" s="145" t="s">
        <v>787</v>
      </c>
      <c r="B37" s="145" t="s">
        <v>1782</v>
      </c>
      <c r="C37" s="145" t="e">
        <f t="array" aca="1" ref="C37" ca="1">_xludf.XLOOKUP(A37,'Batch || Working'!$C$2:$C$438,'Batch || Working'!$E$2:$E$438)</f>
        <v>#NAME?</v>
      </c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</row>
    <row r="38" spans="1:24" ht="13">
      <c r="A38" s="103" t="s">
        <v>802</v>
      </c>
      <c r="B38" s="22" t="str">
        <f>VLOOKUP(A38,BEDM!A:C,2,FALSE)</f>
        <v>PRIYASHA GUPTA</v>
      </c>
      <c r="C38" s="22" t="e">
        <f ca="1">VLOOKUP(A38,BEDM!A:C,3,FALSE)</f>
        <v>#NAME?</v>
      </c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</row>
    <row r="39" spans="1:24" ht="13">
      <c r="A39" s="145" t="s">
        <v>836</v>
      </c>
      <c r="B39" s="145" t="s">
        <v>1655</v>
      </c>
      <c r="C39" s="145" t="e">
        <f t="array" aca="1" ref="C39" ca="1">_xludf.XLOOKUP(A39,'Batch || Working'!$C$2:$C$438,'Batch || Working'!$E$2:$E$438)</f>
        <v>#NAME?</v>
      </c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</row>
    <row r="40" spans="1:24" ht="13">
      <c r="A40" s="145" t="s">
        <v>908</v>
      </c>
      <c r="B40" s="145" t="s">
        <v>1792</v>
      </c>
      <c r="C40" s="145" t="e">
        <f t="array" aca="1" ref="C40" ca="1">_xludf.XLOOKUP(A40,'Batch || Working'!$C$2:$C$438,'Batch || Working'!$E$2:$E$438)</f>
        <v>#NAME?</v>
      </c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</row>
    <row r="41" spans="1:24" ht="13">
      <c r="A41" s="145" t="s">
        <v>918</v>
      </c>
      <c r="B41" s="145" t="s">
        <v>1793</v>
      </c>
      <c r="C41" s="145" t="e">
        <f t="array" aca="1" ref="C41" ca="1">_xludf.XLOOKUP(A41,'Batch || Working'!$C$2:$C$438,'Batch || Working'!$E$2:$E$438)</f>
        <v>#NAME?</v>
      </c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</row>
    <row r="42" spans="1:24" ht="13">
      <c r="A42" s="145" t="s">
        <v>286</v>
      </c>
      <c r="B42" s="145" t="s">
        <v>1794</v>
      </c>
      <c r="C42" s="145" t="e">
        <f t="array" aca="1" ref="C42" ca="1">_xludf.XLOOKUP(A42,'Batch || Working'!$C$2:$C$438,'Batch || Working'!$E$2:$E$438)</f>
        <v>#NAME?</v>
      </c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</row>
    <row r="43" spans="1:24" ht="13">
      <c r="A43" s="145" t="s">
        <v>943</v>
      </c>
      <c r="B43" s="145" t="s">
        <v>1795</v>
      </c>
      <c r="C43" s="145" t="e">
        <f t="array" aca="1" ref="C43" ca="1">_xludf.XLOOKUP(A43,'Batch || Working'!$C$2:$C$438,'Batch || Working'!$E$2:$E$438)</f>
        <v>#NAME?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</row>
    <row r="44" spans="1:24" ht="13">
      <c r="A44" s="103" t="s">
        <v>946</v>
      </c>
      <c r="B44" s="22" t="str">
        <f>VLOOKUP(A44,BEDM!A:C,2,FALSE)</f>
        <v>GURJIT SAGAR V</v>
      </c>
      <c r="C44" s="22" t="e">
        <f ca="1">VLOOKUP(A44,BEDM!A:C,3,FALSE)</f>
        <v>#NAME?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</row>
    <row r="45" spans="1:24" ht="13">
      <c r="A45" s="103" t="s">
        <v>292</v>
      </c>
      <c r="B45" s="22" t="str">
        <f>VLOOKUP(A45,BEDM!A:C,2,FALSE)</f>
        <v>ISHITA</v>
      </c>
      <c r="C45" s="22" t="e">
        <f ca="1">VLOOKUP(A45,BEDM!A:C,3,FALSE)</f>
        <v>#NAME?</v>
      </c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</row>
    <row r="46" spans="1:24" ht="13">
      <c r="A46" s="145" t="s">
        <v>298</v>
      </c>
      <c r="B46" s="145" t="s">
        <v>726</v>
      </c>
      <c r="C46" s="145" t="e">
        <f t="array" aca="1" ref="C46" ca="1">_xludf.XLOOKUP(A46,'Batch || Working'!$C$2:$C$438,'Batch || Working'!$E$2:$E$438)</f>
        <v>#NAME?</v>
      </c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</row>
    <row r="47" spans="1:24" ht="13">
      <c r="A47" s="145" t="s">
        <v>989</v>
      </c>
      <c r="B47" s="145" t="s">
        <v>1796</v>
      </c>
      <c r="C47" s="145" t="e">
        <f t="array" aca="1" ref="C47" ca="1">_xludf.XLOOKUP(A47,'Batch || Working'!$C$2:$C$438,'Batch || Working'!$E$2:$E$438)</f>
        <v>#NAME?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</row>
    <row r="48" spans="1:24" ht="13">
      <c r="A48" s="145" t="s">
        <v>728</v>
      </c>
      <c r="B48" s="145" t="s">
        <v>729</v>
      </c>
      <c r="C48" s="145" t="e">
        <f t="array" aca="1" ref="C48" ca="1">_xludf.XLOOKUP(A48,'Batch || Working'!$C$2:$C$438,'Batch || Working'!$E$2:$E$438)</f>
        <v>#NAME?</v>
      </c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</row>
    <row r="49" spans="1:24" ht="13">
      <c r="A49" s="145" t="s">
        <v>302</v>
      </c>
      <c r="B49" s="145" t="s">
        <v>1799</v>
      </c>
      <c r="C49" s="145" t="e">
        <f t="array" aca="1" ref="C49" ca="1">_xludf.XLOOKUP(A49,'Batch || Working'!$C$2:$C$438,'Batch || Working'!$E$2:$E$438)</f>
        <v>#NAME?</v>
      </c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</row>
    <row r="50" spans="1:24" ht="13">
      <c r="A50" s="103" t="s">
        <v>1075</v>
      </c>
      <c r="B50" s="22" t="str">
        <f>VLOOKUP(A50,BEDM!A:C,2,FALSE)</f>
        <v>ADITYA PADHI</v>
      </c>
      <c r="C50" s="22" t="e">
        <f ca="1">VLOOKUP(A50,BEDM!A:C,3,FALSE)</f>
        <v>#NAME?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</row>
    <row r="51" spans="1:24" ht="13">
      <c r="A51" s="103" t="s">
        <v>1098</v>
      </c>
      <c r="B51" s="22" t="str">
        <f>VLOOKUP(A51,BEDM!A:C,2,FALSE)</f>
        <v>ANUSHKA GAYEN</v>
      </c>
      <c r="C51" s="22" t="e">
        <f ca="1">VLOOKUP(A51,BEDM!A:C,3,FALSE)</f>
        <v>#NAME?</v>
      </c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</row>
    <row r="52" spans="1:24" ht="13">
      <c r="A52" s="103" t="s">
        <v>1109</v>
      </c>
      <c r="B52" s="22" t="str">
        <f>VLOOKUP(A52,BEDM!A:C,2,FALSE)</f>
        <v>DEBOJYOTI SARKAR</v>
      </c>
      <c r="C52" s="22" t="e">
        <f ca="1">VLOOKUP(A52,BEDM!A:C,3,FALSE)</f>
        <v>#NAME?</v>
      </c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</row>
    <row r="53" spans="1:24" ht="13">
      <c r="A53" s="22" t="s">
        <v>307</v>
      </c>
      <c r="B53" s="22" t="s">
        <v>1680</v>
      </c>
      <c r="C53" s="22" t="e">
        <f t="array" aca="1" ref="C53" ca="1">_xludf.XLOOKUP(A53,'Batch || Working'!$C$2:$C$438,'Batch || Working'!$E$2:$E$438)</f>
        <v>#NAME?</v>
      </c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</row>
    <row r="54" spans="1:24" ht="13">
      <c r="A54" s="145" t="s">
        <v>731</v>
      </c>
      <c r="B54" s="145" t="s">
        <v>732</v>
      </c>
      <c r="C54" s="145" t="e">
        <f t="array" aca="1" ref="C54" ca="1">_xludf.XLOOKUP(A54,'Batch || Working'!$C$2:$C$438,'Batch || Working'!$E$2:$E$438)</f>
        <v>#NAME?</v>
      </c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</row>
    <row r="55" spans="1:24" ht="13">
      <c r="A55" s="145" t="s">
        <v>1135</v>
      </c>
      <c r="B55" s="145" t="s">
        <v>1683</v>
      </c>
      <c r="C55" s="145" t="e">
        <f t="array" aca="1" ref="C55" ca="1">_xludf.XLOOKUP(A55,'Batch || Working'!$C$2:$C$438,'Batch || Working'!$E$2:$E$438)</f>
        <v>#NAME?</v>
      </c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</row>
    <row r="56" spans="1:24" ht="13">
      <c r="A56" s="145" t="s">
        <v>314</v>
      </c>
      <c r="B56" s="145" t="s">
        <v>1806</v>
      </c>
      <c r="C56" s="145" t="e">
        <f t="array" aca="1" ref="C56" ca="1">_xludf.XLOOKUP(A56,'Batch || Working'!$C$2:$C$438,'Batch || Working'!$E$2:$E$438)</f>
        <v>#NAME?</v>
      </c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6.69921875" customWidth="1"/>
    <col min="3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1267</v>
      </c>
      <c r="B3" s="22" t="s">
        <v>1809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178</v>
      </c>
      <c r="B4" s="22" t="s">
        <v>1810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1277</v>
      </c>
      <c r="B5" s="22" t="s">
        <v>1811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1280</v>
      </c>
      <c r="B6" s="22" t="s">
        <v>1570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1286</v>
      </c>
      <c r="B7" s="22" t="s">
        <v>1812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182</v>
      </c>
      <c r="B8" s="22" t="s">
        <v>1582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1331</v>
      </c>
      <c r="B9" s="22" t="s">
        <v>1583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1337</v>
      </c>
      <c r="B10" s="22" t="s">
        <v>1813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1345</v>
      </c>
      <c r="B11" s="22" t="s">
        <v>1814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1348</v>
      </c>
      <c r="B12" s="22" t="s">
        <v>1815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184</v>
      </c>
      <c r="B13" s="22" t="s">
        <v>1816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186</v>
      </c>
      <c r="B14" s="22" t="s">
        <v>1743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188</v>
      </c>
      <c r="B15" s="22" t="s">
        <v>1594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189</v>
      </c>
      <c r="B16" s="22" t="s">
        <v>1401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190</v>
      </c>
      <c r="B17" s="22" t="s">
        <v>1403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1405</v>
      </c>
      <c r="B18" s="22" t="s">
        <v>1406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1414</v>
      </c>
      <c r="B19" s="22" t="s">
        <v>1415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1420</v>
      </c>
      <c r="B20" s="22" t="s">
        <v>1421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1431</v>
      </c>
      <c r="B21" s="22" t="s">
        <v>1432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1437</v>
      </c>
      <c r="B22" s="22" t="s">
        <v>1817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192</v>
      </c>
      <c r="B23" s="22" t="s">
        <v>1440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1450</v>
      </c>
      <c r="B24" s="22" t="s">
        <v>1451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1453</v>
      </c>
      <c r="B25" s="22" t="s">
        <v>1818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1459</v>
      </c>
      <c r="B26" s="22" t="s">
        <v>1819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1465</v>
      </c>
      <c r="B27" s="22" t="s">
        <v>1466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194</v>
      </c>
      <c r="B28" s="22" t="s">
        <v>1471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1554</v>
      </c>
      <c r="B29" s="22" t="s">
        <v>1745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1476</v>
      </c>
      <c r="B30" s="22" t="s">
        <v>1477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195</v>
      </c>
      <c r="B31" s="22" t="s">
        <v>1479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1492</v>
      </c>
      <c r="B32" s="22" t="s">
        <v>1820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197</v>
      </c>
      <c r="B33" s="22" t="s">
        <v>1495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1499</v>
      </c>
      <c r="B34" s="22" t="s">
        <v>1500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1507</v>
      </c>
      <c r="B35" s="22" t="s">
        <v>1508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200</v>
      </c>
      <c r="B36" s="22" t="s">
        <v>1821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201</v>
      </c>
      <c r="B37" s="22" t="s">
        <v>1822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202</v>
      </c>
      <c r="B38" s="22" t="s">
        <v>1746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203</v>
      </c>
      <c r="B39" s="22" t="s">
        <v>1520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1531</v>
      </c>
      <c r="B40" s="22" t="s">
        <v>1823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1537</v>
      </c>
      <c r="B41" s="22" t="s">
        <v>1824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205</v>
      </c>
      <c r="B42" s="22" t="s">
        <v>1542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206</v>
      </c>
      <c r="B43" s="22" t="s">
        <v>1544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1548</v>
      </c>
      <c r="B44" s="22" t="s">
        <v>1549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1557</v>
      </c>
      <c r="B45" s="22" t="s">
        <v>1747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1560</v>
      </c>
      <c r="B46" s="22" t="s">
        <v>1825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1214</v>
      </c>
      <c r="B47" s="22" t="s">
        <v>1826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673</v>
      </c>
      <c r="B48" s="22" t="s">
        <v>1697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868</v>
      </c>
      <c r="B49" s="22" t="s">
        <v>1827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210</v>
      </c>
      <c r="B50" s="22" t="s">
        <v>1599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1241</v>
      </c>
      <c r="B51" s="22" t="s">
        <v>1828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548</v>
      </c>
      <c r="B52" s="22" t="s">
        <v>1702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705</v>
      </c>
      <c r="B53" s="22" t="s">
        <v>1829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670</v>
      </c>
      <c r="B54" s="22" t="s">
        <v>1753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520</v>
      </c>
      <c r="B55" s="22" t="s">
        <v>1754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1039</v>
      </c>
      <c r="B56" s="22" t="s">
        <v>1755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888</v>
      </c>
      <c r="B57" s="22" t="s">
        <v>1830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223</v>
      </c>
      <c r="B58" s="22" t="s">
        <v>1831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1046</v>
      </c>
      <c r="B59" s="22" t="s">
        <v>1611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230</v>
      </c>
      <c r="B60" s="22" t="s">
        <v>1832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237</v>
      </c>
      <c r="B61" s="22" t="s">
        <v>1833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444</v>
      </c>
      <c r="B62" s="22" t="s">
        <v>1834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714</v>
      </c>
      <c r="B63" s="22" t="s">
        <v>715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472</v>
      </c>
      <c r="B64" s="22" t="s">
        <v>1835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493</v>
      </c>
      <c r="B65" s="22" t="s">
        <v>1836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498</v>
      </c>
      <c r="B66" s="22" t="s">
        <v>1765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250</v>
      </c>
      <c r="B67" s="22" t="s">
        <v>1212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565</v>
      </c>
      <c r="B68" s="22" t="s">
        <v>1768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257</v>
      </c>
      <c r="B69" s="22" t="s">
        <v>1837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262</v>
      </c>
      <c r="B70" s="22" t="s">
        <v>1726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631</v>
      </c>
      <c r="B71" s="22" t="s">
        <v>1637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634</v>
      </c>
      <c r="B72" s="22" t="s">
        <v>1838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717</v>
      </c>
      <c r="B73" s="22" t="s">
        <v>1772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264</v>
      </c>
      <c r="B74" s="22" t="s">
        <v>1839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656</v>
      </c>
      <c r="B75" s="22" t="s">
        <v>1840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662</v>
      </c>
      <c r="B76" s="22" t="s">
        <v>1774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747</v>
      </c>
      <c r="B77" s="22" t="s">
        <v>1776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720</v>
      </c>
      <c r="B78" s="22" t="s">
        <v>721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272</v>
      </c>
      <c r="B79" s="22" t="s">
        <v>1647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273</v>
      </c>
      <c r="B80" s="22" t="s">
        <v>1841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805</v>
      </c>
      <c r="B81" s="22" t="s">
        <v>1842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281</v>
      </c>
      <c r="B82" s="22" t="s">
        <v>1210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828</v>
      </c>
      <c r="B83" s="22" t="s">
        <v>1654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282</v>
      </c>
      <c r="B84" s="22" t="s">
        <v>1788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285</v>
      </c>
      <c r="B85" s="22" t="s">
        <v>1843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923</v>
      </c>
      <c r="B86" s="22" t="s">
        <v>1844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288</v>
      </c>
      <c r="B87" s="22" t="s">
        <v>1660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943</v>
      </c>
      <c r="B88" s="22" t="s">
        <v>1795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515</v>
      </c>
      <c r="B89" s="22" t="s">
        <v>516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293</v>
      </c>
      <c r="B90" s="22" t="s">
        <v>1845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981</v>
      </c>
      <c r="B91" s="22" t="s">
        <v>1668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728</v>
      </c>
      <c r="B92" s="22" t="s">
        <v>729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1005</v>
      </c>
      <c r="B93" s="22" t="s">
        <v>1846</v>
      </c>
      <c r="C93" s="22" t="e">
        <f t="array" aca="1" ref="C93" ca="1">_xludf.XLOOKUP(A93,'Batch || Working'!$C$2:$C$438,'Batch || Working'!$E$2:$E$438)</f>
        <v>#NAME?</v>
      </c>
    </row>
    <row r="94" spans="1:3" ht="14.25" customHeight="1">
      <c r="A94" s="22" t="s">
        <v>302</v>
      </c>
      <c r="B94" s="22" t="s">
        <v>1799</v>
      </c>
      <c r="C94" s="22" t="e">
        <f t="array" aca="1" ref="C94" ca="1">_xludf.XLOOKUP(A94,'Batch || Working'!$C$2:$C$438,'Batch || Working'!$E$2:$E$438)</f>
        <v>#NAME?</v>
      </c>
    </row>
    <row r="95" spans="1:3" ht="14.25" customHeight="1">
      <c r="A95" s="22" t="s">
        <v>1010</v>
      </c>
      <c r="B95" s="22" t="s">
        <v>1847</v>
      </c>
      <c r="C95" s="22" t="e">
        <f t="array" aca="1" ref="C95" ca="1">_xludf.XLOOKUP(A95,'Batch || Working'!$C$2:$C$438,'Batch || Working'!$E$2:$E$438)</f>
        <v>#NAME?</v>
      </c>
    </row>
    <row r="96" spans="1:3" ht="14.25" customHeight="1">
      <c r="A96" s="22" t="s">
        <v>1013</v>
      </c>
      <c r="B96" s="22" t="s">
        <v>1848</v>
      </c>
      <c r="C96" s="22" t="e">
        <f t="array" aca="1" ref="C96" ca="1">_xludf.XLOOKUP(A96,'Batch || Working'!$C$2:$C$438,'Batch || Working'!$E$2:$E$438)</f>
        <v>#NAME?</v>
      </c>
    </row>
    <row r="97" spans="1:3" ht="14.25" customHeight="1">
      <c r="A97" s="22" t="s">
        <v>1016</v>
      </c>
      <c r="B97" s="22" t="s">
        <v>1849</v>
      </c>
      <c r="C97" s="22" t="e">
        <f t="array" aca="1" ref="C97" ca="1">_xludf.XLOOKUP(A97,'Batch || Working'!$C$2:$C$438,'Batch || Working'!$E$2:$E$438)</f>
        <v>#NAME?</v>
      </c>
    </row>
    <row r="98" spans="1:3" ht="14.25" customHeight="1">
      <c r="A98" s="22" t="s">
        <v>303</v>
      </c>
      <c r="B98" s="22" t="s">
        <v>1850</v>
      </c>
      <c r="C98" s="22" t="e">
        <f t="array" aca="1" ref="C98" ca="1">_xludf.XLOOKUP(A98,'Batch || Working'!$C$2:$C$438,'Batch || Working'!$E$2:$E$438)</f>
        <v>#NAME?</v>
      </c>
    </row>
    <row r="99" spans="1:3" ht="14.25" customHeight="1">
      <c r="A99" s="22" t="s">
        <v>1069</v>
      </c>
      <c r="B99" s="22" t="s">
        <v>1801</v>
      </c>
      <c r="C99" s="22" t="e">
        <f t="array" aca="1" ref="C99" ca="1">_xludf.XLOOKUP(A99,'Batch || Working'!$C$2:$C$438,'Batch || Working'!$E$2:$E$438)</f>
        <v>#NAME?</v>
      </c>
    </row>
    <row r="100" spans="1:3" ht="14.25" customHeight="1">
      <c r="A100" s="22" t="s">
        <v>1075</v>
      </c>
      <c r="B100" s="22" t="s">
        <v>1672</v>
      </c>
      <c r="C100" s="22" t="e">
        <f t="array" aca="1" ref="C100" ca="1">_xludf.XLOOKUP(A100,'Batch || Working'!$C$2:$C$438,'Batch || Working'!$E$2:$E$438)</f>
        <v>#NAME?</v>
      </c>
    </row>
    <row r="101" spans="1:3" ht="14.25" customHeight="1">
      <c r="A101" s="22" t="s">
        <v>1101</v>
      </c>
      <c r="B101" s="22" t="s">
        <v>1803</v>
      </c>
      <c r="C101" s="22" t="e">
        <f t="array" aca="1" ref="C101" ca="1">_xludf.XLOOKUP(A101,'Batch || Working'!$C$2:$C$438,'Batch || Working'!$E$2:$E$438)</f>
        <v>#NAME?</v>
      </c>
    </row>
    <row r="102" spans="1:3" ht="14.25" customHeight="1">
      <c r="A102" s="22" t="s">
        <v>309</v>
      </c>
      <c r="B102" s="22" t="s">
        <v>1851</v>
      </c>
      <c r="C102" s="22" t="e">
        <f t="array" aca="1" ref="C102" ca="1">_xludf.XLOOKUP(A102,'Batch || Working'!$C$2:$C$438,'Batch || Working'!$E$2:$E$438)</f>
        <v>#NAME?</v>
      </c>
    </row>
    <row r="103" spans="1:3" ht="14.25" customHeight="1">
      <c r="A103" s="22" t="s">
        <v>731</v>
      </c>
      <c r="B103" s="22" t="s">
        <v>732</v>
      </c>
      <c r="C103" s="22" t="e">
        <f t="array" aca="1" ref="C103" ca="1">_xludf.XLOOKUP(A103,'Batch || Working'!$C$2:$C$438,'Batch || Working'!$E$2:$E$438)</f>
        <v>#NAME?</v>
      </c>
    </row>
    <row r="104" spans="1:3" ht="14.25" customHeight="1">
      <c r="A104" s="22" t="s">
        <v>312</v>
      </c>
      <c r="B104" s="22" t="s">
        <v>1203</v>
      </c>
      <c r="C104" s="22" t="e">
        <f t="array" aca="1" ref="C104" ca="1">_xludf.XLOOKUP(A104,'Batch || Working'!$C$2:$C$438,'Batch || Working'!$E$2:$E$438)</f>
        <v>#NAME?</v>
      </c>
    </row>
    <row r="105" spans="1:3" ht="14.25" customHeight="1">
      <c r="A105" s="22" t="s">
        <v>1156</v>
      </c>
      <c r="B105" s="22" t="s">
        <v>1852</v>
      </c>
      <c r="C105" s="22" t="e">
        <f t="array" aca="1" ref="C105" ca="1">_xludf.XLOOKUP(A105,'Batch || Working'!$C$2:$C$438,'Batch || Working'!$E$2:$E$438)</f>
        <v>#NAME?</v>
      </c>
    </row>
    <row r="106" spans="1:3" ht="14.25" customHeight="1">
      <c r="A106" s="22" t="s">
        <v>314</v>
      </c>
      <c r="B106" s="22" t="s">
        <v>1806</v>
      </c>
      <c r="C106" s="22" t="e">
        <f t="array" aca="1" ref="C106" ca="1">_xludf.XLOOKUP(A106,'Batch || Working'!$C$2:$C$438,'Batch || Working'!$E$2:$E$438)</f>
        <v>#NAME?</v>
      </c>
    </row>
    <row r="107" spans="1:3" ht="14.25" customHeight="1">
      <c r="A107" s="22" t="s">
        <v>1185</v>
      </c>
      <c r="B107" s="22" t="s">
        <v>1853</v>
      </c>
      <c r="C107" s="22" t="e">
        <f t="array" aca="1" ref="C107" ca="1">_xludf.XLOOKUP(A107,'Batch || Working'!$C$2:$C$438,'Batch || Working'!$E$2:$E$438)</f>
        <v>#NAME?</v>
      </c>
    </row>
    <row r="108" spans="1:3" ht="14.25" customHeight="1"/>
    <row r="109" spans="1:3" ht="14.25" customHeight="1"/>
    <row r="110" spans="1:3" ht="14.25" customHeight="1"/>
    <row r="111" spans="1:3" ht="14.25" customHeight="1"/>
    <row r="112" spans="1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96"/>
  <sheetViews>
    <sheetView workbookViewId="0"/>
  </sheetViews>
  <sheetFormatPr defaultColWidth="14.3984375" defaultRowHeight="15.75" customHeight="1"/>
  <cols>
    <col min="1" max="1" width="10.296875" customWidth="1"/>
    <col min="2" max="2" width="26.69921875" customWidth="1"/>
    <col min="3" max="3" width="43.3984375" customWidth="1"/>
    <col min="4" max="25" width="8.69921875" customWidth="1"/>
  </cols>
  <sheetData>
    <row r="1" spans="1:24" ht="14.25" customHeight="1">
      <c r="A1" s="104" t="s">
        <v>176</v>
      </c>
      <c r="B1" s="104" t="s">
        <v>177</v>
      </c>
      <c r="C1" s="104" t="s">
        <v>364</v>
      </c>
    </row>
    <row r="2" spans="1:24" ht="14.25" customHeight="1">
      <c r="A2" s="22" t="s">
        <v>1258</v>
      </c>
      <c r="B2" s="22" t="e">
        <f t="array" aca="1" ref="B2" ca="1">_xludf.XLOOKUP(A2,'Batch || Working'!$C$2:$C$438,'Batch || Working'!$D$2:$D$438)</f>
        <v>#NAME?</v>
      </c>
      <c r="C2" s="22" t="e">
        <f t="array" aca="1" ref="C2" ca="1">_xludf.XLOOKUP(A2,'Batch || Working'!$C$2:$C$438,'Batch || Working'!$E$2:$E$438)</f>
        <v>#NAME?</v>
      </c>
    </row>
    <row r="3" spans="1:24" ht="14.25" customHeight="1">
      <c r="A3" s="22" t="s">
        <v>1280</v>
      </c>
      <c r="B3" s="22" t="e">
        <f t="array" aca="1" ref="B3" ca="1">_xludf.XLOOKUP(A3,'Batch || Working'!$C$2:$C$438,'Batch || Working'!$D$2:$D$438)</f>
        <v>#NAME?</v>
      </c>
      <c r="C3" s="22" t="e">
        <f t="array" aca="1" ref="C3" ca="1">_xludf.XLOOKUP(A3,'Batch || Working'!$C$2:$C$438,'Batch || Working'!$E$2:$E$438)</f>
        <v>#NAME?</v>
      </c>
    </row>
    <row r="4" spans="1:24" ht="14.25" customHeight="1">
      <c r="A4" s="22" t="s">
        <v>182</v>
      </c>
      <c r="B4" s="22" t="e">
        <f t="array" aca="1" ref="B4" ca="1">_xludf.XLOOKUP(A4,'Batch || Working'!$C$2:$C$438,'Batch || Working'!$D$2:$D$438)</f>
        <v>#NAME?</v>
      </c>
      <c r="C4" s="22" t="e">
        <f t="array" aca="1" ref="C4" ca="1">_xludf.XLOOKUP(A4,'Batch || Working'!$C$2:$C$438,'Batch || Working'!$E$2:$E$438)</f>
        <v>#NAME?</v>
      </c>
    </row>
    <row r="5" spans="1:24" ht="14.25" customHeight="1">
      <c r="A5" s="22" t="s">
        <v>1331</v>
      </c>
      <c r="B5" s="22" t="e">
        <f t="array" aca="1" ref="B5" ca="1">_xludf.XLOOKUP(A5,'Batch || Working'!$C$2:$C$438,'Batch || Working'!$D$2:$D$438)</f>
        <v>#NAME?</v>
      </c>
      <c r="C5" s="22" t="e">
        <f t="array" aca="1" ref="C5" ca="1">_xludf.XLOOKUP(A5,'Batch || Working'!$C$2:$C$438,'Batch || Working'!$E$2:$E$438)</f>
        <v>#NAME?</v>
      </c>
    </row>
    <row r="6" spans="1:24" ht="14.25" customHeight="1">
      <c r="A6" s="145" t="s">
        <v>1345</v>
      </c>
      <c r="B6" s="145" t="s">
        <v>1814</v>
      </c>
      <c r="C6" s="145" t="e">
        <f t="array" aca="1" ref="C6" ca="1">_xludf.XLOOKUP(A6,'Batch || Working'!$C$2:$C$438,'Batch || Working'!$E$2:$E$438)</f>
        <v>#NAME?</v>
      </c>
    </row>
    <row r="7" spans="1:24" ht="14.25" customHeight="1">
      <c r="A7" s="145" t="s">
        <v>1348</v>
      </c>
      <c r="B7" s="145" t="s">
        <v>1815</v>
      </c>
      <c r="C7" s="145" t="e">
        <f t="array" aca="1" ref="C7" ca="1">_xludf.XLOOKUP(A7,'Batch || Working'!$C$2:$C$438,'Batch || Working'!$E$2:$E$438)</f>
        <v>#NAME?</v>
      </c>
    </row>
    <row r="8" spans="1:24" ht="14.25" customHeight="1">
      <c r="A8" s="22" t="s">
        <v>188</v>
      </c>
      <c r="B8" s="22" t="e">
        <f t="array" aca="1" ref="B8" ca="1">_xludf.XLOOKUP(A8,'Batch || Working'!$C$2:$C$438,'Batch || Working'!$D$2:$D$438)</f>
        <v>#NAME?</v>
      </c>
      <c r="C8" s="22" t="e">
        <f t="array" aca="1" ref="C8" ca="1">_xludf.XLOOKUP(A8,'Batch || Working'!$C$2:$C$438,'Batch || Working'!$E$2:$E$438)</f>
        <v>#NAME?</v>
      </c>
    </row>
    <row r="9" spans="1:24" ht="14.25" customHeight="1">
      <c r="A9" s="22" t="s">
        <v>190</v>
      </c>
      <c r="B9" s="22" t="s">
        <v>1403</v>
      </c>
      <c r="C9" s="22" t="e">
        <f t="array" aca="1" ref="C9" ca="1">_xludf.XLOOKUP(A9,'Batch || Working'!$C$2:$C$438,'Batch || Working'!$E$2:$E$438)</f>
        <v>#NAME?</v>
      </c>
    </row>
    <row r="10" spans="1:24" ht="14.25" customHeight="1">
      <c r="A10" s="22" t="s">
        <v>1431</v>
      </c>
      <c r="B10" s="22" t="s">
        <v>1432</v>
      </c>
      <c r="C10" s="22" t="e">
        <f t="array" aca="1" ref="C10" ca="1">_xludf.XLOOKUP(A10,'Batch || Working'!$C$2:$C$438,'Batch || Working'!$E$2:$E$438)</f>
        <v>#NAME?</v>
      </c>
    </row>
    <row r="11" spans="1:24" ht="14.25" customHeight="1">
      <c r="A11" s="22" t="s">
        <v>1437</v>
      </c>
      <c r="B11" s="22" t="s">
        <v>1817</v>
      </c>
      <c r="C11" s="22" t="e">
        <f t="array" aca="1" ref="C11" ca="1">_xludf.XLOOKUP(A11,'Batch || Working'!$C$2:$C$438,'Batch || Working'!$E$2:$E$438)</f>
        <v>#NAME?</v>
      </c>
    </row>
    <row r="12" spans="1:24" ht="14.25" customHeight="1">
      <c r="A12" s="22" t="s">
        <v>192</v>
      </c>
      <c r="B12" s="22" t="s">
        <v>1440</v>
      </c>
      <c r="C12" s="22" t="e">
        <f t="array" aca="1" ref="C12" ca="1">_xludf.XLOOKUP(A12,'Batch || Working'!$C$2:$C$438,'Batch || Working'!$E$2:$E$438)</f>
        <v>#NAME?</v>
      </c>
    </row>
    <row r="13" spans="1:24" ht="14.25" customHeight="1">
      <c r="A13" s="22" t="s">
        <v>1450</v>
      </c>
      <c r="B13" s="22" t="s">
        <v>1451</v>
      </c>
      <c r="C13" s="22" t="e">
        <f t="array" aca="1" ref="C13" ca="1">_xludf.XLOOKUP(A13,'Batch || Working'!$C$2:$C$438,'Batch || Working'!$E$2:$E$438)</f>
        <v>#NAME?</v>
      </c>
    </row>
    <row r="14" spans="1:24" ht="14.25" customHeight="1">
      <c r="A14" s="145" t="s">
        <v>1476</v>
      </c>
      <c r="B14" s="145" t="s">
        <v>1477</v>
      </c>
      <c r="C14" s="145" t="e">
        <f t="array" aca="1" ref="C14" ca="1">_xludf.XLOOKUP(A14,'Batch || Working'!$C$2:$C$438,'Batch || Working'!$E$2:$E$438)</f>
        <v>#NAME?</v>
      </c>
    </row>
    <row r="15" spans="1:24" ht="14.25" customHeight="1">
      <c r="A15" s="145" t="s">
        <v>195</v>
      </c>
      <c r="B15" s="145" t="s">
        <v>1479</v>
      </c>
      <c r="C15" s="145" t="e">
        <f t="array" aca="1" ref="C15" ca="1">_xludf.XLOOKUP(A15,'Batch || Working'!$C$2:$C$438,'Batch || Working'!$E$2:$E$438)</f>
        <v>#NAME?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</row>
    <row r="16" spans="1:24" ht="14.25" customHeight="1">
      <c r="A16" s="145" t="s">
        <v>1507</v>
      </c>
      <c r="B16" s="145" t="s">
        <v>1508</v>
      </c>
      <c r="C16" s="145" t="e">
        <f t="array" aca="1" ref="C16" ca="1">_xludf.XLOOKUP(A16,'Batch || Working'!$C$2:$C$438,'Batch || Working'!$E$2:$E$438)</f>
        <v>#NAME?</v>
      </c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</row>
    <row r="17" spans="1:24" ht="14.25" customHeight="1">
      <c r="A17" s="22" t="s">
        <v>200</v>
      </c>
      <c r="B17" s="22" t="s">
        <v>1821</v>
      </c>
      <c r="C17" s="22" t="e">
        <f t="array" aca="1" ref="C17" ca="1">_xludf.XLOOKUP(A17,'Batch || Working'!$C$2:$C$438,'Batch || Working'!$E$2:$E$438)</f>
        <v>#NAME?</v>
      </c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</row>
    <row r="18" spans="1:24" ht="14.25" customHeight="1">
      <c r="A18" s="145" t="s">
        <v>202</v>
      </c>
      <c r="B18" s="145" t="s">
        <v>1746</v>
      </c>
      <c r="C18" s="145" t="e">
        <f t="array" aca="1" ref="C18" ca="1">_xludf.XLOOKUP(A18,'Batch || Working'!$C$2:$C$438,'Batch || Working'!$E$2:$E$438)</f>
        <v>#NAME?</v>
      </c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</row>
    <row r="19" spans="1:24" ht="14.25" customHeight="1">
      <c r="A19" s="145" t="s">
        <v>203</v>
      </c>
      <c r="B19" s="145" t="s">
        <v>1520</v>
      </c>
      <c r="C19" s="145" t="e">
        <f t="array" aca="1" ref="C19" ca="1">_xludf.XLOOKUP(A19,'Batch || Working'!$C$2:$C$438,'Batch || Working'!$E$2:$E$438)</f>
        <v>#NAME?</v>
      </c>
    </row>
    <row r="20" spans="1:24" ht="14.25" customHeight="1">
      <c r="A20" s="22" t="s">
        <v>206</v>
      </c>
      <c r="B20" s="22" t="s">
        <v>1544</v>
      </c>
      <c r="C20" s="22" t="e">
        <f t="array" aca="1" ref="C20" ca="1">_xludf.XLOOKUP(A20,'Batch || Working'!$C$2:$C$438,'Batch || Working'!$E$2:$E$438)</f>
        <v>#NAME?</v>
      </c>
    </row>
    <row r="21" spans="1:24" ht="14.25" customHeight="1">
      <c r="A21" s="145" t="s">
        <v>1548</v>
      </c>
      <c r="B21" s="145" t="s">
        <v>1549</v>
      </c>
      <c r="C21" s="145" t="e">
        <f t="array" aca="1" ref="C21" ca="1">_xludf.XLOOKUP(A21,'Batch || Working'!$C$2:$C$438,'Batch || Working'!$E$2:$E$438)</f>
        <v>#NAME?</v>
      </c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</row>
    <row r="22" spans="1:24" ht="14.25" customHeight="1">
      <c r="A22" s="145" t="s">
        <v>1557</v>
      </c>
      <c r="B22" s="145" t="s">
        <v>1747</v>
      </c>
      <c r="C22" s="145" t="e">
        <f t="array" aca="1" ref="C22" ca="1">_xludf.XLOOKUP(A22,'Batch || Working'!$C$2:$C$438,'Batch || Working'!$E$2:$E$438)</f>
        <v>#NAME?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</row>
    <row r="23" spans="1:24" ht="14.25" customHeight="1">
      <c r="A23" s="22" t="s">
        <v>1560</v>
      </c>
      <c r="B23" s="22" t="s">
        <v>1825</v>
      </c>
      <c r="C23" s="22" t="e">
        <f t="array" aca="1" ref="C23" ca="1">_xludf.XLOOKUP(A23,'Batch || Working'!$C$2:$C$438,'Batch || Working'!$E$2:$E$438)</f>
        <v>#NAME?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</row>
    <row r="24" spans="1:24" ht="14.25" customHeight="1">
      <c r="A24" s="22" t="s">
        <v>868</v>
      </c>
      <c r="B24" s="22" t="s">
        <v>1827</v>
      </c>
      <c r="C24" s="22" t="e">
        <f t="array" aca="1" ref="C24" ca="1">_xludf.XLOOKUP(A24,'Batch || Working'!$C$2:$C$438,'Batch || Working'!$E$2:$E$438)</f>
        <v>#NAME?</v>
      </c>
    </row>
    <row r="25" spans="1:24" ht="14.25" customHeight="1">
      <c r="A25" s="22" t="s">
        <v>210</v>
      </c>
      <c r="B25" s="22" t="e">
        <f t="array" aca="1" ref="B25" ca="1">_xludf.XLOOKUP(A25,'Batch || Working'!$C$2:$C$438,'Batch || Working'!$D$2:$D$438)</f>
        <v>#NAME?</v>
      </c>
      <c r="C25" s="22" t="e">
        <f t="array" aca="1" ref="C25" ca="1">_xludf.XLOOKUP(A25,'Batch || Working'!$C$2:$C$438,'Batch || Working'!$E$2:$E$438)</f>
        <v>#NAME?</v>
      </c>
    </row>
    <row r="26" spans="1:24" ht="14.25" customHeight="1">
      <c r="A26" s="22" t="s">
        <v>670</v>
      </c>
      <c r="B26" s="22" t="s">
        <v>1753</v>
      </c>
      <c r="C26" s="22" t="e">
        <f t="array" aca="1" ref="C26" ca="1">_xludf.XLOOKUP(A26,'Batch || Working'!$C$2:$C$438,'Batch || Working'!$E$2:$E$438)</f>
        <v>#NAME?</v>
      </c>
    </row>
    <row r="27" spans="1:24" ht="14.25" customHeight="1">
      <c r="A27" s="22" t="s">
        <v>520</v>
      </c>
      <c r="B27" s="22" t="s">
        <v>1754</v>
      </c>
      <c r="C27" s="22" t="e">
        <f t="array" aca="1" ref="C27" ca="1">_xludf.XLOOKUP(A27,'Batch || Working'!$C$2:$C$438,'Batch || Working'!$E$2:$E$438)</f>
        <v>#NAME?</v>
      </c>
    </row>
    <row r="28" spans="1:24" ht="14.25" customHeight="1">
      <c r="A28" s="22" t="s">
        <v>1039</v>
      </c>
      <c r="B28" s="22" t="s">
        <v>1755</v>
      </c>
      <c r="C28" s="22" t="e">
        <f t="array" aca="1" ref="C28" ca="1">_xludf.XLOOKUP(A28,'Batch || Working'!$C$2:$C$438,'Batch || Working'!$E$2:$E$438)</f>
        <v>#NAME?</v>
      </c>
    </row>
    <row r="29" spans="1:24" ht="14.25" customHeight="1">
      <c r="A29" s="22" t="s">
        <v>888</v>
      </c>
      <c r="B29" s="22" t="s">
        <v>1830</v>
      </c>
      <c r="C29" s="22" t="e">
        <f t="array" aca="1" ref="C29" ca="1">_xludf.XLOOKUP(A29,'Batch || Working'!$C$2:$C$438,'Batch || Working'!$E$2:$E$438)</f>
        <v>#NAME?</v>
      </c>
    </row>
    <row r="30" spans="1:24" ht="14.25" customHeight="1">
      <c r="A30" s="22" t="s">
        <v>223</v>
      </c>
      <c r="B30" s="22" t="s">
        <v>1831</v>
      </c>
      <c r="C30" s="22" t="e">
        <f t="array" aca="1" ref="C30" ca="1">_xludf.XLOOKUP(A30,'Batch || Working'!$C$2:$C$438,'Batch || Working'!$E$2:$E$438)</f>
        <v>#NAME?</v>
      </c>
    </row>
    <row r="31" spans="1:24" ht="14.25" customHeight="1">
      <c r="A31" s="22" t="s">
        <v>1046</v>
      </c>
      <c r="B31" s="22" t="e">
        <f t="array" aca="1" ref="B31" ca="1">_xludf.XLOOKUP(A31,'Batch || Working'!$C$2:$C$438,'Batch || Working'!$D$2:$D$438)</f>
        <v>#NAME?</v>
      </c>
      <c r="C31" s="22" t="e">
        <f t="array" aca="1" ref="C31" ca="1">_xludf.XLOOKUP(A31,'Batch || Working'!$C$2:$C$438,'Batch || Working'!$E$2:$E$438)</f>
        <v>#NAME?</v>
      </c>
    </row>
    <row r="32" spans="1:24" ht="14.25" customHeight="1">
      <c r="A32" s="22" t="s">
        <v>230</v>
      </c>
      <c r="B32" s="22" t="s">
        <v>1832</v>
      </c>
      <c r="C32" s="22" t="e">
        <f t="array" aca="1" ref="C32" ca="1">_xludf.XLOOKUP(A32,'Batch || Working'!$C$2:$C$438,'Batch || Working'!$E$2:$E$438)</f>
        <v>#NAME?</v>
      </c>
    </row>
    <row r="33" spans="1:24" ht="14.25" customHeight="1">
      <c r="A33" s="145" t="s">
        <v>444</v>
      </c>
      <c r="B33" s="145" t="s">
        <v>1834</v>
      </c>
      <c r="C33" s="145" t="e">
        <f t="array" aca="1" ref="C33" ca="1">_xludf.XLOOKUP(A33,'Batch || Working'!$C$2:$C$438,'Batch || Working'!$E$2:$E$438)</f>
        <v>#NAME?</v>
      </c>
    </row>
    <row r="34" spans="1:24" ht="14.25" customHeight="1">
      <c r="A34" s="145" t="s">
        <v>472</v>
      </c>
      <c r="B34" s="145" t="s">
        <v>1835</v>
      </c>
      <c r="C34" s="145" t="e">
        <f t="array" aca="1" ref="C34" ca="1">_xludf.XLOOKUP(A34,'Batch || Working'!$C$2:$C$438,'Batch || Working'!$E$2:$E$438)</f>
        <v>#NAME?</v>
      </c>
    </row>
    <row r="35" spans="1:24" ht="14.25" customHeight="1">
      <c r="A35" s="22" t="s">
        <v>493</v>
      </c>
      <c r="B35" s="22" t="s">
        <v>1836</v>
      </c>
      <c r="C35" s="22" t="e">
        <f t="array" aca="1" ref="C35" ca="1">_xludf.XLOOKUP(A35,'Batch || Working'!$C$2:$C$438,'Batch || Working'!$E$2:$E$438)</f>
        <v>#NAME?</v>
      </c>
    </row>
    <row r="36" spans="1:24" ht="14.25" customHeight="1">
      <c r="A36" s="22" t="s">
        <v>257</v>
      </c>
      <c r="B36" s="22" t="s">
        <v>1837</v>
      </c>
      <c r="C36" s="22" t="e">
        <f t="array" aca="1" ref="C36" ca="1">_xludf.XLOOKUP(A36,'Batch || Working'!$C$2:$C$438,'Batch || Working'!$E$2:$E$438)</f>
        <v>#NAME?</v>
      </c>
    </row>
    <row r="37" spans="1:24" ht="14.25" customHeight="1">
      <c r="A37" s="22" t="s">
        <v>262</v>
      </c>
      <c r="B37" s="22" t="s">
        <v>1726</v>
      </c>
      <c r="C37" s="22" t="e">
        <f t="array" aca="1" ref="C37" ca="1">_xludf.XLOOKUP(A37,'Batch || Working'!$C$2:$C$438,'Batch || Working'!$E$2:$E$438)</f>
        <v>#NAME?</v>
      </c>
    </row>
    <row r="38" spans="1:24" ht="14.25" customHeight="1">
      <c r="A38" s="22" t="s">
        <v>631</v>
      </c>
      <c r="B38" s="22" t="e">
        <f t="array" aca="1" ref="B38" ca="1">_xludf.XLOOKUP(A38,'Batch || Working'!$C$2:$C$438,'Batch || Working'!$D$2:$D$438)</f>
        <v>#NAME?</v>
      </c>
      <c r="C38" s="22" t="e">
        <f t="array" aca="1" ref="C38" ca="1">_xludf.XLOOKUP(A38,'Batch || Working'!$C$2:$C$438,'Batch || Working'!$E$2:$E$438)</f>
        <v>#NAME?</v>
      </c>
    </row>
    <row r="39" spans="1:24" ht="14.25" customHeight="1">
      <c r="A39" s="22" t="s">
        <v>634</v>
      </c>
      <c r="B39" s="22" t="s">
        <v>1838</v>
      </c>
      <c r="C39" s="22" t="e">
        <f t="array" aca="1" ref="C39" ca="1">_xludf.XLOOKUP(A39,'Batch || Working'!$C$2:$C$438,'Batch || Working'!$E$2:$E$438)</f>
        <v>#NAME?</v>
      </c>
    </row>
    <row r="40" spans="1:24" ht="14.25" customHeight="1">
      <c r="A40" s="22" t="s">
        <v>717</v>
      </c>
      <c r="B40" s="22" t="s">
        <v>1772</v>
      </c>
      <c r="C40" s="22" t="e">
        <f t="array" aca="1" ref="C40" ca="1">_xludf.XLOOKUP(A40,'Batch || Working'!$C$2:$C$438,'Batch || Working'!$E$2:$E$438)</f>
        <v>#NAME?</v>
      </c>
    </row>
    <row r="41" spans="1:24" ht="14.25" customHeight="1">
      <c r="A41" s="22" t="s">
        <v>264</v>
      </c>
      <c r="B41" s="22" t="s">
        <v>1839</v>
      </c>
      <c r="C41" s="22" t="e">
        <f t="array" aca="1" ref="C41" ca="1">_xludf.XLOOKUP(A41,'Batch || Working'!$C$2:$C$438,'Batch || Working'!$E$2:$E$438)</f>
        <v>#NAME?</v>
      </c>
    </row>
    <row r="42" spans="1:24" ht="14.25" customHeight="1">
      <c r="A42" s="22" t="s">
        <v>662</v>
      </c>
      <c r="B42" s="22" t="s">
        <v>1774</v>
      </c>
      <c r="C42" s="22" t="e">
        <f t="array" aca="1" ref="C42" ca="1">_xludf.XLOOKUP(A42,'Batch || Working'!$C$2:$C$438,'Batch || Working'!$E$2:$E$438)</f>
        <v>#NAME?</v>
      </c>
    </row>
    <row r="43" spans="1:24" ht="14.25" customHeight="1">
      <c r="A43" s="22" t="s">
        <v>272</v>
      </c>
      <c r="B43" s="22" t="e">
        <f t="array" aca="1" ref="B43" ca="1">_xludf.XLOOKUP(A43,'Batch || Working'!$C$2:$C$438,'Batch || Working'!$D$2:$D$438)</f>
        <v>#NAME?</v>
      </c>
      <c r="C43" s="22" t="e">
        <f t="array" aca="1" ref="C43" ca="1">_xludf.XLOOKUP(A43,'Batch || Working'!$C$2:$C$438,'Batch || Working'!$E$2:$E$438)</f>
        <v>#NAME?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</row>
    <row r="44" spans="1:24" ht="14.25" customHeight="1">
      <c r="A44" s="145" t="s">
        <v>273</v>
      </c>
      <c r="B44" s="145" t="s">
        <v>1841</v>
      </c>
      <c r="C44" s="145" t="e">
        <f t="array" aca="1" ref="C44" ca="1">_xludf.XLOOKUP(A44,'Batch || Working'!$C$2:$C$438,'Batch || Working'!$E$2:$E$438)</f>
        <v>#NAME?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</row>
    <row r="45" spans="1:24" ht="14.25" customHeight="1">
      <c r="A45" s="22" t="s">
        <v>828</v>
      </c>
      <c r="B45" s="22" t="e">
        <f t="array" aca="1" ref="B45" ca="1">_xludf.XLOOKUP(A45,'Batch || Working'!$C$2:$C$438,'Batch || Working'!$D$2:$D$438)</f>
        <v>#NAME?</v>
      </c>
      <c r="C45" s="22" t="e">
        <f t="array" aca="1" ref="C45" ca="1">_xludf.XLOOKUP(A45,'Batch || Working'!$C$2:$C$438,'Batch || Working'!$E$2:$E$438)</f>
        <v>#NAME?</v>
      </c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</row>
    <row r="46" spans="1:24" ht="14.25" customHeight="1">
      <c r="A46" s="145" t="s">
        <v>285</v>
      </c>
      <c r="B46" s="145" t="s">
        <v>1843</v>
      </c>
      <c r="C46" s="145" t="e">
        <f t="array" aca="1" ref="C46" ca="1">_xludf.XLOOKUP(A46,'Batch || Working'!$C$2:$C$438,'Batch || Working'!$E$2:$E$438)</f>
        <v>#NAME?</v>
      </c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</row>
    <row r="47" spans="1:24" ht="14.25" customHeight="1">
      <c r="A47" s="145" t="s">
        <v>923</v>
      </c>
      <c r="B47" s="145" t="s">
        <v>1844</v>
      </c>
      <c r="C47" s="145" t="e">
        <f t="array" aca="1" ref="C47" ca="1">_xludf.XLOOKUP(A47,'Batch || Working'!$C$2:$C$438,'Batch || Working'!$E$2:$E$438)</f>
        <v>#NAME?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</row>
    <row r="48" spans="1:24" ht="14.25" customHeight="1">
      <c r="A48" s="22" t="s">
        <v>288</v>
      </c>
      <c r="B48" s="22" t="e">
        <f t="array" aca="1" ref="B48" ca="1">_xludf.XLOOKUP(A48,'Batch || Working'!$C$2:$C$438,'Batch || Working'!$D$2:$D$438)</f>
        <v>#NAME?</v>
      </c>
      <c r="C48" s="22" t="e">
        <f t="array" aca="1" ref="C48" ca="1">_xludf.XLOOKUP(A48,'Batch || Working'!$C$2:$C$438,'Batch || Working'!$E$2:$E$438)</f>
        <v>#NAME?</v>
      </c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</row>
    <row r="49" spans="1:24" ht="14.25" customHeight="1">
      <c r="A49" s="22" t="s">
        <v>943</v>
      </c>
      <c r="B49" s="22" t="s">
        <v>1795</v>
      </c>
      <c r="C49" s="22" t="e">
        <f t="array" aca="1" ref="C49" ca="1">_xludf.XLOOKUP(A49,'Batch || Working'!$C$2:$C$438,'Batch || Working'!$E$2:$E$438)</f>
        <v>#NAME?</v>
      </c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</row>
    <row r="50" spans="1:24" ht="14.25" customHeight="1">
      <c r="A50" s="145" t="s">
        <v>293</v>
      </c>
      <c r="B50" s="145" t="s">
        <v>1845</v>
      </c>
      <c r="C50" s="145" t="e">
        <f t="array" aca="1" ref="C50" ca="1">_xludf.XLOOKUP(A50,'Batch || Working'!$C$2:$C$438,'Batch || Working'!$E$2:$E$438)</f>
        <v>#NAME?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</row>
    <row r="51" spans="1:24" ht="14.25" customHeight="1">
      <c r="A51" s="22" t="s">
        <v>981</v>
      </c>
      <c r="B51" s="22" t="e">
        <f t="array" aca="1" ref="B51" ca="1">_xludf.XLOOKUP(A51,'Batch || Working'!$C$2:$C$438,'Batch || Working'!$D$2:$D$438)</f>
        <v>#NAME?</v>
      </c>
      <c r="C51" s="22" t="e">
        <f t="array" aca="1" ref="C51" ca="1">_xludf.XLOOKUP(A51,'Batch || Working'!$C$2:$C$438,'Batch || Working'!$E$2:$E$438)</f>
        <v>#NAME?</v>
      </c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</row>
    <row r="52" spans="1:24" ht="14.25" customHeight="1">
      <c r="A52" s="145" t="s">
        <v>1005</v>
      </c>
      <c r="B52" s="145" t="s">
        <v>1846</v>
      </c>
      <c r="C52" s="145" t="e">
        <f t="array" aca="1" ref="C52" ca="1">_xludf.XLOOKUP(A52,'Batch || Working'!$C$2:$C$438,'Batch || Working'!$E$2:$E$438)</f>
        <v>#NAME?</v>
      </c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</row>
    <row r="53" spans="1:24" ht="14.25" customHeight="1">
      <c r="A53" s="22" t="s">
        <v>302</v>
      </c>
      <c r="B53" s="22" t="s">
        <v>1799</v>
      </c>
      <c r="C53" s="22" t="e">
        <f t="array" aca="1" ref="C53" ca="1">_xludf.XLOOKUP(A53,'Batch || Working'!$C$2:$C$438,'Batch || Working'!$E$2:$E$438)</f>
        <v>#NAME?</v>
      </c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</row>
    <row r="54" spans="1:24" ht="14.25" customHeight="1">
      <c r="A54" s="145" t="s">
        <v>1010</v>
      </c>
      <c r="B54" s="145" t="s">
        <v>1847</v>
      </c>
      <c r="C54" s="145" t="e">
        <f t="array" aca="1" ref="C54" ca="1">_xludf.XLOOKUP(A54,'Batch || Working'!$C$2:$C$438,'Batch || Working'!$E$2:$E$438)</f>
        <v>#NAME?</v>
      </c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</row>
    <row r="55" spans="1:24" ht="14.25" customHeight="1">
      <c r="A55" s="145" t="s">
        <v>1013</v>
      </c>
      <c r="B55" s="145" t="s">
        <v>1848</v>
      </c>
      <c r="C55" s="145" t="e">
        <f t="array" aca="1" ref="C55" ca="1">_xludf.XLOOKUP(A55,'Batch || Working'!$C$2:$C$438,'Batch || Working'!$E$2:$E$438)</f>
        <v>#NAME?</v>
      </c>
    </row>
    <row r="56" spans="1:24" ht="14.25" customHeight="1">
      <c r="A56" s="145" t="s">
        <v>1016</v>
      </c>
      <c r="B56" s="145" t="s">
        <v>1849</v>
      </c>
      <c r="C56" s="145" t="e">
        <f t="array" aca="1" ref="C56" ca="1">_xludf.XLOOKUP(A56,'Batch || Working'!$C$2:$C$438,'Batch || Working'!$E$2:$E$438)</f>
        <v>#NAME?</v>
      </c>
    </row>
    <row r="57" spans="1:24" ht="14.25" customHeight="1">
      <c r="A57" s="145" t="s">
        <v>303</v>
      </c>
      <c r="B57" s="145" t="s">
        <v>1850</v>
      </c>
      <c r="C57" s="145" t="e">
        <f t="array" aca="1" ref="C57" ca="1">_xludf.XLOOKUP(A57,'Batch || Working'!$C$2:$C$438,'Batch || Working'!$E$2:$E$438)</f>
        <v>#NAME?</v>
      </c>
    </row>
    <row r="58" spans="1:24" ht="14.25" customHeight="1">
      <c r="A58" s="22" t="s">
        <v>1075</v>
      </c>
      <c r="B58" s="22" t="e">
        <f t="array" aca="1" ref="B58" ca="1">_xludf.XLOOKUP(A58,'Batch || Working'!$C$2:$C$438,'Batch || Working'!$D$2:$D$438)</f>
        <v>#NAME?</v>
      </c>
      <c r="C58" s="22" t="e">
        <f t="array" aca="1" ref="C58" ca="1">_xludf.XLOOKUP(A58,'Batch || Working'!$C$2:$C$438,'Batch || Working'!$E$2:$E$438)</f>
        <v>#NAME?</v>
      </c>
    </row>
    <row r="59" spans="1:24" ht="14.25" customHeight="1">
      <c r="A59" s="22" t="s">
        <v>1101</v>
      </c>
      <c r="B59" s="22" t="s">
        <v>1803</v>
      </c>
      <c r="C59" s="22" t="e">
        <f t="array" aca="1" ref="C59" ca="1">_xludf.XLOOKUP(A59,'Batch || Working'!$C$2:$C$438,'Batch || Working'!$E$2:$E$438)</f>
        <v>#NAME?</v>
      </c>
    </row>
    <row r="60" spans="1:24" ht="14.25" customHeight="1">
      <c r="A60" s="22" t="s">
        <v>1156</v>
      </c>
      <c r="B60" s="22" t="s">
        <v>1852</v>
      </c>
      <c r="C60" s="22" t="e">
        <f t="array" aca="1" ref="C60" ca="1">_xludf.XLOOKUP(A60,'Batch || Working'!$C$2:$C$438,'Batch || Working'!$E$2:$E$438)</f>
        <v>#NAME?</v>
      </c>
    </row>
    <row r="61" spans="1:24" ht="14.25" customHeight="1">
      <c r="A61" s="145" t="s">
        <v>1185</v>
      </c>
      <c r="B61" s="145" t="s">
        <v>1853</v>
      </c>
      <c r="C61" s="145" t="e">
        <f t="array" aca="1" ref="C61" ca="1">_xludf.XLOOKUP(A61,'Batch || Working'!$C$2:$C$438,'Batch || Working'!$E$2:$E$438)</f>
        <v>#NAME?</v>
      </c>
    </row>
    <row r="62" spans="1:24" ht="14.25" customHeight="1">
      <c r="C62" s="22" t="e">
        <f t="array" aca="1" ref="C62" ca="1">_xludf.XLOOKUP(A62,'Batch || Working'!$C$2:$C$438,'Batch || Working'!$E$2:$E$438)</f>
        <v>#NAME?</v>
      </c>
    </row>
    <row r="63" spans="1:24" ht="14.25" customHeight="1">
      <c r="C63" s="22" t="e">
        <f t="array" aca="1" ref="C63" ca="1">_xludf.XLOOKUP(A63,'Batch || Working'!$C$2:$C$438,'Batch || Working'!$E$2:$E$438)</f>
        <v>#NAME?</v>
      </c>
    </row>
    <row r="64" spans="1:24" ht="14.25" customHeight="1">
      <c r="C64" s="22" t="e">
        <f t="array" aca="1" ref="C64" ca="1">_xludf.XLOOKUP(A64,'Batch || Working'!$C$2:$C$438,'Batch || Working'!$E$2:$E$438)</f>
        <v>#NAME?</v>
      </c>
    </row>
    <row r="65" spans="3:3" ht="14.25" customHeight="1">
      <c r="C65" s="22" t="e">
        <f t="array" aca="1" ref="C65" ca="1">_xludf.XLOOKUP(A65,'Batch || Working'!$C$2:$C$438,'Batch || Working'!$E$2:$E$438)</f>
        <v>#NAME?</v>
      </c>
    </row>
    <row r="66" spans="3:3" ht="14.25" customHeight="1">
      <c r="C66" s="22" t="e">
        <f t="array" aca="1" ref="C66" ca="1">_xludf.XLOOKUP(A66,'Batch || Working'!$C$2:$C$438,'Batch || Working'!$E$2:$E$438)</f>
        <v>#NAME?</v>
      </c>
    </row>
    <row r="67" spans="3:3" ht="14.25" customHeight="1">
      <c r="C67" s="22" t="e">
        <f t="array" aca="1" ref="C67" ca="1">_xludf.XLOOKUP(A67,'Batch || Working'!$C$2:$C$438,'Batch || Working'!$E$2:$E$438)</f>
        <v>#NAME?</v>
      </c>
    </row>
    <row r="68" spans="3:3" ht="14.25" customHeight="1">
      <c r="C68" s="22" t="e">
        <f t="array" aca="1" ref="C68" ca="1">_xludf.XLOOKUP(A68,'Batch || Working'!$C$2:$C$438,'Batch || Working'!$E$2:$E$438)</f>
        <v>#NAME?</v>
      </c>
    </row>
    <row r="69" spans="3:3" ht="14.25" customHeight="1">
      <c r="C69" s="22" t="e">
        <f t="array" aca="1" ref="C69" ca="1">_xludf.XLOOKUP(A69,'Batch || Working'!$C$2:$C$438,'Batch || Working'!$E$2:$E$438)</f>
        <v>#NAME?</v>
      </c>
    </row>
    <row r="70" spans="3:3" ht="14.25" customHeight="1">
      <c r="C70" s="22" t="e">
        <f t="array" aca="1" ref="C70" ca="1">_xludf.XLOOKUP(A70,'Batch || Working'!$C$2:$C$438,'Batch || Working'!$E$2:$E$438)</f>
        <v>#NAME?</v>
      </c>
    </row>
    <row r="71" spans="3:3" ht="14.25" customHeight="1">
      <c r="C71" s="22" t="e">
        <f t="array" aca="1" ref="C71" ca="1">_xludf.XLOOKUP(A71,'Batch || Working'!$C$2:$C$438,'Batch || Working'!$E$2:$E$438)</f>
        <v>#NAME?</v>
      </c>
    </row>
    <row r="72" spans="3:3" ht="14.25" customHeight="1">
      <c r="C72" s="22" t="e">
        <f t="array" aca="1" ref="C72" ca="1">_xludf.XLOOKUP(A72,'Batch || Working'!$C$2:$C$438,'Batch || Working'!$E$2:$E$438)</f>
        <v>#NAME?</v>
      </c>
    </row>
    <row r="73" spans="3:3" ht="14.25" customHeight="1">
      <c r="C73" s="22" t="e">
        <f t="array" aca="1" ref="C73" ca="1">_xludf.XLOOKUP(A73,'Batch || Working'!$C$2:$C$438,'Batch || Working'!$E$2:$E$438)</f>
        <v>#NAME?</v>
      </c>
    </row>
    <row r="74" spans="3:3" ht="14.25" customHeight="1">
      <c r="C74" s="22" t="e">
        <f t="array" aca="1" ref="C74" ca="1">_xludf.XLOOKUP(A74,'Batch || Working'!$C$2:$C$438,'Batch || Working'!$E$2:$E$438)</f>
        <v>#NAME?</v>
      </c>
    </row>
    <row r="75" spans="3:3" ht="14.25" customHeight="1">
      <c r="C75" s="22" t="e">
        <f t="array" aca="1" ref="C75" ca="1">_xludf.XLOOKUP(A75,'Batch || Working'!$C$2:$C$438,'Batch || Working'!$E$2:$E$438)</f>
        <v>#NAME?</v>
      </c>
    </row>
    <row r="76" spans="3:3" ht="14.25" customHeight="1">
      <c r="C76" s="22" t="e">
        <f t="array" aca="1" ref="C76" ca="1">_xludf.XLOOKUP(A76,'Batch || Working'!$C$2:$C$438,'Batch || Working'!$E$2:$E$438)</f>
        <v>#NAME?</v>
      </c>
    </row>
    <row r="77" spans="3:3" ht="14.25" customHeight="1">
      <c r="C77" s="22" t="e">
        <f t="array" aca="1" ref="C77" ca="1">_xludf.XLOOKUP(A77,'Batch || Working'!$C$2:$C$438,'Batch || Working'!$E$2:$E$438)</f>
        <v>#NAME?</v>
      </c>
    </row>
    <row r="78" spans="3:3" ht="14.25" customHeight="1">
      <c r="C78" s="22" t="e">
        <f t="array" aca="1" ref="C78" ca="1">_xludf.XLOOKUP(A78,'Batch || Working'!$C$2:$C$438,'Batch || Working'!$E$2:$E$438)</f>
        <v>#NAME?</v>
      </c>
    </row>
    <row r="79" spans="3:3" ht="14.25" customHeight="1">
      <c r="C79" s="22" t="e">
        <f t="array" aca="1" ref="C79" ca="1">_xludf.XLOOKUP(A79,'Batch || Working'!$C$2:$C$438,'Batch || Working'!$E$2:$E$438)</f>
        <v>#NAME?</v>
      </c>
    </row>
    <row r="80" spans="3:3" ht="14.25" customHeight="1">
      <c r="C80" s="22" t="e">
        <f t="array" aca="1" ref="C80" ca="1">_xludf.XLOOKUP(A80,'Batch || Working'!$C$2:$C$438,'Batch || Working'!$E$2:$E$438)</f>
        <v>#NAME?</v>
      </c>
    </row>
    <row r="81" spans="3:3" ht="14.25" customHeight="1">
      <c r="C81" s="22" t="e">
        <f t="array" aca="1" ref="C81" ca="1">_xludf.XLOOKUP(A81,'Batch || Working'!$C$2:$C$438,'Batch || Working'!$E$2:$E$438)</f>
        <v>#NAME?</v>
      </c>
    </row>
    <row r="82" spans="3:3" ht="14.25" customHeight="1">
      <c r="C82" s="22" t="e">
        <f t="array" aca="1" ref="C82" ca="1">_xludf.XLOOKUP(A82,'Batch || Working'!$C$2:$C$438,'Batch || Working'!$E$2:$E$438)</f>
        <v>#NAME?</v>
      </c>
    </row>
    <row r="83" spans="3:3" ht="14.25" customHeight="1">
      <c r="C83" s="22" t="e">
        <f t="array" aca="1" ref="C83" ca="1">_xludf.XLOOKUP(A83,'Batch || Working'!$C$2:$C$438,'Batch || Working'!$E$2:$E$438)</f>
        <v>#NAME?</v>
      </c>
    </row>
    <row r="84" spans="3:3" ht="14.25" customHeight="1">
      <c r="C84" s="22" t="e">
        <f t="array" aca="1" ref="C84" ca="1">_xludf.XLOOKUP(A84,'Batch || Working'!$C$2:$C$438,'Batch || Working'!$E$2:$E$438)</f>
        <v>#NAME?</v>
      </c>
    </row>
    <row r="85" spans="3:3" ht="14.25" customHeight="1">
      <c r="C85" s="22" t="e">
        <f t="array" aca="1" ref="C85" ca="1">_xludf.XLOOKUP(A85,'Batch || Working'!$C$2:$C$438,'Batch || Working'!$E$2:$E$438)</f>
        <v>#NAME?</v>
      </c>
    </row>
    <row r="86" spans="3:3" ht="14.25" customHeight="1">
      <c r="C86" s="22" t="e">
        <f t="array" aca="1" ref="C86" ca="1">_xludf.XLOOKUP(A86,'Batch || Working'!$C$2:$C$438,'Batch || Working'!$E$2:$E$438)</f>
        <v>#NAME?</v>
      </c>
    </row>
    <row r="87" spans="3:3" ht="14.25" customHeight="1">
      <c r="C87" s="22" t="e">
        <f t="array" aca="1" ref="C87" ca="1">_xludf.XLOOKUP(A87,'Batch || Working'!$C$2:$C$438,'Batch || Working'!$E$2:$E$438)</f>
        <v>#NAME?</v>
      </c>
    </row>
    <row r="88" spans="3:3" ht="14.25" customHeight="1">
      <c r="C88" s="22" t="e">
        <f t="array" aca="1" ref="C88" ca="1">_xludf.XLOOKUP(A88,'Batch || Working'!$C$2:$C$438,'Batch || Working'!$E$2:$E$438)</f>
        <v>#NAME?</v>
      </c>
    </row>
    <row r="89" spans="3:3" ht="14.25" customHeight="1">
      <c r="C89" s="22" t="e">
        <f t="array" aca="1" ref="C89" ca="1">_xludf.XLOOKUP(A89,'Batch || Working'!$C$2:$C$438,'Batch || Working'!$E$2:$E$438)</f>
        <v>#NAME?</v>
      </c>
    </row>
    <row r="90" spans="3:3" ht="14.25" customHeight="1">
      <c r="C90" s="22" t="e">
        <f t="array" aca="1" ref="C90" ca="1">_xludf.XLOOKUP(A90,'Batch || Working'!$C$2:$C$438,'Batch || Working'!$E$2:$E$438)</f>
        <v>#NAME?</v>
      </c>
    </row>
    <row r="91" spans="3:3" ht="14.25" customHeight="1">
      <c r="C91" s="22" t="e">
        <f t="array" aca="1" ref="C91" ca="1">_xludf.XLOOKUP(A91,'Batch || Working'!$C$2:$C$438,'Batch || Working'!$E$2:$E$438)</f>
        <v>#NAME?</v>
      </c>
    </row>
    <row r="92" spans="3:3" ht="14.25" customHeight="1">
      <c r="C92" s="22" t="e">
        <f t="array" aca="1" ref="C92" ca="1">_xludf.XLOOKUP(A92,'Batch || Working'!$C$2:$C$438,'Batch || Working'!$E$2:$E$438)</f>
        <v>#NAME?</v>
      </c>
    </row>
    <row r="93" spans="3:3" ht="14.25" customHeight="1">
      <c r="C93" s="22" t="e">
        <f t="array" aca="1" ref="C93" ca="1">_xludf.XLOOKUP(A93,'Batch || Working'!$C$2:$C$438,'Batch || Working'!$E$2:$E$438)</f>
        <v>#NAME?</v>
      </c>
    </row>
    <row r="94" spans="3:3" ht="14.25" customHeight="1">
      <c r="C94" s="22" t="e">
        <f t="array" aca="1" ref="C94" ca="1">_xludf.XLOOKUP(A94,'Batch || Working'!$C$2:$C$438,'Batch || Working'!$E$2:$E$438)</f>
        <v>#NAME?</v>
      </c>
    </row>
    <row r="95" spans="3:3" ht="14.25" customHeight="1">
      <c r="C95" s="22" t="e">
        <f t="array" aca="1" ref="C95" ca="1">_xludf.XLOOKUP(A95,'Batch || Working'!$C$2:$C$438,'Batch || Working'!$E$2:$E$438)</f>
        <v>#NAME?</v>
      </c>
    </row>
    <row r="96" spans="3:3" ht="14.25" customHeight="1">
      <c r="C96" s="22" t="e">
        <f t="array" aca="1" ref="C96" ca="1">_xludf.XLOOKUP(A96,'Batch || Working'!$C$2:$C$438,'Batch || Working'!$E$2:$E$438)</f>
        <v>#NAME?</v>
      </c>
    </row>
    <row r="97" spans="3:3" ht="14.25" customHeight="1">
      <c r="C97" s="22" t="e">
        <f t="array" aca="1" ref="C97" ca="1">_xludf.XLOOKUP(A97,'Batch || Working'!$C$2:$C$438,'Batch || Working'!$E$2:$E$438)</f>
        <v>#NAME?</v>
      </c>
    </row>
    <row r="98" spans="3:3" ht="14.25" customHeight="1">
      <c r="C98" s="22" t="e">
        <f t="array" aca="1" ref="C98" ca="1">_xludf.XLOOKUP(A98,'Batch || Working'!$C$2:$C$438,'Batch || Working'!$E$2:$E$438)</f>
        <v>#NAME?</v>
      </c>
    </row>
    <row r="99" spans="3:3" ht="14.25" customHeight="1">
      <c r="C99" s="22" t="e">
        <f t="array" aca="1" ref="C99" ca="1">_xludf.XLOOKUP(A99,'Batch || Working'!$C$2:$C$438,'Batch || Working'!$E$2:$E$438)</f>
        <v>#NAME?</v>
      </c>
    </row>
    <row r="100" spans="3:3" ht="14.25" customHeight="1">
      <c r="C100" s="22" t="e">
        <f t="array" aca="1" ref="C100" ca="1">_xludf.XLOOKUP(A100,'Batch || Working'!$C$2:$C$438,'Batch || Working'!$E$2:$E$438)</f>
        <v>#NAME?</v>
      </c>
    </row>
    <row r="101" spans="3:3" ht="14.25" customHeight="1">
      <c r="C101" s="22" t="e">
        <f t="array" aca="1" ref="C101" ca="1">_xludf.XLOOKUP(A101,'Batch || Working'!$C$2:$C$438,'Batch || Working'!$E$2:$E$438)</f>
        <v>#NAME?</v>
      </c>
    </row>
    <row r="102" spans="3:3" ht="14.25" customHeight="1">
      <c r="C102" s="22" t="e">
        <f t="array" aca="1" ref="C102" ca="1">_xludf.XLOOKUP(A102,'Batch || Working'!$C$2:$C$438,'Batch || Working'!$E$2:$E$438)</f>
        <v>#NAME?</v>
      </c>
    </row>
    <row r="103" spans="3:3" ht="14.25" customHeight="1">
      <c r="C103" s="22" t="e">
        <f t="array" aca="1" ref="C103" ca="1">_xludf.XLOOKUP(A103,'Batch || Working'!$C$2:$C$438,'Batch || Working'!$E$2:$E$438)</f>
        <v>#NAME?</v>
      </c>
    </row>
    <row r="104" spans="3:3" ht="14.25" customHeight="1"/>
    <row r="105" spans="3:3" ht="14.25" customHeight="1"/>
    <row r="106" spans="3:3" ht="14.25" customHeight="1"/>
    <row r="107" spans="3:3" ht="14.25" customHeight="1"/>
    <row r="108" spans="3:3" ht="14.25" customHeight="1"/>
    <row r="109" spans="3:3" ht="14.25" customHeight="1"/>
    <row r="110" spans="3:3" ht="14.25" customHeight="1"/>
    <row r="111" spans="3:3" ht="14.25" customHeight="1"/>
    <row r="112" spans="3:3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943"/>
  <sheetViews>
    <sheetView workbookViewId="0"/>
  </sheetViews>
  <sheetFormatPr defaultColWidth="14.3984375" defaultRowHeight="15.75" customHeight="1"/>
  <cols>
    <col min="1" max="1" width="10.296875" customWidth="1"/>
    <col min="2" max="2" width="26.69921875" customWidth="1"/>
    <col min="3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1267</v>
      </c>
      <c r="B2" s="22" t="s">
        <v>1809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178</v>
      </c>
      <c r="B3" s="22" t="s">
        <v>1810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1277</v>
      </c>
      <c r="B4" s="22" t="s">
        <v>1811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1286</v>
      </c>
      <c r="B5" s="22" t="s">
        <v>1812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1337</v>
      </c>
      <c r="B6" s="22" t="s">
        <v>1813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184</v>
      </c>
      <c r="B7" s="22" t="s">
        <v>1816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186</v>
      </c>
      <c r="B8" s="22" t="s">
        <v>1743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145" t="s">
        <v>189</v>
      </c>
      <c r="B9" s="145" t="s">
        <v>1401</v>
      </c>
      <c r="C9" s="145" t="e">
        <f t="array" aca="1" ref="C9" ca="1">_xludf.XLOOKUP(A9,'Batch || Working'!$C$2:$C$438,'Batch || Working'!$E$2:$E$438)</f>
        <v>#NAME?</v>
      </c>
    </row>
    <row r="10" spans="1:3" ht="14.25" customHeight="1">
      <c r="A10" s="145" t="s">
        <v>1405</v>
      </c>
      <c r="B10" s="145" t="s">
        <v>1406</v>
      </c>
      <c r="C10" s="145" t="e">
        <f t="array" aca="1" ref="C10" ca="1">_xludf.XLOOKUP(A10,'Batch || Working'!$C$2:$C$438,'Batch || Working'!$E$2:$E$438)</f>
        <v>#NAME?</v>
      </c>
    </row>
    <row r="11" spans="1:3" ht="14.25" customHeight="1">
      <c r="A11" s="145" t="s">
        <v>1414</v>
      </c>
      <c r="B11" s="145" t="s">
        <v>1415</v>
      </c>
      <c r="C11" s="145" t="e">
        <f t="array" aca="1" ref="C11" ca="1">_xludf.XLOOKUP(A11,'Batch || Working'!$C$2:$C$438,'Batch || Working'!$E$2:$E$438)</f>
        <v>#NAME?</v>
      </c>
    </row>
    <row r="12" spans="1:3" ht="14.25" customHeight="1">
      <c r="A12" s="145" t="s">
        <v>1420</v>
      </c>
      <c r="B12" s="145" t="s">
        <v>1421</v>
      </c>
      <c r="C12" s="145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1453</v>
      </c>
      <c r="B13" s="22" t="s">
        <v>1818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1459</v>
      </c>
      <c r="B14" s="22" t="s">
        <v>1819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1465</v>
      </c>
      <c r="B15" s="22" t="s">
        <v>1466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194</v>
      </c>
      <c r="B16" s="22" t="s">
        <v>1471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1554</v>
      </c>
      <c r="B17" s="22" t="s">
        <v>1745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1492</v>
      </c>
      <c r="B18" s="22" t="s">
        <v>1820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197</v>
      </c>
      <c r="B19" s="22" t="s">
        <v>1495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1499</v>
      </c>
      <c r="B20" s="22" t="s">
        <v>1500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201</v>
      </c>
      <c r="B21" s="22" t="s">
        <v>1822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1531</v>
      </c>
      <c r="B22" s="22" t="s">
        <v>1823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1537</v>
      </c>
      <c r="B23" s="22" t="s">
        <v>1824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205</v>
      </c>
      <c r="B24" s="22" t="s">
        <v>1542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1214</v>
      </c>
      <c r="B25" s="22" t="s">
        <v>1826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673</v>
      </c>
      <c r="B26" s="22" t="s">
        <v>1697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1241</v>
      </c>
      <c r="B27" s="22" t="s">
        <v>1828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548</v>
      </c>
      <c r="B28" s="22" t="s">
        <v>1702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705</v>
      </c>
      <c r="B29" s="22" t="s">
        <v>1829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237</v>
      </c>
      <c r="B30" s="22" t="s">
        <v>1833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714</v>
      </c>
      <c r="B31" s="22" t="s">
        <v>715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498</v>
      </c>
      <c r="B32" s="22" t="s">
        <v>1765</v>
      </c>
      <c r="C32" s="22" t="e">
        <f t="array" aca="1" ref="C32" ca="1">_xludf.XLOOKUP(A32,'Batch || Working'!$C$2:$C$438,'Batch || Working'!$E$2:$E$438)</f>
        <v>#NAME?</v>
      </c>
    </row>
    <row r="33" spans="1:25" ht="14.25" customHeight="1">
      <c r="A33" s="22" t="s">
        <v>250</v>
      </c>
      <c r="B33" s="22" t="s">
        <v>1212</v>
      </c>
      <c r="C33" s="22" t="e">
        <f t="array" aca="1" ref="C33" ca="1">_xludf.XLOOKUP(A33,'Batch || Working'!$C$2:$C$438,'Batch || Working'!$E$2:$E$438)</f>
        <v>#NAME?</v>
      </c>
    </row>
    <row r="34" spans="1:25" ht="14.25" customHeight="1">
      <c r="A34" s="22" t="s">
        <v>565</v>
      </c>
      <c r="B34" s="22" t="s">
        <v>1768</v>
      </c>
      <c r="C34" s="22" t="e">
        <f t="array" aca="1" ref="C34" ca="1">_xludf.XLOOKUP(A34,'Batch || Working'!$C$2:$C$438,'Batch || Working'!$E$2:$E$438)</f>
        <v>#NAME?</v>
      </c>
    </row>
    <row r="35" spans="1:25" ht="14.25" customHeight="1">
      <c r="A35" s="22" t="s">
        <v>656</v>
      </c>
      <c r="B35" s="22" t="s">
        <v>1840</v>
      </c>
      <c r="C35" s="22" t="e">
        <f t="array" aca="1" ref="C35" ca="1">_xludf.XLOOKUP(A35,'Batch || Working'!$C$2:$C$438,'Batch || Working'!$E$2:$E$438)</f>
        <v>#NAME?</v>
      </c>
    </row>
    <row r="36" spans="1:25" ht="14.25" customHeight="1">
      <c r="A36" s="22" t="s">
        <v>747</v>
      </c>
      <c r="B36" s="22" t="s">
        <v>1776</v>
      </c>
      <c r="C36" s="22" t="e">
        <f t="array" aca="1" ref="C36" ca="1">_xludf.XLOOKUP(A36,'Batch || Working'!$C$2:$C$438,'Batch || Working'!$E$2:$E$438)</f>
        <v>#NAME?</v>
      </c>
    </row>
    <row r="37" spans="1:25" ht="14.25" customHeight="1">
      <c r="A37" s="22" t="s">
        <v>720</v>
      </c>
      <c r="B37" s="22" t="s">
        <v>721</v>
      </c>
      <c r="C37" s="22" t="e">
        <f t="array" aca="1" ref="C37" ca="1">_xludf.XLOOKUP(A37,'Batch || Working'!$C$2:$C$438,'Batch || Working'!$E$2:$E$438)</f>
        <v>#NAME?</v>
      </c>
    </row>
    <row r="38" spans="1:25" ht="14.25" customHeight="1">
      <c r="A38" s="22" t="s">
        <v>805</v>
      </c>
      <c r="B38" s="22" t="s">
        <v>1842</v>
      </c>
      <c r="C38" s="22" t="e">
        <f t="array" aca="1" ref="C38" ca="1">_xludf.XLOOKUP(A38,'Batch || Working'!$C$2:$C$438,'Batch || Working'!$E$2:$E$438)</f>
        <v>#NAME?</v>
      </c>
    </row>
    <row r="39" spans="1:25" ht="14.25" customHeight="1">
      <c r="A39" s="22" t="s">
        <v>281</v>
      </c>
      <c r="B39" s="22" t="s">
        <v>1210</v>
      </c>
      <c r="C39" s="22" t="e">
        <f t="array" aca="1" ref="C39" ca="1">_xludf.XLOOKUP(A39,'Batch || Working'!$C$2:$C$438,'Batch || Working'!$E$2:$E$438)</f>
        <v>#NAME?</v>
      </c>
    </row>
    <row r="40" spans="1:25" ht="14.25" customHeight="1">
      <c r="A40" s="22" t="s">
        <v>282</v>
      </c>
      <c r="B40" s="22" t="s">
        <v>1788</v>
      </c>
      <c r="C40" s="22" t="e">
        <f t="array" aca="1" ref="C40" ca="1">_xludf.XLOOKUP(A40,'Batch || Working'!$C$2:$C$438,'Batch || Working'!$E$2:$E$438)</f>
        <v>#NAME?</v>
      </c>
    </row>
    <row r="41" spans="1:25" ht="14.25" customHeight="1">
      <c r="A41" s="22" t="s">
        <v>515</v>
      </c>
      <c r="B41" s="22" t="s">
        <v>516</v>
      </c>
      <c r="C41" s="22" t="e">
        <f t="array" aca="1" ref="C41" ca="1">_xludf.XLOOKUP(A41,'Batch || Working'!$C$2:$C$438,'Batch || Working'!$E$2:$E$438)</f>
        <v>#NAME?</v>
      </c>
    </row>
    <row r="42" spans="1:25" ht="14.25" customHeight="1">
      <c r="A42" s="22" t="s">
        <v>728</v>
      </c>
      <c r="B42" s="22" t="s">
        <v>729</v>
      </c>
      <c r="C42" s="22" t="e">
        <f t="array" aca="1" ref="C42" ca="1">_xludf.XLOOKUP(A42,'Batch || Working'!$C$2:$C$438,'Batch || Working'!$E$2:$E$438)</f>
        <v>#NAME?</v>
      </c>
    </row>
    <row r="43" spans="1:25" ht="14.25" customHeight="1">
      <c r="A43" s="22" t="s">
        <v>1069</v>
      </c>
      <c r="B43" s="22" t="s">
        <v>1801</v>
      </c>
      <c r="C43" s="22" t="e">
        <f t="array" aca="1" ref="C43" ca="1">_xludf.XLOOKUP(A43,'Batch || Working'!$C$2:$C$438,'Batch || Working'!$E$2:$E$438)</f>
        <v>#NAME?</v>
      </c>
    </row>
    <row r="44" spans="1:25" ht="14.25" customHeight="1">
      <c r="A44" s="22" t="s">
        <v>309</v>
      </c>
      <c r="B44" s="22" t="s">
        <v>1851</v>
      </c>
      <c r="C44" s="22" t="e">
        <f t="array" aca="1" ref="C44" ca="1">_xludf.XLOOKUP(A44,'Batch || Working'!$C$2:$C$438,'Batch || Working'!$E$2:$E$438)</f>
        <v>#NAME?</v>
      </c>
    </row>
    <row r="45" spans="1:25" ht="14.25" customHeight="1">
      <c r="A45" s="22" t="s">
        <v>731</v>
      </c>
      <c r="B45" s="22" t="s">
        <v>732</v>
      </c>
      <c r="C45" s="22" t="e">
        <f t="array" aca="1" ref="C45" ca="1">_xludf.XLOOKUP(A45,'Batch || Working'!$C$2:$C$438,'Batch || Working'!$E$2:$E$438)</f>
        <v>#NAME?</v>
      </c>
    </row>
    <row r="46" spans="1:25" ht="14.25" customHeight="1">
      <c r="A46" s="22" t="s">
        <v>312</v>
      </c>
      <c r="B46" s="22" t="s">
        <v>1203</v>
      </c>
      <c r="C46" s="22" t="e">
        <f t="array" aca="1" ref="C46" ca="1">_xludf.XLOOKUP(A46,'Batch || Working'!$C$2:$C$438,'Batch || Working'!$E$2:$E$438)</f>
        <v>#NAME?</v>
      </c>
    </row>
    <row r="47" spans="1:25" ht="14.25" customHeight="1">
      <c r="A47" s="22" t="s">
        <v>314</v>
      </c>
      <c r="B47" s="22" t="s">
        <v>1806</v>
      </c>
      <c r="C47" s="22" t="e">
        <f t="array" aca="1" ref="C47" ca="1">_xludf.XLOOKUP(A47,'Batch || Working'!$C$2:$C$438,'Batch || Working'!$E$2:$E$438)</f>
        <v>#NAME?</v>
      </c>
    </row>
    <row r="48" spans="1:25" ht="14.25" customHeight="1"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4:25" ht="14.25" customHeight="1"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4:25" ht="14.25" customHeight="1"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4:25" ht="14.25" customHeight="1"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5" spans="4:25" ht="14.25" customHeight="1"/>
    <row r="56" spans="4:25" ht="14.25" customHeight="1"/>
    <row r="57" spans="4:25" ht="14.25" customHeight="1"/>
    <row r="58" spans="4:25" ht="14.25" customHeight="1"/>
    <row r="59" spans="4:25" ht="14.25" customHeight="1"/>
    <row r="60" spans="4:25" ht="14.25" customHeight="1"/>
    <row r="61" spans="4:25" ht="14.25" customHeight="1"/>
    <row r="62" spans="4:25" ht="14.25" customHeight="1"/>
    <row r="63" spans="4:25" ht="14.25" customHeight="1"/>
    <row r="64" spans="4:2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6.69921875" customWidth="1"/>
    <col min="3" max="3" width="37.5976562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1337</v>
      </c>
      <c r="B2" s="22" t="s">
        <v>1813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1398</v>
      </c>
      <c r="B3" s="22" t="s">
        <v>1399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1411</v>
      </c>
      <c r="B4" s="22" t="s">
        <v>1412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1423</v>
      </c>
      <c r="B5" s="22" t="s">
        <v>1424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1434</v>
      </c>
      <c r="B6" s="22" t="s">
        <v>1435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193</v>
      </c>
      <c r="B7" s="22" t="s">
        <v>1448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1456</v>
      </c>
      <c r="B8" s="22" t="s">
        <v>1457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1462</v>
      </c>
      <c r="B9" s="22" t="s">
        <v>1463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196</v>
      </c>
      <c r="B10" s="22" t="s">
        <v>1487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198</v>
      </c>
      <c r="B11" s="22" t="s">
        <v>1854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199</v>
      </c>
      <c r="B12" s="22" t="s">
        <v>1505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1517</v>
      </c>
      <c r="B13" s="22" t="s">
        <v>1518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1522</v>
      </c>
      <c r="B14" s="22" t="s">
        <v>1523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1525</v>
      </c>
      <c r="B15" s="22" t="s">
        <v>1526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204</v>
      </c>
      <c r="B16" s="22" t="s">
        <v>1540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1241</v>
      </c>
      <c r="B17" s="22" t="s">
        <v>1828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214</v>
      </c>
      <c r="B18" s="22" t="s">
        <v>1752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1252</v>
      </c>
      <c r="B19" s="22" t="s">
        <v>1855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705</v>
      </c>
      <c r="B20" s="22" t="s">
        <v>1829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670</v>
      </c>
      <c r="B21" s="22" t="s">
        <v>1753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520</v>
      </c>
      <c r="B22" s="22" t="s">
        <v>1754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888</v>
      </c>
      <c r="B23" s="22" t="s">
        <v>1830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223</v>
      </c>
      <c r="B24" s="22" t="s">
        <v>1831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1058</v>
      </c>
      <c r="B25" s="22" t="s">
        <v>1757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224</v>
      </c>
      <c r="B26" s="22" t="s">
        <v>1714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226</v>
      </c>
      <c r="B27" s="22" t="s">
        <v>1856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384</v>
      </c>
      <c r="B28" s="22" t="s">
        <v>1857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232</v>
      </c>
      <c r="B29" s="22" t="s">
        <v>1716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424</v>
      </c>
      <c r="B30" s="22" t="s">
        <v>1761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242</v>
      </c>
      <c r="B31" s="22" t="s">
        <v>1858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490</v>
      </c>
      <c r="B32" s="22" t="s">
        <v>1764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253</v>
      </c>
      <c r="B33" s="22" t="s">
        <v>1627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575</v>
      </c>
      <c r="B34" s="22" t="s">
        <v>1770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256</v>
      </c>
      <c r="B35" s="22" t="s">
        <v>1630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645</v>
      </c>
      <c r="B36" s="22" t="s">
        <v>1859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656</v>
      </c>
      <c r="B37" s="22" t="s">
        <v>1840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662</v>
      </c>
      <c r="B38" s="22" t="s">
        <v>1774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752</v>
      </c>
      <c r="B39" s="22" t="s">
        <v>1777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755</v>
      </c>
      <c r="B40" s="22" t="s">
        <v>1643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771</v>
      </c>
      <c r="B41" s="22" t="s">
        <v>1860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776</v>
      </c>
      <c r="B42" s="22" t="s">
        <v>1781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787</v>
      </c>
      <c r="B43" s="22" t="s">
        <v>1782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790</v>
      </c>
      <c r="B44" s="22" t="s">
        <v>1783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802</v>
      </c>
      <c r="B45" s="22" t="s">
        <v>1651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816</v>
      </c>
      <c r="B46" s="22" t="s">
        <v>1861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280</v>
      </c>
      <c r="B47" s="22" t="s">
        <v>1653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842</v>
      </c>
      <c r="B48" s="22" t="s">
        <v>1732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923</v>
      </c>
      <c r="B49" s="22" t="s">
        <v>1844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933</v>
      </c>
      <c r="B50" s="22" t="s">
        <v>1661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965</v>
      </c>
      <c r="B51" s="22" t="s">
        <v>1666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968</v>
      </c>
      <c r="B52" s="22" t="s">
        <v>1862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299</v>
      </c>
      <c r="B53" s="22" t="s">
        <v>1863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1087</v>
      </c>
      <c r="B54" s="22" t="s">
        <v>1676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1125</v>
      </c>
      <c r="B55" s="22" t="s">
        <v>1681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1135</v>
      </c>
      <c r="B56" s="22" t="s">
        <v>1683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312</v>
      </c>
      <c r="B57" s="22" t="s">
        <v>1203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1156</v>
      </c>
      <c r="B58" s="22" t="s">
        <v>1852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314</v>
      </c>
      <c r="B59" s="22" t="s">
        <v>1806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1164</v>
      </c>
      <c r="B60" s="22" t="s">
        <v>1807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1175</v>
      </c>
      <c r="B61" s="22" t="s">
        <v>1864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316</v>
      </c>
      <c r="B62" s="22" t="s">
        <v>1865</v>
      </c>
      <c r="C62" s="22" t="e">
        <f t="array" aca="1" ref="C62" ca="1">_xludf.XLOOKUP(A62,'Batch || Working'!$C$2:$C$438,'Batch || Working'!$E$2:$E$438)</f>
        <v>#NAME?</v>
      </c>
    </row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8" customWidth="1"/>
    <col min="3" max="3" width="39.0976562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189</v>
      </c>
      <c r="B2" s="22" t="s">
        <v>1401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190</v>
      </c>
      <c r="B3" s="22" t="s">
        <v>1403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1551</v>
      </c>
      <c r="B4" s="22" t="s">
        <v>1744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1405</v>
      </c>
      <c r="B5" s="22" t="s">
        <v>1406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1411</v>
      </c>
      <c r="B6" s="22" t="s">
        <v>1412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1414</v>
      </c>
      <c r="B7" s="22" t="s">
        <v>1415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1420</v>
      </c>
      <c r="B8" s="22" t="s">
        <v>1421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191</v>
      </c>
      <c r="B9" s="22" t="s">
        <v>1866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1431</v>
      </c>
      <c r="B10" s="22" t="s">
        <v>1432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1437</v>
      </c>
      <c r="B11" s="22" t="s">
        <v>1817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192</v>
      </c>
      <c r="B12" s="22" t="s">
        <v>1440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1453</v>
      </c>
      <c r="B13" s="22" t="s">
        <v>1818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1459</v>
      </c>
      <c r="B14" s="22" t="s">
        <v>1819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1465</v>
      </c>
      <c r="B15" s="22" t="s">
        <v>1466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1468</v>
      </c>
      <c r="B16" s="22" t="s">
        <v>1469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194</v>
      </c>
      <c r="B17" s="22" t="s">
        <v>1471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1476</v>
      </c>
      <c r="B18" s="22" t="s">
        <v>1477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195</v>
      </c>
      <c r="B19" s="22" t="s">
        <v>1479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1484</v>
      </c>
      <c r="B20" s="22" t="s">
        <v>1485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1492</v>
      </c>
      <c r="B21" s="22" t="s">
        <v>1820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197</v>
      </c>
      <c r="B22" s="22" t="s">
        <v>1495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1499</v>
      </c>
      <c r="B23" s="22" t="s">
        <v>1500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1502</v>
      </c>
      <c r="B24" s="22" t="s">
        <v>1503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1507</v>
      </c>
      <c r="B25" s="22" t="s">
        <v>1508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200</v>
      </c>
      <c r="B26" s="22" t="s">
        <v>1821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1512</v>
      </c>
      <c r="B27" s="22" t="s">
        <v>1513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201</v>
      </c>
      <c r="B28" s="22" t="s">
        <v>1822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202</v>
      </c>
      <c r="B29" s="22" t="s">
        <v>1746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203</v>
      </c>
      <c r="B30" s="22" t="s">
        <v>1520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1525</v>
      </c>
      <c r="B31" s="22" t="s">
        <v>1526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1528</v>
      </c>
      <c r="B32" s="22" t="s">
        <v>1529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1531</v>
      </c>
      <c r="B33" s="22" t="s">
        <v>1823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1534</v>
      </c>
      <c r="B34" s="22" t="s">
        <v>1535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1537</v>
      </c>
      <c r="B35" s="22" t="s">
        <v>1824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205</v>
      </c>
      <c r="B36" s="22" t="s">
        <v>1542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1548</v>
      </c>
      <c r="B37" s="22" t="s">
        <v>1549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1560</v>
      </c>
      <c r="B38" s="22" t="s">
        <v>1825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1563</v>
      </c>
      <c r="B39" s="22" t="s">
        <v>1748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1223</v>
      </c>
      <c r="B40" s="22" t="s">
        <v>1867</v>
      </c>
      <c r="C40" s="144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208</v>
      </c>
      <c r="B41" s="22" t="s">
        <v>1868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901</v>
      </c>
      <c r="B42" s="22" t="s">
        <v>1869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1025</v>
      </c>
      <c r="B43" s="22" t="s">
        <v>1870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670</v>
      </c>
      <c r="B44" s="22" t="s">
        <v>1753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520</v>
      </c>
      <c r="B45" s="22" t="s">
        <v>1754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219</v>
      </c>
      <c r="B46" s="22" t="s">
        <v>1871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531</v>
      </c>
      <c r="B47" s="22" t="s">
        <v>1607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225</v>
      </c>
      <c r="B48" s="22" t="s">
        <v>1758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233</v>
      </c>
      <c r="B49" s="22" t="s">
        <v>1760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242</v>
      </c>
      <c r="B50" s="22" t="s">
        <v>1858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472</v>
      </c>
      <c r="B51" s="22" t="s">
        <v>1835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248</v>
      </c>
      <c r="B52" s="22" t="s">
        <v>1872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493</v>
      </c>
      <c r="B53" s="22" t="s">
        <v>1836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589</v>
      </c>
      <c r="B54" s="22" t="s">
        <v>1725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257</v>
      </c>
      <c r="B55" s="22" t="s">
        <v>1837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603</v>
      </c>
      <c r="B56" s="22" t="s">
        <v>1873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613</v>
      </c>
      <c r="B57" s="22" t="s">
        <v>1635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260</v>
      </c>
      <c r="B58" s="22" t="s">
        <v>1874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656</v>
      </c>
      <c r="B59" s="22" t="s">
        <v>1840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735</v>
      </c>
      <c r="B60" s="22" t="s">
        <v>1875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267</v>
      </c>
      <c r="B61" s="22" t="s">
        <v>1642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763</v>
      </c>
      <c r="B62" s="22" t="s">
        <v>1778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273</v>
      </c>
      <c r="B63" s="22" t="s">
        <v>1841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905</v>
      </c>
      <c r="B64" s="22" t="s">
        <v>1791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918</v>
      </c>
      <c r="B65" s="22" t="s">
        <v>1793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289</v>
      </c>
      <c r="B66" s="22" t="s">
        <v>1876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973</v>
      </c>
      <c r="B67" s="22" t="s">
        <v>1877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989</v>
      </c>
      <c r="B68" s="22" t="s">
        <v>1796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1002</v>
      </c>
      <c r="B69" s="22" t="s">
        <v>1798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302</v>
      </c>
      <c r="B70" s="22" t="s">
        <v>1799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1145</v>
      </c>
      <c r="B71" s="22" t="s">
        <v>1738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1205</v>
      </c>
      <c r="B72" s="22" t="s">
        <v>1206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1153</v>
      </c>
      <c r="B73" s="22" t="s">
        <v>1878</v>
      </c>
      <c r="C73" s="22" t="e">
        <f t="array" aca="1" ref="C73" ca="1">_xludf.XLOOKUP(A73,'Batch || Working'!$C$2:$C$438,'Batch || Working'!$E$2:$E$438)</f>
        <v>#NAME?</v>
      </c>
    </row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99"/>
  <sheetViews>
    <sheetView workbookViewId="0"/>
  </sheetViews>
  <sheetFormatPr defaultColWidth="14.3984375" defaultRowHeight="15.75" customHeight="1"/>
  <cols>
    <col min="1" max="1" width="10.296875" customWidth="1"/>
    <col min="2" max="2" width="28.3984375" customWidth="1"/>
    <col min="3" max="3" width="39.09765625" customWidth="1"/>
    <col min="4" max="26" width="8.69921875" customWidth="1"/>
  </cols>
  <sheetData>
    <row r="1" spans="1:6" ht="14.25" customHeight="1">
      <c r="A1" s="104" t="s">
        <v>176</v>
      </c>
      <c r="B1" s="104" t="s">
        <v>177</v>
      </c>
      <c r="C1" s="104" t="s">
        <v>364</v>
      </c>
    </row>
    <row r="2" spans="1:6" ht="14.25" customHeight="1">
      <c r="A2" s="22" t="s">
        <v>1267</v>
      </c>
      <c r="B2" s="22" t="s">
        <v>1809</v>
      </c>
      <c r="C2" s="22" t="e">
        <f t="array" aca="1" ref="C2" ca="1">_xludf.XLOOKUP(A2,'Batch || Working'!$C$2:$C$438,'Batch || Working'!$E$2:$E$438)</f>
        <v>#NAME?</v>
      </c>
    </row>
    <row r="3" spans="1:6" ht="14.25" customHeight="1">
      <c r="A3" s="22" t="s">
        <v>1286</v>
      </c>
      <c r="B3" s="22" t="s">
        <v>1812</v>
      </c>
      <c r="C3" s="22" t="e">
        <f t="array" aca="1" ref="C3" ca="1">_xludf.XLOOKUP(A3,'Batch || Working'!$C$2:$C$438,'Batch || Working'!$E$2:$E$438)</f>
        <v>#NAME?</v>
      </c>
      <c r="F3" s="103"/>
    </row>
    <row r="4" spans="1:6" ht="14.25" customHeight="1">
      <c r="A4" s="22" t="s">
        <v>1315</v>
      </c>
      <c r="B4" s="22" t="s">
        <v>1578</v>
      </c>
      <c r="C4" s="22" t="e">
        <f t="array" aca="1" ref="C4" ca="1">_xludf.XLOOKUP(A4,'Batch || Working'!$C$2:$C$438,'Batch || Working'!$E$2:$E$438)</f>
        <v>#NAME?</v>
      </c>
      <c r="F4" s="103"/>
    </row>
    <row r="5" spans="1:6" ht="14.25" customHeight="1">
      <c r="A5" s="22" t="s">
        <v>184</v>
      </c>
      <c r="B5" s="22" t="s">
        <v>1816</v>
      </c>
      <c r="C5" s="22" t="e">
        <f t="array" aca="1" ref="C5" ca="1">_xludf.XLOOKUP(A5,'Batch || Working'!$C$2:$C$438,'Batch || Working'!$E$2:$E$438)</f>
        <v>#NAME?</v>
      </c>
      <c r="F5" s="103"/>
    </row>
    <row r="6" spans="1:6" ht="14.25" customHeight="1">
      <c r="A6" s="22" t="s">
        <v>1376</v>
      </c>
      <c r="B6" s="22" t="s">
        <v>1879</v>
      </c>
      <c r="C6" s="22" t="e">
        <f t="array" aca="1" ref="C6" ca="1">_xludf.XLOOKUP(A6,'Batch || Working'!$C$2:$C$438,'Batch || Working'!$E$2:$E$438)</f>
        <v>#NAME?</v>
      </c>
      <c r="F6" s="103"/>
    </row>
    <row r="7" spans="1:6" ht="14.25" customHeight="1">
      <c r="A7" s="22" t="s">
        <v>1411</v>
      </c>
      <c r="B7" s="22" t="s">
        <v>1412</v>
      </c>
      <c r="C7" s="22" t="e">
        <f t="array" aca="1" ref="C7" ca="1">_xludf.XLOOKUP(A7,'Batch || Working'!$C$2:$C$438,'Batch || Working'!$E$2:$E$438)</f>
        <v>#NAME?</v>
      </c>
    </row>
    <row r="8" spans="1:6" ht="14.25" customHeight="1">
      <c r="A8" s="22" t="s">
        <v>1437</v>
      </c>
      <c r="B8" s="22" t="s">
        <v>1817</v>
      </c>
      <c r="C8" s="22" t="e">
        <f t="array" aca="1" ref="C8" ca="1">_xludf.XLOOKUP(A8,'Batch || Working'!$C$2:$C$438,'Batch || Working'!$E$2:$E$438)</f>
        <v>#NAME?</v>
      </c>
    </row>
    <row r="9" spans="1:6" ht="14.25" customHeight="1">
      <c r="A9" s="22" t="s">
        <v>1214</v>
      </c>
      <c r="B9" s="22" t="s">
        <v>1826</v>
      </c>
      <c r="C9" s="22" t="e">
        <f t="array" aca="1" ref="C9" ca="1">_xludf.XLOOKUP(A9,'Batch || Working'!$C$2:$C$438,'Batch || Working'!$E$2:$E$438)</f>
        <v>#NAME?</v>
      </c>
    </row>
    <row r="10" spans="1:6" ht="14.25" customHeight="1">
      <c r="A10" s="22" t="s">
        <v>525</v>
      </c>
      <c r="B10" s="22" t="s">
        <v>1880</v>
      </c>
      <c r="C10" s="22" t="e">
        <f t="array" aca="1" ref="C10" ca="1">_xludf.XLOOKUP(A10,'Batch || Working'!$C$2:$C$438,'Batch || Working'!$E$2:$E$438)</f>
        <v>#NAME?</v>
      </c>
    </row>
    <row r="11" spans="1:6" ht="14.25" customHeight="1">
      <c r="A11" s="22" t="s">
        <v>534</v>
      </c>
      <c r="B11" s="22" t="s">
        <v>1698</v>
      </c>
      <c r="C11" s="22" t="e">
        <f t="array" aca="1" ref="C11" ca="1">_xludf.XLOOKUP(A11,'Batch || Working'!$C$2:$C$438,'Batch || Working'!$E$2:$E$438)</f>
        <v>#NAME?</v>
      </c>
    </row>
    <row r="12" spans="1:6" ht="14.25" customHeight="1">
      <c r="A12" s="22" t="s">
        <v>208</v>
      </c>
      <c r="B12" s="22" t="s">
        <v>1868</v>
      </c>
      <c r="C12" s="22" t="e">
        <f t="array" aca="1" ref="C12" ca="1">_xludf.XLOOKUP(A12,'Batch || Working'!$C$2:$C$438,'Batch || Working'!$E$2:$E$438)</f>
        <v>#NAME?</v>
      </c>
    </row>
    <row r="13" spans="1:6" ht="14.25" customHeight="1">
      <c r="A13" s="22" t="s">
        <v>209</v>
      </c>
      <c r="B13" s="22" t="s">
        <v>1598</v>
      </c>
      <c r="C13" s="22" t="e">
        <f t="array" aca="1" ref="C13" ca="1">_xludf.XLOOKUP(A13,'Batch || Working'!$C$2:$C$438,'Batch || Working'!$E$2:$E$438)</f>
        <v>#NAME?</v>
      </c>
    </row>
    <row r="14" spans="1:6" ht="14.25" customHeight="1">
      <c r="A14" s="22" t="s">
        <v>215</v>
      </c>
      <c r="B14" s="22" t="s">
        <v>1881</v>
      </c>
      <c r="C14" s="22" t="e">
        <f t="array" aca="1" ref="C14" ca="1">_xludf.XLOOKUP(A14,'Batch || Working'!$C$2:$C$438,'Batch || Working'!$E$2:$E$438)</f>
        <v>#NAME?</v>
      </c>
    </row>
    <row r="15" spans="1:6" ht="14.25" customHeight="1">
      <c r="A15" s="22" t="s">
        <v>1052</v>
      </c>
      <c r="B15" s="22" t="s">
        <v>1602</v>
      </c>
      <c r="C15" s="22" t="e">
        <f t="array" aca="1" ref="C15" ca="1">_xludf.XLOOKUP(A15,'Batch || Working'!$C$2:$C$438,'Batch || Working'!$E$2:$E$438)</f>
        <v>#NAME?</v>
      </c>
    </row>
    <row r="16" spans="1:6" ht="14.25" customHeight="1">
      <c r="A16" s="22" t="s">
        <v>705</v>
      </c>
      <c r="B16" s="22" t="s">
        <v>1829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1025</v>
      </c>
      <c r="B17" s="22" t="s">
        <v>1870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220</v>
      </c>
      <c r="B18" s="22" t="s">
        <v>1882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1249</v>
      </c>
      <c r="B19" s="22" t="s">
        <v>1612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226</v>
      </c>
      <c r="B20" s="22" t="s">
        <v>1856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228</v>
      </c>
      <c r="B21" s="22" t="s">
        <v>1883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229</v>
      </c>
      <c r="B22" s="22" t="s">
        <v>1614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384</v>
      </c>
      <c r="B23" s="22" t="s">
        <v>1857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231</v>
      </c>
      <c r="B24" s="22" t="s">
        <v>553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233</v>
      </c>
      <c r="B25" s="22" t="s">
        <v>1760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398</v>
      </c>
      <c r="B26" s="22" t="s">
        <v>1884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405</v>
      </c>
      <c r="B27" s="22" t="s">
        <v>1717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235</v>
      </c>
      <c r="B28" s="22" t="s">
        <v>1885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437</v>
      </c>
      <c r="B29" s="22" t="s">
        <v>1719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444</v>
      </c>
      <c r="B30" s="22" t="s">
        <v>1834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447</v>
      </c>
      <c r="B31" s="22" t="s">
        <v>1886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243</v>
      </c>
      <c r="B32" s="22" t="s">
        <v>1887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247</v>
      </c>
      <c r="B33" s="22" t="s">
        <v>1888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251</v>
      </c>
      <c r="B34" s="22" t="s">
        <v>1889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558</v>
      </c>
      <c r="B35" s="22" t="s">
        <v>1626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565</v>
      </c>
      <c r="B36" s="22" t="s">
        <v>1768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254</v>
      </c>
      <c r="B37" s="22" t="s">
        <v>1769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570</v>
      </c>
      <c r="B38" s="22" t="s">
        <v>1628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575</v>
      </c>
      <c r="B39" s="22" t="s">
        <v>1770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256</v>
      </c>
      <c r="B40" s="22" t="s">
        <v>1630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586</v>
      </c>
      <c r="B41" s="22" t="s">
        <v>1890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592</v>
      </c>
      <c r="B42" s="22" t="s">
        <v>1631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606</v>
      </c>
      <c r="B43" s="22" t="s">
        <v>1633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616</v>
      </c>
      <c r="B44" s="22" t="s">
        <v>1891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263</v>
      </c>
      <c r="B45" s="22" t="s">
        <v>1773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645</v>
      </c>
      <c r="B46" s="22" t="s">
        <v>1859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264</v>
      </c>
      <c r="B47" s="22" t="s">
        <v>1839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268</v>
      </c>
      <c r="B48" s="22" t="s">
        <v>1645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271</v>
      </c>
      <c r="B49" s="22" t="s">
        <v>1647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273</v>
      </c>
      <c r="B50" s="22" t="s">
        <v>1841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790</v>
      </c>
      <c r="B51" s="22" t="s">
        <v>1783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278</v>
      </c>
      <c r="B52" s="22" t="s">
        <v>1652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828</v>
      </c>
      <c r="B53" s="22" t="s">
        <v>1654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839</v>
      </c>
      <c r="B54" s="22" t="s">
        <v>1656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845</v>
      </c>
      <c r="B55" s="22" t="s">
        <v>1657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284</v>
      </c>
      <c r="B56" s="22" t="s">
        <v>1892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918</v>
      </c>
      <c r="B57" s="22" t="s">
        <v>1793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294</v>
      </c>
      <c r="B58" s="22" t="s">
        <v>1665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295</v>
      </c>
      <c r="B59" s="22" t="s">
        <v>1893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300</v>
      </c>
      <c r="B60" s="22" t="s">
        <v>1669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997</v>
      </c>
      <c r="B61" s="22" t="s">
        <v>1894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1005</v>
      </c>
      <c r="B62" s="22" t="s">
        <v>1846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1013</v>
      </c>
      <c r="B63" s="22" t="s">
        <v>1848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1066</v>
      </c>
      <c r="B64" s="22" t="s">
        <v>1671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1069</v>
      </c>
      <c r="B65" s="22" t="s">
        <v>1801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1135</v>
      </c>
      <c r="B66" s="22" t="s">
        <v>1683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1148</v>
      </c>
      <c r="B67" s="22" t="s">
        <v>1895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1153</v>
      </c>
      <c r="B68" s="22" t="s">
        <v>1878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314</v>
      </c>
      <c r="B69" s="22" t="s">
        <v>1806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1200</v>
      </c>
      <c r="B70" s="22" t="s">
        <v>1691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667</v>
      </c>
      <c r="B71" s="22" t="s">
        <v>1808</v>
      </c>
      <c r="C71" s="22" t="e">
        <f t="array" aca="1" ref="C71" ca="1">_xludf.XLOOKUP(A71,'Batch || Working'!$C$2:$C$438,'Batch || Working'!$E$2:$E$438)</f>
        <v>#NAME?</v>
      </c>
    </row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5.59765625" customWidth="1"/>
    <col min="3" max="3" width="37.398437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185</v>
      </c>
      <c r="B2" s="22" t="s">
        <v>1896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189</v>
      </c>
      <c r="B3" s="22" t="s">
        <v>1401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1405</v>
      </c>
      <c r="B4" s="22" t="s">
        <v>1406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1414</v>
      </c>
      <c r="B5" s="22" t="s">
        <v>1415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1420</v>
      </c>
      <c r="B6" s="22" t="s">
        <v>1421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191</v>
      </c>
      <c r="B7" s="22" t="s">
        <v>1866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1428</v>
      </c>
      <c r="B8" s="22" t="s">
        <v>1429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1442</v>
      </c>
      <c r="B9" s="22" t="s">
        <v>1443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1445</v>
      </c>
      <c r="B10" s="22" t="s">
        <v>1446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193</v>
      </c>
      <c r="B11" s="22" t="s">
        <v>1448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1450</v>
      </c>
      <c r="B12" s="22" t="s">
        <v>1451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1453</v>
      </c>
      <c r="B13" s="22" t="s">
        <v>1818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1459</v>
      </c>
      <c r="B14" s="22" t="s">
        <v>1819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1468</v>
      </c>
      <c r="B15" s="22" t="s">
        <v>1469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1481</v>
      </c>
      <c r="B16" s="22" t="s">
        <v>1482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1484</v>
      </c>
      <c r="B17" s="22" t="s">
        <v>1485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1492</v>
      </c>
      <c r="B18" s="22" t="s">
        <v>1820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198</v>
      </c>
      <c r="B19" s="22" t="s">
        <v>1854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1499</v>
      </c>
      <c r="B20" s="22" t="s">
        <v>1500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1502</v>
      </c>
      <c r="B21" s="22" t="s">
        <v>1503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1507</v>
      </c>
      <c r="B22" s="22" t="s">
        <v>1508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1512</v>
      </c>
      <c r="B23" s="22" t="s">
        <v>1513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201</v>
      </c>
      <c r="B24" s="22" t="s">
        <v>1822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1528</v>
      </c>
      <c r="B25" s="22" t="s">
        <v>1529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1531</v>
      </c>
      <c r="B26" s="22" t="s">
        <v>1823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1534</v>
      </c>
      <c r="B27" s="22" t="s">
        <v>1535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1537</v>
      </c>
      <c r="B28" s="22" t="s">
        <v>1824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204</v>
      </c>
      <c r="B29" s="22" t="s">
        <v>1540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673</v>
      </c>
      <c r="B30" s="22" t="s">
        <v>1697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1226</v>
      </c>
      <c r="B31" s="22" t="s">
        <v>1897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525</v>
      </c>
      <c r="B32" s="22" t="s">
        <v>1880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1028</v>
      </c>
      <c r="B33" s="22" t="s">
        <v>1597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210</v>
      </c>
      <c r="B34" s="22" t="s">
        <v>1599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1246</v>
      </c>
      <c r="B35" s="22" t="s">
        <v>1898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873</v>
      </c>
      <c r="B36" s="22" t="s">
        <v>1899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679</v>
      </c>
      <c r="B37" s="22" t="s">
        <v>1606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221</v>
      </c>
      <c r="B38" s="22" t="s">
        <v>1900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888</v>
      </c>
      <c r="B39" s="22" t="s">
        <v>1830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224</v>
      </c>
      <c r="B40" s="22" t="s">
        <v>1714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230</v>
      </c>
      <c r="B41" s="22" t="s">
        <v>1832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235</v>
      </c>
      <c r="B42" s="22" t="s">
        <v>1885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249</v>
      </c>
      <c r="B43" s="22" t="s">
        <v>1901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260</v>
      </c>
      <c r="B44" s="22" t="s">
        <v>1874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628</v>
      </c>
      <c r="B45" s="22" t="s">
        <v>1902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648</v>
      </c>
      <c r="B46" s="22" t="s">
        <v>1728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747</v>
      </c>
      <c r="B47" s="22" t="s">
        <v>1776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763</v>
      </c>
      <c r="B48" s="22" t="s">
        <v>1778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272</v>
      </c>
      <c r="B49" s="22" t="s">
        <v>1647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793</v>
      </c>
      <c r="B50" s="22" t="s">
        <v>1903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274</v>
      </c>
      <c r="B51" s="22" t="s">
        <v>1649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276</v>
      </c>
      <c r="B52" s="22" t="s">
        <v>1650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808</v>
      </c>
      <c r="B53" s="22" t="s">
        <v>1730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277</v>
      </c>
      <c r="B54" s="22" t="s">
        <v>1785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831</v>
      </c>
      <c r="B55" s="22" t="s">
        <v>1731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842</v>
      </c>
      <c r="B56" s="22" t="s">
        <v>1732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851</v>
      </c>
      <c r="B57" s="22" t="s">
        <v>1789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283</v>
      </c>
      <c r="B58" s="22" t="s">
        <v>1904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856</v>
      </c>
      <c r="B59" s="22" t="s">
        <v>1905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911</v>
      </c>
      <c r="B60" s="22" t="s">
        <v>1906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984</v>
      </c>
      <c r="B61" s="22" t="s">
        <v>1907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1010</v>
      </c>
      <c r="B62" s="22" t="s">
        <v>1847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1019</v>
      </c>
      <c r="B63" s="22" t="s">
        <v>1800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1022</v>
      </c>
      <c r="B64" s="22" t="s">
        <v>1908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1072</v>
      </c>
      <c r="B65" s="22" t="s">
        <v>1802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1090</v>
      </c>
      <c r="B66" s="22" t="s">
        <v>1909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1120</v>
      </c>
      <c r="B67" s="22" t="s">
        <v>1910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1125</v>
      </c>
      <c r="B68" s="22" t="s">
        <v>1681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1128</v>
      </c>
      <c r="B69" s="22" t="s">
        <v>1682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310</v>
      </c>
      <c r="B70" s="22" t="s">
        <v>1685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313</v>
      </c>
      <c r="B71" s="22" t="s">
        <v>1686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862</v>
      </c>
      <c r="B72" s="22" t="s">
        <v>1692</v>
      </c>
      <c r="C72" s="22" t="e">
        <f t="array" aca="1" ref="C72" ca="1">_xludf.XLOOKUP(A72,'Batch || Working'!$C$2:$C$438,'Batch || Working'!$E$2:$E$438)</f>
        <v>#NAME?</v>
      </c>
    </row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31.3984375" customWidth="1"/>
    <col min="3" max="3" width="42.69921875" customWidth="1"/>
    <col min="4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1264</v>
      </c>
      <c r="B3" s="22" t="s">
        <v>1911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1277</v>
      </c>
      <c r="B4" s="22" t="s">
        <v>1811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1292</v>
      </c>
      <c r="B5" s="22" t="s">
        <v>1912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1295</v>
      </c>
      <c r="B6" s="22" t="s">
        <v>1573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1298</v>
      </c>
      <c r="B7" s="22" t="s">
        <v>1574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1301</v>
      </c>
      <c r="B8" s="22" t="s">
        <v>1575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1307</v>
      </c>
      <c r="B9" s="22" t="s">
        <v>1576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1312</v>
      </c>
      <c r="B10" s="22" t="s">
        <v>1577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1318</v>
      </c>
      <c r="B11" s="22" t="s">
        <v>1579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1323</v>
      </c>
      <c r="B12" s="22" t="s">
        <v>1581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1337</v>
      </c>
      <c r="B13" s="22" t="s">
        <v>1813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183</v>
      </c>
      <c r="B14" s="22" t="s">
        <v>1913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1345</v>
      </c>
      <c r="B15" s="22" t="s">
        <v>1814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1354</v>
      </c>
      <c r="B16" s="22" t="s">
        <v>1586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1363</v>
      </c>
      <c r="B17" s="22" t="s">
        <v>1589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1376</v>
      </c>
      <c r="B18" s="22" t="s">
        <v>1879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187</v>
      </c>
      <c r="B19" s="22" t="s">
        <v>1592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188</v>
      </c>
      <c r="B20" s="22" t="s">
        <v>1594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1388</v>
      </c>
      <c r="B21" s="22" t="s">
        <v>1914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1507</v>
      </c>
      <c r="B22" s="22" t="s">
        <v>1508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207</v>
      </c>
      <c r="B23" s="22" t="s">
        <v>1696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868</v>
      </c>
      <c r="B24" s="22" t="s">
        <v>1827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1226</v>
      </c>
      <c r="B25" s="22" t="s">
        <v>1897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1036</v>
      </c>
      <c r="B26" s="22" t="s">
        <v>1700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210</v>
      </c>
      <c r="B27" s="22" t="s">
        <v>1599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696</v>
      </c>
      <c r="B28" s="22" t="s">
        <v>1915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212</v>
      </c>
      <c r="B29" s="22" t="s">
        <v>1751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213</v>
      </c>
      <c r="B30" s="22" t="s">
        <v>1701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548</v>
      </c>
      <c r="B31" s="22" t="s">
        <v>1702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217</v>
      </c>
      <c r="B32" s="22" t="s">
        <v>1704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1252</v>
      </c>
      <c r="B33" s="22" t="s">
        <v>1855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218</v>
      </c>
      <c r="B34" s="22" t="s">
        <v>1603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711</v>
      </c>
      <c r="B35" s="22" t="s">
        <v>1604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865</v>
      </c>
      <c r="B36" s="22" t="s">
        <v>1605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219</v>
      </c>
      <c r="B37" s="22" t="s">
        <v>1871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876</v>
      </c>
      <c r="B38" s="22" t="s">
        <v>1706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882</v>
      </c>
      <c r="B39" s="22" t="s">
        <v>1608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220</v>
      </c>
      <c r="B40" s="22" t="s">
        <v>1882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221</v>
      </c>
      <c r="B41" s="22" t="s">
        <v>1900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888</v>
      </c>
      <c r="B42" s="22" t="s">
        <v>1830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222</v>
      </c>
      <c r="B43" s="22" t="s">
        <v>1712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699</v>
      </c>
      <c r="B44" s="22" t="s">
        <v>1610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1055</v>
      </c>
      <c r="B45" s="22" t="s">
        <v>1713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1249</v>
      </c>
      <c r="B46" s="22" t="s">
        <v>1612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226</v>
      </c>
      <c r="B47" s="22" t="s">
        <v>1856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229</v>
      </c>
      <c r="B48" s="22" t="s">
        <v>1614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380</v>
      </c>
      <c r="B49" s="22" t="s">
        <v>1916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398</v>
      </c>
      <c r="B50" s="22" t="s">
        <v>1884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234</v>
      </c>
      <c r="B51" s="22" t="s">
        <v>1616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409</v>
      </c>
      <c r="B52" s="22" t="s">
        <v>1617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235</v>
      </c>
      <c r="B53" s="22" t="s">
        <v>1885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420</v>
      </c>
      <c r="B54" s="22" t="s">
        <v>1619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236</v>
      </c>
      <c r="B55" s="22" t="s">
        <v>1718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237</v>
      </c>
      <c r="B56" s="22" t="s">
        <v>1833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240</v>
      </c>
      <c r="B57" s="22" t="s">
        <v>1720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241</v>
      </c>
      <c r="B58" s="22" t="s">
        <v>1620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454</v>
      </c>
      <c r="B59" s="22" t="s">
        <v>1917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242</v>
      </c>
      <c r="B60" s="22" t="s">
        <v>1858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464</v>
      </c>
      <c r="B61" s="22" t="s">
        <v>1762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246</v>
      </c>
      <c r="B62" s="22" t="s">
        <v>1208</v>
      </c>
      <c r="C62" s="144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485</v>
      </c>
      <c r="B63" s="22" t="s">
        <v>1722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248</v>
      </c>
      <c r="B64" s="22" t="s">
        <v>1872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506</v>
      </c>
      <c r="B65" s="22" t="s">
        <v>1624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509</v>
      </c>
      <c r="B66" s="22" t="s">
        <v>1625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512</v>
      </c>
      <c r="B67" s="22" t="s">
        <v>1918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252</v>
      </c>
      <c r="B68" s="22" t="s">
        <v>1767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255</v>
      </c>
      <c r="B69" s="22" t="s">
        <v>1629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586</v>
      </c>
      <c r="B70" s="22" t="s">
        <v>1890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595</v>
      </c>
      <c r="B71" s="22" t="s">
        <v>1919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603</v>
      </c>
      <c r="B72" s="22" t="s">
        <v>1873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258</v>
      </c>
      <c r="B73" s="22" t="s">
        <v>1634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616</v>
      </c>
      <c r="B74" s="22" t="s">
        <v>1891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261</v>
      </c>
      <c r="B75" s="22" t="s">
        <v>1920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623</v>
      </c>
      <c r="B76" s="22" t="s">
        <v>1636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628</v>
      </c>
      <c r="B77" s="22" t="s">
        <v>1902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631</v>
      </c>
      <c r="B78" s="22" t="s">
        <v>1637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653</v>
      </c>
      <c r="B79" s="22" t="s">
        <v>1638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266</v>
      </c>
      <c r="B80" s="22" t="s">
        <v>1640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741</v>
      </c>
      <c r="B81" s="22" t="s">
        <v>1775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744</v>
      </c>
      <c r="B82" s="22" t="s">
        <v>1641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755</v>
      </c>
      <c r="B83" s="22" t="s">
        <v>1643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758</v>
      </c>
      <c r="B84" s="22" t="s">
        <v>1644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268</v>
      </c>
      <c r="B85" s="22" t="s">
        <v>1645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768</v>
      </c>
      <c r="B86" s="22" t="s">
        <v>1780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720</v>
      </c>
      <c r="B87" s="22" t="s">
        <v>721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270</v>
      </c>
      <c r="B88" s="22" t="s">
        <v>1646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793</v>
      </c>
      <c r="B89" s="22" t="s">
        <v>1903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274</v>
      </c>
      <c r="B90" s="22" t="s">
        <v>1649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276</v>
      </c>
      <c r="B91" s="22" t="s">
        <v>1650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805</v>
      </c>
      <c r="B92" s="22" t="s">
        <v>1842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808</v>
      </c>
      <c r="B93" s="22" t="s">
        <v>1730</v>
      </c>
      <c r="C93" s="22" t="e">
        <f t="array" aca="1" ref="C93" ca="1">_xludf.XLOOKUP(A93,'Batch || Working'!$C$2:$C$438,'Batch || Working'!$E$2:$E$438)</f>
        <v>#NAME?</v>
      </c>
    </row>
    <row r="94" spans="1:3" ht="14.25" customHeight="1">
      <c r="A94" s="22" t="s">
        <v>277</v>
      </c>
      <c r="B94" s="22" t="s">
        <v>1785</v>
      </c>
      <c r="C94" s="22" t="e">
        <f t="array" aca="1" ref="C94" ca="1">_xludf.XLOOKUP(A94,'Batch || Working'!$C$2:$C$438,'Batch || Working'!$E$2:$E$438)</f>
        <v>#NAME?</v>
      </c>
    </row>
    <row r="95" spans="1:3" ht="14.25" customHeight="1">
      <c r="A95" s="22" t="s">
        <v>813</v>
      </c>
      <c r="B95" s="22" t="s">
        <v>1921</v>
      </c>
      <c r="C95" s="22" t="e">
        <f t="array" aca="1" ref="C95" ca="1">_xludf.XLOOKUP(A95,'Batch || Working'!$C$2:$C$438,'Batch || Working'!$E$2:$E$438)</f>
        <v>#NAME?</v>
      </c>
    </row>
    <row r="96" spans="1:3" ht="14.25" customHeight="1">
      <c r="A96" s="22" t="s">
        <v>819</v>
      </c>
      <c r="B96" s="22" t="s">
        <v>1786</v>
      </c>
      <c r="C96" s="22" t="e">
        <f t="array" aca="1" ref="C96" ca="1">_xludf.XLOOKUP(A96,'Batch || Working'!$C$2:$C$438,'Batch || Working'!$E$2:$E$438)</f>
        <v>#NAME?</v>
      </c>
    </row>
    <row r="97" spans="1:3" ht="14.25" customHeight="1">
      <c r="A97" s="22" t="s">
        <v>279</v>
      </c>
      <c r="B97" s="22" t="s">
        <v>1787</v>
      </c>
      <c r="C97" s="22" t="e">
        <f t="array" aca="1" ref="C97" ca="1">_xludf.XLOOKUP(A97,'Batch || Working'!$C$2:$C$438,'Batch || Working'!$E$2:$E$438)</f>
        <v>#NAME?</v>
      </c>
    </row>
    <row r="98" spans="1:3" ht="14.25" customHeight="1">
      <c r="A98" s="22" t="s">
        <v>839</v>
      </c>
      <c r="B98" s="22" t="s">
        <v>1656</v>
      </c>
      <c r="C98" s="22" t="e">
        <f t="array" aca="1" ref="C98" ca="1">_xludf.XLOOKUP(A98,'Batch || Working'!$C$2:$C$438,'Batch || Working'!$E$2:$E$438)</f>
        <v>#NAME?</v>
      </c>
    </row>
    <row r="99" spans="1:3" ht="14.25" customHeight="1">
      <c r="A99" s="22" t="s">
        <v>856</v>
      </c>
      <c r="B99" s="22" t="s">
        <v>1905</v>
      </c>
      <c r="C99" s="22" t="e">
        <f t="array" aca="1" ref="C99" ca="1">_xludf.XLOOKUP(A99,'Batch || Working'!$C$2:$C$438,'Batch || Working'!$E$2:$E$438)</f>
        <v>#NAME?</v>
      </c>
    </row>
    <row r="100" spans="1:3" ht="14.25" customHeight="1">
      <c r="A100" s="22" t="s">
        <v>859</v>
      </c>
      <c r="B100" s="22" t="s">
        <v>1790</v>
      </c>
      <c r="C100" s="22" t="e">
        <f t="array" aca="1" ref="C100" ca="1">_xludf.XLOOKUP(A100,'Batch || Working'!$C$2:$C$438,'Batch || Working'!$E$2:$E$438)</f>
        <v>#NAME?</v>
      </c>
    </row>
    <row r="101" spans="1:3" ht="14.25" customHeight="1">
      <c r="A101" s="22" t="s">
        <v>908</v>
      </c>
      <c r="B101" s="22" t="s">
        <v>1792</v>
      </c>
      <c r="C101" s="22" t="e">
        <f t="array" aca="1" ref="C101" ca="1">_xludf.XLOOKUP(A101,'Batch || Working'!$C$2:$C$438,'Batch || Working'!$E$2:$E$438)</f>
        <v>#NAME?</v>
      </c>
    </row>
    <row r="102" spans="1:3" ht="14.25" customHeight="1">
      <c r="A102" s="22" t="s">
        <v>284</v>
      </c>
      <c r="B102" s="22" t="s">
        <v>1892</v>
      </c>
      <c r="C102" s="22" t="e">
        <f t="array" aca="1" ref="C102" ca="1">_xludf.XLOOKUP(A102,'Batch || Working'!$C$2:$C$438,'Batch || Working'!$E$2:$E$438)</f>
        <v>#NAME?</v>
      </c>
    </row>
    <row r="103" spans="1:3" ht="14.25" customHeight="1">
      <c r="A103" s="22" t="s">
        <v>285</v>
      </c>
      <c r="B103" s="22" t="s">
        <v>1843</v>
      </c>
      <c r="C103" s="22" t="e">
        <f t="array" aca="1" ref="C103" ca="1">_xludf.XLOOKUP(A103,'Batch || Working'!$C$2:$C$438,'Batch || Working'!$E$2:$E$438)</f>
        <v>#NAME?</v>
      </c>
    </row>
    <row r="104" spans="1:3" ht="14.25" customHeight="1">
      <c r="A104" s="22" t="s">
        <v>723</v>
      </c>
      <c r="B104" s="22" t="s">
        <v>724</v>
      </c>
      <c r="C104" s="22" t="e">
        <f t="array" aca="1" ref="C104" ca="1">_xludf.XLOOKUP(A104,'Batch || Working'!$C$2:$C$438,'Batch || Working'!$E$2:$E$438)</f>
        <v>#NAME?</v>
      </c>
    </row>
    <row r="105" spans="1:3" ht="14.25" customHeight="1">
      <c r="A105" s="22" t="s">
        <v>286</v>
      </c>
      <c r="B105" s="22" t="s">
        <v>1794</v>
      </c>
      <c r="C105" s="22" t="e">
        <f t="array" aca="1" ref="C105" ca="1">_xludf.XLOOKUP(A105,'Batch || Working'!$C$2:$C$438,'Batch || Working'!$E$2:$E$438)</f>
        <v>#NAME?</v>
      </c>
    </row>
    <row r="106" spans="1:3" ht="14.25" customHeight="1">
      <c r="A106" s="22" t="s">
        <v>287</v>
      </c>
      <c r="B106" s="22" t="s">
        <v>1922</v>
      </c>
      <c r="C106" s="22" t="e">
        <f t="array" aca="1" ref="C106" ca="1">_xludf.XLOOKUP(A106,'Batch || Working'!$C$2:$C$438,'Batch || Working'!$E$2:$E$438)</f>
        <v>#NAME?</v>
      </c>
    </row>
    <row r="107" spans="1:3" ht="14.25" customHeight="1">
      <c r="A107" s="22" t="s">
        <v>943</v>
      </c>
      <c r="B107" s="22" t="s">
        <v>1795</v>
      </c>
      <c r="C107" s="22" t="e">
        <f t="array" aca="1" ref="C107" ca="1">_xludf.XLOOKUP(A107,'Batch || Working'!$C$2:$C$438,'Batch || Working'!$E$2:$E$438)</f>
        <v>#NAME?</v>
      </c>
    </row>
    <row r="108" spans="1:3" ht="14.25" customHeight="1">
      <c r="A108" s="22" t="s">
        <v>949</v>
      </c>
      <c r="B108" s="22" t="s">
        <v>1662</v>
      </c>
      <c r="C108" s="22" t="e">
        <f t="array" aca="1" ref="C108" ca="1">_xludf.XLOOKUP(A108,'Batch || Working'!$C$2:$C$438,'Batch || Working'!$E$2:$E$438)</f>
        <v>#NAME?</v>
      </c>
    </row>
    <row r="109" spans="1:3" ht="14.25" customHeight="1">
      <c r="A109" s="22" t="s">
        <v>293</v>
      </c>
      <c r="B109" s="22" t="s">
        <v>1845</v>
      </c>
      <c r="C109" s="22" t="e">
        <f t="array" aca="1" ref="C109" ca="1">_xludf.XLOOKUP(A109,'Batch || Working'!$C$2:$C$438,'Batch || Working'!$E$2:$E$438)</f>
        <v>#NAME?</v>
      </c>
    </row>
    <row r="110" spans="1:3" ht="14.25" customHeight="1">
      <c r="A110" s="22" t="s">
        <v>295</v>
      </c>
      <c r="B110" s="22" t="s">
        <v>1893</v>
      </c>
      <c r="C110" s="22" t="e">
        <f t="array" aca="1" ref="C110" ca="1">_xludf.XLOOKUP(A110,'Batch || Working'!$C$2:$C$438,'Batch || Working'!$E$2:$E$438)</f>
        <v>#NAME?</v>
      </c>
    </row>
    <row r="111" spans="1:3" ht="14.25" customHeight="1">
      <c r="A111" s="22" t="s">
        <v>968</v>
      </c>
      <c r="B111" s="22" t="s">
        <v>1862</v>
      </c>
      <c r="C111" s="22" t="e">
        <f t="array" aca="1" ref="C111" ca="1">_xludf.XLOOKUP(A111,'Batch || Working'!$C$2:$C$438,'Batch || Working'!$E$2:$E$438)</f>
        <v>#NAME?</v>
      </c>
    </row>
    <row r="112" spans="1:3" ht="14.25" customHeight="1">
      <c r="A112" s="22" t="s">
        <v>973</v>
      </c>
      <c r="B112" s="22" t="s">
        <v>1877</v>
      </c>
      <c r="C112" s="22" t="e">
        <f t="array" aca="1" ref="C112" ca="1">_xludf.XLOOKUP(A112,'Batch || Working'!$C$2:$C$438,'Batch || Working'!$E$2:$E$438)</f>
        <v>#NAME?</v>
      </c>
    </row>
    <row r="113" spans="1:3" ht="14.25" customHeight="1">
      <c r="A113" s="22" t="s">
        <v>298</v>
      </c>
      <c r="B113" s="22" t="s">
        <v>726</v>
      </c>
      <c r="C113" s="22" t="e">
        <f t="array" aca="1" ref="C113" ca="1">_xludf.XLOOKUP(A113,'Batch || Working'!$C$2:$C$438,'Batch || Working'!$E$2:$E$438)</f>
        <v>#NAME?</v>
      </c>
    </row>
    <row r="114" spans="1:3" ht="14.25" customHeight="1">
      <c r="A114" s="22" t="s">
        <v>984</v>
      </c>
      <c r="B114" s="22" t="s">
        <v>1907</v>
      </c>
      <c r="C114" s="22" t="e">
        <f t="array" aca="1" ref="C114" ca="1">_xludf.XLOOKUP(A114,'Batch || Working'!$C$2:$C$438,'Batch || Working'!$E$2:$E$438)</f>
        <v>#NAME?</v>
      </c>
    </row>
    <row r="115" spans="1:3" ht="14.25" customHeight="1">
      <c r="A115" s="22" t="s">
        <v>992</v>
      </c>
      <c r="B115" s="22" t="s">
        <v>1797</v>
      </c>
      <c r="C115" s="22" t="e">
        <f t="array" aca="1" ref="C115" ca="1">_xludf.XLOOKUP(A115,'Batch || Working'!$C$2:$C$438,'Batch || Working'!$E$2:$E$438)</f>
        <v>#NAME?</v>
      </c>
    </row>
    <row r="116" spans="1:3" ht="14.25" customHeight="1">
      <c r="A116" s="22" t="s">
        <v>997</v>
      </c>
      <c r="B116" s="22" t="s">
        <v>1894</v>
      </c>
      <c r="C116" s="22" t="e">
        <f t="array" aca="1" ref="C116" ca="1">_xludf.XLOOKUP(A116,'Batch || Working'!$C$2:$C$438,'Batch || Working'!$E$2:$E$438)</f>
        <v>#NAME?</v>
      </c>
    </row>
    <row r="117" spans="1:3" ht="14.25" customHeight="1">
      <c r="A117" s="22" t="s">
        <v>1010</v>
      </c>
      <c r="B117" s="22" t="s">
        <v>1847</v>
      </c>
      <c r="C117" s="22" t="e">
        <f t="array" aca="1" ref="C117" ca="1">_xludf.XLOOKUP(A117,'Batch || Working'!$C$2:$C$438,'Batch || Working'!$E$2:$E$438)</f>
        <v>#NAME?</v>
      </c>
    </row>
    <row r="118" spans="1:3" ht="14.25" customHeight="1">
      <c r="A118" s="22" t="s">
        <v>1019</v>
      </c>
      <c r="B118" s="22" t="s">
        <v>1800</v>
      </c>
      <c r="C118" s="22" t="e">
        <f t="array" aca="1" ref="C118" ca="1">_xludf.XLOOKUP(A118,'Batch || Working'!$C$2:$C$438,'Batch || Working'!$E$2:$E$438)</f>
        <v>#NAME?</v>
      </c>
    </row>
    <row r="119" spans="1:3" ht="14.25" customHeight="1">
      <c r="A119" s="22" t="s">
        <v>1066</v>
      </c>
      <c r="B119" s="22" t="s">
        <v>1671</v>
      </c>
      <c r="C119" s="22" t="e">
        <f t="array" aca="1" ref="C119" ca="1">_xludf.XLOOKUP(A119,'Batch || Working'!$C$2:$C$438,'Batch || Working'!$E$2:$E$438)</f>
        <v>#NAME?</v>
      </c>
    </row>
    <row r="120" spans="1:3" ht="14.25" customHeight="1">
      <c r="A120" s="22" t="s">
        <v>1087</v>
      </c>
      <c r="B120" s="22" t="s">
        <v>1676</v>
      </c>
      <c r="C120" s="22" t="e">
        <f t="array" aca="1" ref="C120" ca="1">_xludf.XLOOKUP(A120,'Batch || Working'!$C$2:$C$438,'Batch || Working'!$E$2:$E$438)</f>
        <v>#NAME?</v>
      </c>
    </row>
    <row r="121" spans="1:3" ht="14.25" customHeight="1">
      <c r="A121" s="22" t="s">
        <v>1090</v>
      </c>
      <c r="B121" s="22" t="s">
        <v>1909</v>
      </c>
      <c r="C121" s="22" t="e">
        <f t="array" aca="1" ref="C121" ca="1">_xludf.XLOOKUP(A121,'Batch || Working'!$C$2:$C$438,'Batch || Working'!$E$2:$E$438)</f>
        <v>#NAME?</v>
      </c>
    </row>
    <row r="122" spans="1:3" ht="14.25" customHeight="1">
      <c r="A122" s="22" t="s">
        <v>1093</v>
      </c>
      <c r="B122" s="22" t="s">
        <v>1677</v>
      </c>
      <c r="C122" s="22" t="e">
        <f t="array" aca="1" ref="C122" ca="1">_xludf.XLOOKUP(A122,'Batch || Working'!$C$2:$C$438,'Batch || Working'!$E$2:$E$438)</f>
        <v>#NAME?</v>
      </c>
    </row>
    <row r="123" spans="1:3" ht="14.25" customHeight="1">
      <c r="A123" s="22" t="s">
        <v>1112</v>
      </c>
      <c r="B123" s="22" t="s">
        <v>1737</v>
      </c>
      <c r="C123" s="22" t="e">
        <f t="array" aca="1" ref="C123" ca="1">_xludf.XLOOKUP(A123,'Batch || Working'!$C$2:$C$438,'Batch || Working'!$E$2:$E$438)</f>
        <v>#NAME?</v>
      </c>
    </row>
    <row r="124" spans="1:3" ht="14.25" customHeight="1">
      <c r="A124" s="22" t="s">
        <v>1115</v>
      </c>
      <c r="B124" s="22" t="s">
        <v>1804</v>
      </c>
      <c r="C124" s="22" t="e">
        <f t="array" aca="1" ref="C124" ca="1">_xludf.XLOOKUP(A124,'Batch || Working'!$C$2:$C$438,'Batch || Working'!$E$2:$E$438)</f>
        <v>#NAME?</v>
      </c>
    </row>
    <row r="125" spans="1:3" ht="14.25" customHeight="1">
      <c r="A125" s="22" t="s">
        <v>306</v>
      </c>
      <c r="B125" s="22" t="s">
        <v>1679</v>
      </c>
      <c r="C125" s="22" t="e">
        <f t="array" aca="1" ref="C125" ca="1">_xludf.XLOOKUP(A125,'Batch || Working'!$C$2:$C$438,'Batch || Working'!$E$2:$E$438)</f>
        <v>#NAME?</v>
      </c>
    </row>
    <row r="126" spans="1:3" ht="14.25" customHeight="1">
      <c r="A126" s="22" t="s">
        <v>1128</v>
      </c>
      <c r="B126" s="22" t="s">
        <v>1682</v>
      </c>
      <c r="C126" s="22" t="e">
        <f t="array" aca="1" ref="C126" ca="1">_xludf.XLOOKUP(A126,'Batch || Working'!$C$2:$C$438,'Batch || Working'!$E$2:$E$438)</f>
        <v>#NAME?</v>
      </c>
    </row>
    <row r="127" spans="1:3" ht="14.25" customHeight="1">
      <c r="A127" s="22" t="s">
        <v>308</v>
      </c>
      <c r="B127" s="22" t="s">
        <v>1805</v>
      </c>
      <c r="C127" s="144" t="e">
        <f t="array" aca="1" ref="C127" ca="1">_xludf.XLOOKUP(A127,'Batch || Working'!$C$2:$C$438,'Batch || Working'!$E$2:$E$438)</f>
        <v>#NAME?</v>
      </c>
    </row>
    <row r="128" spans="1:3" ht="14.25" customHeight="1">
      <c r="A128" s="22" t="s">
        <v>309</v>
      </c>
      <c r="B128" s="22" t="s">
        <v>1851</v>
      </c>
      <c r="C128" s="22" t="e">
        <f t="array" aca="1" ref="C128" ca="1">_xludf.XLOOKUP(A128,'Batch || Working'!$C$2:$C$438,'Batch || Working'!$E$2:$E$438)</f>
        <v>#NAME?</v>
      </c>
    </row>
    <row r="129" spans="1:3" ht="14.25" customHeight="1">
      <c r="A129" s="22" t="s">
        <v>1138</v>
      </c>
      <c r="B129" s="22" t="s">
        <v>1684</v>
      </c>
      <c r="C129" s="22" t="e">
        <f t="array" aca="1" ref="C129" ca="1">_xludf.XLOOKUP(A129,'Batch || Working'!$C$2:$C$438,'Batch || Working'!$E$2:$E$438)</f>
        <v>#NAME?</v>
      </c>
    </row>
    <row r="130" spans="1:3" ht="14.25" customHeight="1">
      <c r="A130" s="22" t="s">
        <v>310</v>
      </c>
      <c r="B130" s="22" t="s">
        <v>1685</v>
      </c>
      <c r="C130" s="22" t="e">
        <f t="array" aca="1" ref="C130" ca="1">_xludf.XLOOKUP(A130,'Batch || Working'!$C$2:$C$438,'Batch || Working'!$E$2:$E$438)</f>
        <v>#NAME?</v>
      </c>
    </row>
    <row r="131" spans="1:3" ht="14.25" customHeight="1">
      <c r="A131" s="22" t="s">
        <v>1153</v>
      </c>
      <c r="B131" s="22" t="s">
        <v>1878</v>
      </c>
      <c r="C131" s="22" t="e">
        <f t="array" aca="1" ref="C131" ca="1">_xludf.XLOOKUP(A131,'Batch || Working'!$C$2:$C$438,'Batch || Working'!$E$2:$E$438)</f>
        <v>#NAME?</v>
      </c>
    </row>
    <row r="132" spans="1:3" ht="14.25" customHeight="1">
      <c r="A132" s="22" t="s">
        <v>1159</v>
      </c>
      <c r="B132" s="22" t="s">
        <v>1739</v>
      </c>
      <c r="C132" s="22" t="e">
        <f t="array" aca="1" ref="C132" ca="1">_xludf.XLOOKUP(A132,'Batch || Working'!$C$2:$C$438,'Batch || Working'!$E$2:$E$438)</f>
        <v>#NAME?</v>
      </c>
    </row>
    <row r="133" spans="1:3" ht="14.25" customHeight="1">
      <c r="A133" s="22" t="s">
        <v>1172</v>
      </c>
      <c r="B133" s="22" t="s">
        <v>1687</v>
      </c>
      <c r="C133" s="22" t="e">
        <f t="array" aca="1" ref="C133" ca="1">_xludf.XLOOKUP(A133,'Batch || Working'!$C$2:$C$438,'Batch || Working'!$E$2:$E$438)</f>
        <v>#NAME?</v>
      </c>
    </row>
    <row r="134" spans="1:3" ht="14.25" customHeight="1">
      <c r="A134" s="22" t="s">
        <v>316</v>
      </c>
      <c r="B134" s="22" t="s">
        <v>1865</v>
      </c>
      <c r="C134" s="22" t="e">
        <f t="array" aca="1" ref="C134" ca="1">_xludf.XLOOKUP(A134,'Batch || Working'!$C$2:$C$438,'Batch || Working'!$E$2:$E$438)</f>
        <v>#NAME?</v>
      </c>
    </row>
    <row r="135" spans="1:3" ht="14.25" customHeight="1">
      <c r="A135" s="22" t="s">
        <v>1182</v>
      </c>
      <c r="B135" s="22" t="s">
        <v>1688</v>
      </c>
      <c r="C135" s="22" t="e">
        <f t="array" aca="1" ref="C135" ca="1">_xludf.XLOOKUP(A135,'Batch || Working'!$C$2:$C$438,'Batch || Working'!$E$2:$E$438)</f>
        <v>#NAME?</v>
      </c>
    </row>
    <row r="136" spans="1:3" ht="14.25" customHeight="1">
      <c r="A136" s="22" t="s">
        <v>1185</v>
      </c>
      <c r="B136" s="22" t="s">
        <v>1853</v>
      </c>
      <c r="C136" s="22" t="e">
        <f t="array" aca="1" ref="C136" ca="1">_xludf.XLOOKUP(A136,'Batch || Working'!$C$2:$C$438,'Batch || Working'!$E$2:$E$438)</f>
        <v>#NAME?</v>
      </c>
    </row>
    <row r="137" spans="1:3" ht="14.25" customHeight="1">
      <c r="A137" s="22" t="s">
        <v>1191</v>
      </c>
      <c r="B137" s="22" t="s">
        <v>1689</v>
      </c>
      <c r="C137" s="22" t="e">
        <f t="array" aca="1" ref="C137" ca="1">_xludf.XLOOKUP(A137,'Batch || Working'!$C$2:$C$438,'Batch || Working'!$E$2:$E$438)</f>
        <v>#NAME?</v>
      </c>
    </row>
    <row r="138" spans="1:3" ht="14.25" customHeight="1">
      <c r="A138" s="22" t="s">
        <v>1194</v>
      </c>
      <c r="B138" s="22" t="s">
        <v>1690</v>
      </c>
      <c r="C138" s="22" t="e">
        <f t="array" aca="1" ref="C138" ca="1">_xludf.XLOOKUP(A138,'Batch || Working'!$C$2:$C$438,'Batch || Working'!$E$2:$E$438)</f>
        <v>#NAME?</v>
      </c>
    </row>
    <row r="139" spans="1:3" ht="14.25" customHeight="1">
      <c r="A139" s="22" t="s">
        <v>1197</v>
      </c>
      <c r="B139" s="22" t="s">
        <v>1742</v>
      </c>
      <c r="C139" s="144" t="e">
        <f t="array" aca="1" ref="C139" ca="1">_xludf.XLOOKUP(A139,'Batch || Working'!$C$2:$C$438,'Batch || Working'!$E$2:$E$438)</f>
        <v>#NAME?</v>
      </c>
    </row>
    <row r="140" spans="1:3" ht="14.25" customHeight="1">
      <c r="A140" s="22" t="s">
        <v>1200</v>
      </c>
      <c r="B140" s="22" t="s">
        <v>1691</v>
      </c>
      <c r="C140" s="22" t="e">
        <f t="array" aca="1" ref="C140" ca="1">_xludf.XLOOKUP(A140,'Batch || Working'!$C$2:$C$438,'Batch || Working'!$E$2:$E$438)</f>
        <v>#NAME?</v>
      </c>
    </row>
    <row r="141" spans="1:3" ht="14.25" customHeight="1">
      <c r="A141" s="22" t="s">
        <v>862</v>
      </c>
      <c r="B141" s="22" t="s">
        <v>1692</v>
      </c>
      <c r="C141" s="22" t="e">
        <f t="array" aca="1" ref="C141" ca="1">_xludf.XLOOKUP(A141,'Batch || Working'!$C$2:$C$438,'Batch || Working'!$E$2:$E$438)</f>
        <v>#NAME?</v>
      </c>
    </row>
    <row r="142" spans="1:3" ht="14.25" customHeight="1"/>
    <row r="143" spans="1:3" ht="14.25" customHeight="1"/>
    <row r="144" spans="1: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C77"/>
  <sheetViews>
    <sheetView workbookViewId="0"/>
  </sheetViews>
  <sheetFormatPr defaultColWidth="14.3984375" defaultRowHeight="15.75" customHeight="1"/>
  <cols>
    <col min="2" max="2" width="24.09765625" customWidth="1"/>
    <col min="3" max="3" width="42.5976562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3">
      <c r="A2" s="22" t="s">
        <v>1301</v>
      </c>
      <c r="B2" s="22" t="s">
        <v>1575</v>
      </c>
      <c r="C2" s="22" t="e">
        <f t="array" aca="1" ref="C2" ca="1">_xludf.XLOOKUP(A2,'Batch || Working'!$C$2:$C$438,'Batch || Working'!$E$2:$E$438)</f>
        <v>#NAME?</v>
      </c>
    </row>
    <row r="3" spans="1:3" ht="13">
      <c r="A3" s="22" t="s">
        <v>1307</v>
      </c>
      <c r="B3" s="22" t="s">
        <v>1576</v>
      </c>
      <c r="C3" s="22" t="e">
        <f t="array" aca="1" ref="C3" ca="1">_xludf.XLOOKUP(A3,'Batch || Working'!$C$2:$C$438,'Batch || Working'!$E$2:$E$438)</f>
        <v>#NAME?</v>
      </c>
    </row>
    <row r="4" spans="1:3" ht="13">
      <c r="A4" s="22" t="s">
        <v>1323</v>
      </c>
      <c r="B4" s="22" t="s">
        <v>1581</v>
      </c>
      <c r="C4" s="22" t="e">
        <f t="array" aca="1" ref="C4" ca="1">_xludf.XLOOKUP(A4,'Batch || Working'!$C$2:$C$438,'Batch || Working'!$E$2:$E$438)</f>
        <v>#NAME?</v>
      </c>
    </row>
    <row r="5" spans="1:3" ht="13">
      <c r="A5" s="22" t="s">
        <v>1337</v>
      </c>
      <c r="B5" s="22" t="s">
        <v>1813</v>
      </c>
      <c r="C5" s="22" t="e">
        <f t="array" aca="1" ref="C5" ca="1">_xludf.XLOOKUP(A5,'Batch || Working'!$C$2:$C$438,'Batch || Working'!$E$2:$E$438)</f>
        <v>#NAME?</v>
      </c>
    </row>
    <row r="6" spans="1:3" ht="13">
      <c r="A6" s="22" t="s">
        <v>183</v>
      </c>
      <c r="B6" s="22" t="s">
        <v>1913</v>
      </c>
      <c r="C6" s="22" t="e">
        <f t="array" aca="1" ref="C6" ca="1">_xludf.XLOOKUP(A6,'Batch || Working'!$C$2:$C$438,'Batch || Working'!$E$2:$E$438)</f>
        <v>#NAME?</v>
      </c>
    </row>
    <row r="7" spans="1:3" ht="13">
      <c r="A7" s="22" t="s">
        <v>1354</v>
      </c>
      <c r="B7" s="22" t="s">
        <v>1586</v>
      </c>
      <c r="C7" s="22" t="e">
        <f t="array" aca="1" ref="C7" ca="1">_xludf.XLOOKUP(A7,'Batch || Working'!$C$2:$C$438,'Batch || Working'!$E$2:$E$438)</f>
        <v>#NAME?</v>
      </c>
    </row>
    <row r="8" spans="1:3" ht="13">
      <c r="A8" s="22" t="s">
        <v>1376</v>
      </c>
      <c r="B8" s="22" t="s">
        <v>1879</v>
      </c>
      <c r="C8" s="22" t="e">
        <f t="array" aca="1" ref="C8" ca="1">_xludf.XLOOKUP(A8,'Batch || Working'!$C$2:$C$438,'Batch || Working'!$E$2:$E$438)</f>
        <v>#NAME?</v>
      </c>
    </row>
    <row r="9" spans="1:3" ht="13">
      <c r="A9" s="22" t="s">
        <v>1507</v>
      </c>
      <c r="B9" s="22" t="s">
        <v>1508</v>
      </c>
      <c r="C9" s="22" t="e">
        <f t="array" aca="1" ref="C9" ca="1">_xludf.XLOOKUP(A9,'Batch || Working'!$C$2:$C$438,'Batch || Working'!$E$2:$E$438)</f>
        <v>#NAME?</v>
      </c>
    </row>
    <row r="10" spans="1:3" ht="13">
      <c r="A10" s="22" t="s">
        <v>207</v>
      </c>
      <c r="B10" s="22" t="s">
        <v>1696</v>
      </c>
      <c r="C10" s="22" t="e">
        <f t="array" aca="1" ref="C10" ca="1">_xludf.XLOOKUP(A10,'Batch || Working'!$C$2:$C$438,'Batch || Working'!$E$2:$E$438)</f>
        <v>#NAME?</v>
      </c>
    </row>
    <row r="11" spans="1:3" ht="13">
      <c r="A11" s="22" t="s">
        <v>868</v>
      </c>
      <c r="B11" s="22" t="s">
        <v>1827</v>
      </c>
      <c r="C11" s="22" t="e">
        <f t="array" aca="1" ref="C11" ca="1">_xludf.XLOOKUP(A11,'Batch || Working'!$C$2:$C$438,'Batch || Working'!$E$2:$E$438)</f>
        <v>#NAME?</v>
      </c>
    </row>
    <row r="12" spans="1:3" ht="13">
      <c r="A12" s="22" t="s">
        <v>1226</v>
      </c>
      <c r="B12" s="22" t="s">
        <v>1897</v>
      </c>
      <c r="C12" s="22" t="e">
        <f t="array" aca="1" ref="C12" ca="1">_xludf.XLOOKUP(A12,'Batch || Working'!$C$2:$C$438,'Batch || Working'!$E$2:$E$438)</f>
        <v>#NAME?</v>
      </c>
    </row>
    <row r="13" spans="1:3" ht="13">
      <c r="A13" s="22" t="s">
        <v>210</v>
      </c>
      <c r="B13" s="22" t="s">
        <v>1599</v>
      </c>
      <c r="C13" s="22" t="e">
        <f t="array" aca="1" ref="C13" ca="1">_xludf.XLOOKUP(A13,'Batch || Working'!$C$2:$C$438,'Batch || Working'!$E$2:$E$438)</f>
        <v>#NAME?</v>
      </c>
    </row>
    <row r="14" spans="1:3" ht="13">
      <c r="A14" s="22" t="s">
        <v>213</v>
      </c>
      <c r="B14" s="22" t="s">
        <v>1701</v>
      </c>
      <c r="C14" s="22" t="e">
        <f t="array" aca="1" ref="C14" ca="1">_xludf.XLOOKUP(A14,'Batch || Working'!$C$2:$C$438,'Batch || Working'!$E$2:$E$438)</f>
        <v>#NAME?</v>
      </c>
    </row>
    <row r="15" spans="1:3" ht="13">
      <c r="A15" s="22" t="s">
        <v>217</v>
      </c>
      <c r="B15" s="22" t="s">
        <v>1704</v>
      </c>
      <c r="C15" s="22" t="e">
        <f t="array" aca="1" ref="C15" ca="1">_xludf.XLOOKUP(A15,'Batch || Working'!$C$2:$C$438,'Batch || Working'!$E$2:$E$438)</f>
        <v>#NAME?</v>
      </c>
    </row>
    <row r="16" spans="1:3" ht="13">
      <c r="A16" s="22" t="s">
        <v>218</v>
      </c>
      <c r="B16" s="22" t="s">
        <v>1603</v>
      </c>
      <c r="C16" s="22" t="e">
        <f t="array" aca="1" ref="C16" ca="1">_xludf.XLOOKUP(A16,'Batch || Working'!$C$2:$C$438,'Batch || Working'!$E$2:$E$438)</f>
        <v>#NAME?</v>
      </c>
    </row>
    <row r="17" spans="1:3" ht="13">
      <c r="A17" s="22" t="s">
        <v>865</v>
      </c>
      <c r="B17" s="22" t="s">
        <v>1605</v>
      </c>
      <c r="C17" s="22" t="e">
        <f t="array" aca="1" ref="C17" ca="1">_xludf.XLOOKUP(A17,'Batch || Working'!$C$2:$C$438,'Batch || Working'!$E$2:$E$438)</f>
        <v>#NAME?</v>
      </c>
    </row>
    <row r="18" spans="1:3" ht="13">
      <c r="A18" s="22" t="s">
        <v>219</v>
      </c>
      <c r="B18" s="22" t="s">
        <v>1871</v>
      </c>
      <c r="C18" s="22" t="e">
        <f t="array" aca="1" ref="C18" ca="1">_xludf.XLOOKUP(A18,'Batch || Working'!$C$2:$C$438,'Batch || Working'!$E$2:$E$438)</f>
        <v>#NAME?</v>
      </c>
    </row>
    <row r="19" spans="1:3" ht="13">
      <c r="A19" s="22" t="s">
        <v>221</v>
      </c>
      <c r="B19" s="22" t="s">
        <v>1900</v>
      </c>
      <c r="C19" s="22" t="e">
        <f t="array" aca="1" ref="C19" ca="1">_xludf.XLOOKUP(A19,'Batch || Working'!$C$2:$C$438,'Batch || Working'!$E$2:$E$438)</f>
        <v>#NAME?</v>
      </c>
    </row>
    <row r="20" spans="1:3" ht="13">
      <c r="A20" s="22" t="s">
        <v>888</v>
      </c>
      <c r="B20" s="22" t="s">
        <v>1830</v>
      </c>
      <c r="C20" s="22" t="e">
        <f t="array" aca="1" ref="C20" ca="1">_xludf.XLOOKUP(A20,'Batch || Working'!$C$2:$C$438,'Batch || Working'!$E$2:$E$438)</f>
        <v>#NAME?</v>
      </c>
    </row>
    <row r="21" spans="1:3" ht="13">
      <c r="A21" s="22" t="s">
        <v>222</v>
      </c>
      <c r="B21" s="22" t="s">
        <v>1712</v>
      </c>
      <c r="C21" s="22" t="e">
        <f t="array" aca="1" ref="C21" ca="1">_xludf.XLOOKUP(A21,'Batch || Working'!$C$2:$C$438,'Batch || Working'!$E$2:$E$438)</f>
        <v>#NAME?</v>
      </c>
    </row>
    <row r="22" spans="1:3" ht="13">
      <c r="A22" s="22" t="s">
        <v>1055</v>
      </c>
      <c r="B22" s="22" t="s">
        <v>1713</v>
      </c>
      <c r="C22" s="22" t="e">
        <f t="array" aca="1" ref="C22" ca="1">_xludf.XLOOKUP(A22,'Batch || Working'!$C$2:$C$438,'Batch || Working'!$E$2:$E$438)</f>
        <v>#NAME?</v>
      </c>
    </row>
    <row r="23" spans="1:3" ht="13">
      <c r="A23" s="22" t="s">
        <v>1249</v>
      </c>
      <c r="B23" s="22" t="s">
        <v>1612</v>
      </c>
      <c r="C23" s="22" t="e">
        <f t="array" aca="1" ref="C23" ca="1">_xludf.XLOOKUP(A23,'Batch || Working'!$C$2:$C$438,'Batch || Working'!$E$2:$E$438)</f>
        <v>#NAME?</v>
      </c>
    </row>
    <row r="24" spans="1:3" ht="13">
      <c r="A24" s="22" t="s">
        <v>380</v>
      </c>
      <c r="B24" s="22" t="s">
        <v>1916</v>
      </c>
      <c r="C24" s="22" t="e">
        <f t="array" aca="1" ref="C24" ca="1">_xludf.XLOOKUP(A24,'Batch || Working'!$C$2:$C$438,'Batch || Working'!$E$2:$E$438)</f>
        <v>#NAME?</v>
      </c>
    </row>
    <row r="25" spans="1:3" ht="13">
      <c r="A25" s="22" t="s">
        <v>409</v>
      </c>
      <c r="B25" s="22" t="s">
        <v>1617</v>
      </c>
      <c r="C25" s="22" t="e">
        <f t="array" aca="1" ref="C25" ca="1">_xludf.XLOOKUP(A25,'Batch || Working'!$C$2:$C$438,'Batch || Working'!$E$2:$E$438)</f>
        <v>#NAME?</v>
      </c>
    </row>
    <row r="26" spans="1:3" ht="13">
      <c r="A26" s="22" t="s">
        <v>236</v>
      </c>
      <c r="B26" s="22" t="s">
        <v>1718</v>
      </c>
      <c r="C26" s="22" t="e">
        <f t="array" aca="1" ref="C26" ca="1">_xludf.XLOOKUP(A26,'Batch || Working'!$C$2:$C$438,'Batch || Working'!$E$2:$E$438)</f>
        <v>#NAME?</v>
      </c>
    </row>
    <row r="27" spans="1:3" ht="13">
      <c r="A27" s="22" t="s">
        <v>240</v>
      </c>
      <c r="B27" s="22" t="s">
        <v>1720</v>
      </c>
      <c r="C27" s="22" t="e">
        <f t="array" aca="1" ref="C27" ca="1">_xludf.XLOOKUP(A27,'Batch || Working'!$C$2:$C$438,'Batch || Working'!$E$2:$E$438)</f>
        <v>#NAME?</v>
      </c>
    </row>
    <row r="28" spans="1:3" ht="13">
      <c r="A28" s="145" t="s">
        <v>242</v>
      </c>
      <c r="B28" s="145" t="s">
        <v>1858</v>
      </c>
      <c r="C28" s="145" t="e">
        <f t="array" aca="1" ref="C28" ca="1">_xludf.XLOOKUP(A28,'Batch || Working'!$C$2:$C$438,'Batch || Working'!$E$2:$E$438)</f>
        <v>#NAME?</v>
      </c>
    </row>
    <row r="29" spans="1:3" ht="13">
      <c r="A29" s="22" t="s">
        <v>246</v>
      </c>
      <c r="B29" s="22" t="s">
        <v>1208</v>
      </c>
      <c r="C29" s="144" t="e">
        <f t="array" aca="1" ref="C29" ca="1">_xludf.XLOOKUP(A29,'Batch || Working'!$C$2:$C$438,'Batch || Working'!$E$2:$E$438)</f>
        <v>#NAME?</v>
      </c>
    </row>
    <row r="30" spans="1:3" ht="13">
      <c r="A30" s="145" t="s">
        <v>248</v>
      </c>
      <c r="B30" s="145" t="s">
        <v>1872</v>
      </c>
      <c r="C30" s="145" t="e">
        <f t="array" aca="1" ref="C30" ca="1">_xludf.XLOOKUP(A30,'Batch || Working'!$C$2:$C$438,'Batch || Working'!$E$2:$E$438)</f>
        <v>#NAME?</v>
      </c>
    </row>
    <row r="31" spans="1:3" ht="13">
      <c r="A31" s="22" t="s">
        <v>509</v>
      </c>
      <c r="B31" s="22" t="s">
        <v>1625</v>
      </c>
      <c r="C31" s="22" t="e">
        <f t="array" aca="1" ref="C31" ca="1">_xludf.XLOOKUP(A31,'Batch || Working'!$C$2:$C$438,'Batch || Working'!$E$2:$E$438)</f>
        <v>#NAME?</v>
      </c>
    </row>
    <row r="32" spans="1:3" ht="13">
      <c r="A32" s="22" t="s">
        <v>512</v>
      </c>
      <c r="B32" s="22" t="s">
        <v>1918</v>
      </c>
      <c r="C32" s="22" t="e">
        <f t="array" aca="1" ref="C32" ca="1">_xludf.XLOOKUP(A32,'Batch || Working'!$C$2:$C$438,'Batch || Working'!$E$2:$E$438)</f>
        <v>#NAME?</v>
      </c>
    </row>
    <row r="33" spans="1:3" ht="13">
      <c r="A33" s="22" t="s">
        <v>252</v>
      </c>
      <c r="B33" s="22" t="s">
        <v>1767</v>
      </c>
      <c r="C33" s="22" t="e">
        <f t="array" aca="1" ref="C33" ca="1">_xludf.XLOOKUP(A33,'Batch || Working'!$C$2:$C$438,'Batch || Working'!$E$2:$E$438)</f>
        <v>#NAME?</v>
      </c>
    </row>
    <row r="34" spans="1:3" ht="13">
      <c r="A34" s="22" t="s">
        <v>586</v>
      </c>
      <c r="B34" s="22" t="s">
        <v>1890</v>
      </c>
      <c r="C34" s="22" t="e">
        <f t="array" aca="1" ref="C34" ca="1">_xludf.XLOOKUP(A34,'Batch || Working'!$C$2:$C$438,'Batch || Working'!$E$2:$E$438)</f>
        <v>#NAME?</v>
      </c>
    </row>
    <row r="35" spans="1:3" ht="13">
      <c r="A35" s="22" t="s">
        <v>595</v>
      </c>
      <c r="B35" s="22" t="s">
        <v>1919</v>
      </c>
      <c r="C35" s="22" t="e">
        <f t="array" aca="1" ref="C35" ca="1">_xludf.XLOOKUP(A35,'Batch || Working'!$C$2:$C$438,'Batch || Working'!$E$2:$E$438)</f>
        <v>#NAME?</v>
      </c>
    </row>
    <row r="36" spans="1:3" ht="13">
      <c r="A36" s="145" t="s">
        <v>603</v>
      </c>
      <c r="B36" s="145" t="s">
        <v>1873</v>
      </c>
      <c r="C36" s="145" t="e">
        <f t="array" aca="1" ref="C36" ca="1">_xludf.XLOOKUP(A36,'Batch || Working'!$C$2:$C$438,'Batch || Working'!$E$2:$E$438)</f>
        <v>#NAME?</v>
      </c>
    </row>
    <row r="37" spans="1:3" ht="13">
      <c r="A37" s="22" t="s">
        <v>258</v>
      </c>
      <c r="B37" s="22" t="s">
        <v>1634</v>
      </c>
      <c r="C37" s="22" t="e">
        <f t="array" aca="1" ref="C37" ca="1">_xludf.XLOOKUP(A37,'Batch || Working'!$C$2:$C$438,'Batch || Working'!$E$2:$E$438)</f>
        <v>#NAME?</v>
      </c>
    </row>
    <row r="38" spans="1:3" ht="13">
      <c r="A38" s="22" t="s">
        <v>261</v>
      </c>
      <c r="B38" s="22" t="s">
        <v>1920</v>
      </c>
      <c r="C38" s="22" t="e">
        <f t="array" aca="1" ref="C38" ca="1">_xludf.XLOOKUP(A38,'Batch || Working'!$C$2:$C$438,'Batch || Working'!$E$2:$E$438)</f>
        <v>#NAME?</v>
      </c>
    </row>
    <row r="39" spans="1:3" ht="13">
      <c r="A39" s="22" t="s">
        <v>628</v>
      </c>
      <c r="B39" s="22" t="s">
        <v>1902</v>
      </c>
      <c r="C39" s="22" t="e">
        <f t="array" aca="1" ref="C39" ca="1">_xludf.XLOOKUP(A39,'Batch || Working'!$C$2:$C$438,'Batch || Working'!$E$2:$E$438)</f>
        <v>#NAME?</v>
      </c>
    </row>
    <row r="40" spans="1:3" ht="13">
      <c r="A40" s="22" t="s">
        <v>631</v>
      </c>
      <c r="B40" s="22" t="s">
        <v>1637</v>
      </c>
      <c r="C40" s="22" t="e">
        <f t="array" aca="1" ref="C40" ca="1">_xludf.XLOOKUP(A40,'Batch || Working'!$C$2:$C$438,'Batch || Working'!$E$2:$E$438)</f>
        <v>#NAME?</v>
      </c>
    </row>
    <row r="41" spans="1:3" ht="13">
      <c r="A41" s="22" t="s">
        <v>266</v>
      </c>
      <c r="B41" s="22" t="s">
        <v>1640</v>
      </c>
      <c r="C41" s="22" t="e">
        <f t="array" aca="1" ref="C41" ca="1">_xludf.XLOOKUP(A41,'Batch || Working'!$C$2:$C$438,'Batch || Working'!$E$2:$E$438)</f>
        <v>#NAME?</v>
      </c>
    </row>
    <row r="42" spans="1:3" ht="13">
      <c r="A42" s="22" t="s">
        <v>741</v>
      </c>
      <c r="B42" s="22" t="s">
        <v>1775</v>
      </c>
      <c r="C42" s="22" t="e">
        <f t="array" aca="1" ref="C42" ca="1">_xludf.XLOOKUP(A42,'Batch || Working'!$C$2:$C$438,'Batch || Working'!$E$2:$E$438)</f>
        <v>#NAME?</v>
      </c>
    </row>
    <row r="43" spans="1:3" ht="13">
      <c r="A43" s="22" t="s">
        <v>744</v>
      </c>
      <c r="B43" s="22" t="s">
        <v>1641</v>
      </c>
      <c r="C43" s="22" t="e">
        <f t="array" aca="1" ref="C43" ca="1">_xludf.XLOOKUP(A43,'Batch || Working'!$C$2:$C$438,'Batch || Working'!$E$2:$E$438)</f>
        <v>#NAME?</v>
      </c>
    </row>
    <row r="44" spans="1:3" ht="13">
      <c r="A44" s="22" t="s">
        <v>768</v>
      </c>
      <c r="B44" s="22" t="s">
        <v>1780</v>
      </c>
      <c r="C44" s="22" t="e">
        <f t="array" aca="1" ref="C44" ca="1">_xludf.XLOOKUP(A44,'Batch || Working'!$C$2:$C$438,'Batch || Working'!$E$2:$E$438)</f>
        <v>#NAME?</v>
      </c>
    </row>
    <row r="45" spans="1:3" ht="13">
      <c r="A45" s="22" t="s">
        <v>720</v>
      </c>
      <c r="B45" s="22" t="s">
        <v>721</v>
      </c>
      <c r="C45" s="22" t="e">
        <f t="array" aca="1" ref="C45" ca="1">_xludf.XLOOKUP(A45,'Batch || Working'!$C$2:$C$438,'Batch || Working'!$E$2:$E$438)</f>
        <v>#NAME?</v>
      </c>
    </row>
    <row r="46" spans="1:3" ht="13">
      <c r="A46" s="22" t="s">
        <v>270</v>
      </c>
      <c r="B46" s="22" t="s">
        <v>1646</v>
      </c>
      <c r="C46" s="22" t="e">
        <f t="array" aca="1" ref="C46" ca="1">_xludf.XLOOKUP(A46,'Batch || Working'!$C$2:$C$438,'Batch || Working'!$E$2:$E$438)</f>
        <v>#NAME?</v>
      </c>
    </row>
    <row r="47" spans="1:3" ht="13">
      <c r="A47" s="22" t="s">
        <v>274</v>
      </c>
      <c r="B47" s="22" t="s">
        <v>1649</v>
      </c>
      <c r="C47" s="22" t="e">
        <f t="array" aca="1" ref="C47" ca="1">_xludf.XLOOKUP(A47,'Batch || Working'!$C$2:$C$438,'Batch || Working'!$E$2:$E$438)</f>
        <v>#NAME?</v>
      </c>
    </row>
    <row r="48" spans="1:3" ht="13">
      <c r="A48" s="22" t="s">
        <v>276</v>
      </c>
      <c r="B48" s="22" t="s">
        <v>1650</v>
      </c>
      <c r="C48" s="22" t="e">
        <f t="array" aca="1" ref="C48" ca="1">_xludf.XLOOKUP(A48,'Batch || Working'!$C$2:$C$438,'Batch || Working'!$E$2:$E$438)</f>
        <v>#NAME?</v>
      </c>
    </row>
    <row r="49" spans="1:3" ht="13">
      <c r="A49" s="22" t="s">
        <v>805</v>
      </c>
      <c r="B49" s="22" t="s">
        <v>1842</v>
      </c>
      <c r="C49" s="22" t="e">
        <f t="array" aca="1" ref="C49" ca="1">_xludf.XLOOKUP(A49,'Batch || Working'!$C$2:$C$438,'Batch || Working'!$E$2:$E$438)</f>
        <v>#NAME?</v>
      </c>
    </row>
    <row r="50" spans="1:3" ht="13">
      <c r="A50" s="22" t="s">
        <v>808</v>
      </c>
      <c r="B50" s="22" t="s">
        <v>1730</v>
      </c>
      <c r="C50" s="22" t="e">
        <f t="array" aca="1" ref="C50" ca="1">_xludf.XLOOKUP(A50,'Batch || Working'!$C$2:$C$438,'Batch || Working'!$E$2:$E$438)</f>
        <v>#NAME?</v>
      </c>
    </row>
    <row r="51" spans="1:3" ht="13">
      <c r="A51" s="22" t="s">
        <v>819</v>
      </c>
      <c r="B51" s="22" t="s">
        <v>1786</v>
      </c>
      <c r="C51" s="22" t="e">
        <f t="array" aca="1" ref="C51" ca="1">_xludf.XLOOKUP(A51,'Batch || Working'!$C$2:$C$438,'Batch || Working'!$E$2:$E$438)</f>
        <v>#NAME?</v>
      </c>
    </row>
    <row r="52" spans="1:3" ht="13">
      <c r="A52" s="22" t="s">
        <v>279</v>
      </c>
      <c r="B52" s="22" t="s">
        <v>1787</v>
      </c>
      <c r="C52" s="22" t="e">
        <f t="array" aca="1" ref="C52" ca="1">_xludf.XLOOKUP(A52,'Batch || Working'!$C$2:$C$438,'Batch || Working'!$E$2:$E$438)</f>
        <v>#NAME?</v>
      </c>
    </row>
    <row r="53" spans="1:3" ht="13">
      <c r="A53" s="22" t="s">
        <v>839</v>
      </c>
      <c r="B53" s="22" t="s">
        <v>1656</v>
      </c>
      <c r="C53" s="22" t="e">
        <f t="array" aca="1" ref="C53" ca="1">_xludf.XLOOKUP(A53,'Batch || Working'!$C$2:$C$438,'Batch || Working'!$E$2:$E$438)</f>
        <v>#NAME?</v>
      </c>
    </row>
    <row r="54" spans="1:3" ht="13">
      <c r="A54" s="22" t="s">
        <v>856</v>
      </c>
      <c r="B54" s="22" t="s">
        <v>1905</v>
      </c>
      <c r="C54" s="22" t="e">
        <f t="array" aca="1" ref="C54" ca="1">_xludf.XLOOKUP(A54,'Batch || Working'!$C$2:$C$438,'Batch || Working'!$E$2:$E$438)</f>
        <v>#NAME?</v>
      </c>
    </row>
    <row r="55" spans="1:3" ht="13">
      <c r="A55" s="22" t="s">
        <v>859</v>
      </c>
      <c r="B55" s="22" t="s">
        <v>1790</v>
      </c>
      <c r="C55" s="22" t="e">
        <f t="array" aca="1" ref="C55" ca="1">_xludf.XLOOKUP(A55,'Batch || Working'!$C$2:$C$438,'Batch || Working'!$E$2:$E$438)</f>
        <v>#NAME?</v>
      </c>
    </row>
    <row r="56" spans="1:3" ht="13">
      <c r="A56" s="22" t="s">
        <v>723</v>
      </c>
      <c r="B56" s="22" t="s">
        <v>724</v>
      </c>
      <c r="C56" s="22" t="e">
        <f t="array" aca="1" ref="C56" ca="1">_xludf.XLOOKUP(A56,'Batch || Working'!$C$2:$C$438,'Batch || Working'!$E$2:$E$438)</f>
        <v>#NAME?</v>
      </c>
    </row>
    <row r="57" spans="1:3" ht="13">
      <c r="A57" s="22" t="s">
        <v>949</v>
      </c>
      <c r="B57" s="22" t="s">
        <v>1662</v>
      </c>
      <c r="C57" s="22" t="e">
        <f t="array" aca="1" ref="C57" ca="1">_xludf.XLOOKUP(A57,'Batch || Working'!$C$2:$C$438,'Batch || Working'!$E$2:$E$438)</f>
        <v>#NAME?</v>
      </c>
    </row>
    <row r="58" spans="1:3" ht="13">
      <c r="A58" s="22" t="s">
        <v>968</v>
      </c>
      <c r="B58" s="22" t="s">
        <v>1862</v>
      </c>
      <c r="C58" s="22" t="e">
        <f t="array" aca="1" ref="C58" ca="1">_xludf.XLOOKUP(A58,'Batch || Working'!$C$2:$C$438,'Batch || Working'!$E$2:$E$438)</f>
        <v>#NAME?</v>
      </c>
    </row>
    <row r="59" spans="1:3" ht="13">
      <c r="A59" s="145" t="s">
        <v>973</v>
      </c>
      <c r="B59" s="145" t="s">
        <v>1877</v>
      </c>
      <c r="C59" s="145" t="e">
        <f t="array" aca="1" ref="C59" ca="1">_xludf.XLOOKUP(A59,'Batch || Working'!$C$2:$C$438,'Batch || Working'!$E$2:$E$438)</f>
        <v>#NAME?</v>
      </c>
    </row>
    <row r="60" spans="1:3" ht="13">
      <c r="A60" s="22" t="s">
        <v>298</v>
      </c>
      <c r="B60" s="22" t="s">
        <v>726</v>
      </c>
      <c r="C60" s="22" t="e">
        <f t="array" aca="1" ref="C60" ca="1">_xludf.XLOOKUP(A60,'Batch || Working'!$C$2:$C$438,'Batch || Working'!$E$2:$E$438)</f>
        <v>#NAME?</v>
      </c>
    </row>
    <row r="61" spans="1:3" ht="13">
      <c r="A61" s="22" t="s">
        <v>992</v>
      </c>
      <c r="B61" s="22" t="s">
        <v>1797</v>
      </c>
      <c r="C61" s="22" t="e">
        <f t="array" aca="1" ref="C61" ca="1">_xludf.XLOOKUP(A61,'Batch || Working'!$C$2:$C$438,'Batch || Working'!$E$2:$E$438)</f>
        <v>#NAME?</v>
      </c>
    </row>
    <row r="62" spans="1:3" ht="13">
      <c r="A62" s="22" t="s">
        <v>1019</v>
      </c>
      <c r="B62" s="22" t="s">
        <v>1800</v>
      </c>
      <c r="C62" s="22" t="e">
        <f t="array" aca="1" ref="C62" ca="1">_xludf.XLOOKUP(A62,'Batch || Working'!$C$2:$C$438,'Batch || Working'!$E$2:$E$438)</f>
        <v>#NAME?</v>
      </c>
    </row>
    <row r="63" spans="1:3" ht="13">
      <c r="A63" s="22" t="s">
        <v>1066</v>
      </c>
      <c r="B63" s="22" t="s">
        <v>1671</v>
      </c>
      <c r="C63" s="22" t="e">
        <f t="array" aca="1" ref="C63" ca="1">_xludf.XLOOKUP(A63,'Batch || Working'!$C$2:$C$438,'Batch || Working'!$E$2:$E$438)</f>
        <v>#NAME?</v>
      </c>
    </row>
    <row r="64" spans="1:3" ht="13">
      <c r="A64" s="22" t="s">
        <v>1087</v>
      </c>
      <c r="B64" s="22" t="s">
        <v>1676</v>
      </c>
      <c r="C64" s="22" t="e">
        <f t="array" aca="1" ref="C64" ca="1">_xludf.XLOOKUP(A64,'Batch || Working'!$C$2:$C$438,'Batch || Working'!$E$2:$E$438)</f>
        <v>#NAME?</v>
      </c>
    </row>
    <row r="65" spans="1:3" ht="13">
      <c r="A65" s="22" t="s">
        <v>1090</v>
      </c>
      <c r="B65" s="22" t="s">
        <v>1909</v>
      </c>
      <c r="C65" s="22" t="e">
        <f t="array" aca="1" ref="C65" ca="1">_xludf.XLOOKUP(A65,'Batch || Working'!$C$2:$C$438,'Batch || Working'!$E$2:$E$438)</f>
        <v>#NAME?</v>
      </c>
    </row>
    <row r="66" spans="1:3" ht="13">
      <c r="A66" s="22" t="s">
        <v>1093</v>
      </c>
      <c r="B66" s="22" t="s">
        <v>1677</v>
      </c>
      <c r="C66" s="22" t="e">
        <f t="array" aca="1" ref="C66" ca="1">_xludf.XLOOKUP(A66,'Batch || Working'!$C$2:$C$438,'Batch || Working'!$E$2:$E$438)</f>
        <v>#NAME?</v>
      </c>
    </row>
    <row r="67" spans="1:3" ht="13">
      <c r="A67" s="22" t="s">
        <v>1115</v>
      </c>
      <c r="B67" s="22" t="s">
        <v>1804</v>
      </c>
      <c r="C67" s="22" t="e">
        <f t="array" aca="1" ref="C67" ca="1">_xludf.XLOOKUP(A67,'Batch || Working'!$C$2:$C$438,'Batch || Working'!$E$2:$E$438)</f>
        <v>#NAME?</v>
      </c>
    </row>
    <row r="68" spans="1:3" ht="13">
      <c r="A68" s="22" t="s">
        <v>306</v>
      </c>
      <c r="B68" s="22" t="s">
        <v>1679</v>
      </c>
      <c r="C68" s="22" t="e">
        <f t="array" aca="1" ref="C68" ca="1">_xludf.XLOOKUP(A68,'Batch || Working'!$C$2:$C$438,'Batch || Working'!$E$2:$E$438)</f>
        <v>#NAME?</v>
      </c>
    </row>
    <row r="69" spans="1:3" ht="13">
      <c r="A69" s="22" t="s">
        <v>1128</v>
      </c>
      <c r="B69" s="22" t="s">
        <v>1682</v>
      </c>
      <c r="C69" s="22" t="e">
        <f t="array" aca="1" ref="C69" ca="1">_xludf.XLOOKUP(A69,'Batch || Working'!$C$2:$C$438,'Batch || Working'!$E$2:$E$438)</f>
        <v>#NAME?</v>
      </c>
    </row>
    <row r="70" spans="1:3" ht="13">
      <c r="A70" s="22" t="s">
        <v>309</v>
      </c>
      <c r="B70" s="22" t="s">
        <v>1851</v>
      </c>
      <c r="C70" s="22" t="e">
        <f t="array" aca="1" ref="C70" ca="1">_xludf.XLOOKUP(A70,'Batch || Working'!$C$2:$C$438,'Batch || Working'!$E$2:$E$438)</f>
        <v>#NAME?</v>
      </c>
    </row>
    <row r="71" spans="1:3" ht="13">
      <c r="A71" s="22" t="s">
        <v>1138</v>
      </c>
      <c r="B71" s="22" t="s">
        <v>1684</v>
      </c>
      <c r="C71" s="22" t="e">
        <f t="array" aca="1" ref="C71" ca="1">_xludf.XLOOKUP(A71,'Batch || Working'!$C$2:$C$438,'Batch || Working'!$E$2:$E$438)</f>
        <v>#NAME?</v>
      </c>
    </row>
    <row r="72" spans="1:3" ht="13">
      <c r="A72" s="145" t="s">
        <v>1153</v>
      </c>
      <c r="B72" s="145" t="s">
        <v>1878</v>
      </c>
      <c r="C72" s="145" t="e">
        <f t="array" aca="1" ref="C72" ca="1">_xludf.XLOOKUP(A72,'Batch || Working'!$C$2:$C$438,'Batch || Working'!$E$2:$E$438)</f>
        <v>#NAME?</v>
      </c>
    </row>
    <row r="73" spans="1:3" ht="13">
      <c r="A73" s="22" t="s">
        <v>1172</v>
      </c>
      <c r="B73" s="22" t="s">
        <v>1687</v>
      </c>
      <c r="C73" s="22" t="e">
        <f t="array" aca="1" ref="C73" ca="1">_xludf.XLOOKUP(A73,'Batch || Working'!$C$2:$C$438,'Batch || Working'!$E$2:$E$438)</f>
        <v>#NAME?</v>
      </c>
    </row>
    <row r="74" spans="1:3" ht="13">
      <c r="A74" s="22" t="s">
        <v>316</v>
      </c>
      <c r="B74" s="22" t="s">
        <v>1865</v>
      </c>
      <c r="C74" s="22" t="e">
        <f t="array" aca="1" ref="C74" ca="1">_xludf.XLOOKUP(A74,'Batch || Working'!$C$2:$C$438,'Batch || Working'!$E$2:$E$438)</f>
        <v>#NAME?</v>
      </c>
    </row>
    <row r="75" spans="1:3" ht="13">
      <c r="A75" s="22" t="s">
        <v>1182</v>
      </c>
      <c r="B75" s="22" t="s">
        <v>1688</v>
      </c>
      <c r="C75" s="22" t="e">
        <f t="array" aca="1" ref="C75" ca="1">_xludf.XLOOKUP(A75,'Batch || Working'!$C$2:$C$438,'Batch || Working'!$E$2:$E$438)</f>
        <v>#NAME?</v>
      </c>
    </row>
    <row r="76" spans="1:3" ht="13">
      <c r="A76" s="22" t="s">
        <v>1185</v>
      </c>
      <c r="B76" s="22" t="s">
        <v>1853</v>
      </c>
      <c r="C76" s="22" t="e">
        <f t="array" aca="1" ref="C76" ca="1">_xludf.XLOOKUP(A76,'Batch || Working'!$C$2:$C$438,'Batch || Working'!$E$2:$E$438)</f>
        <v>#NAME?</v>
      </c>
    </row>
    <row r="77" spans="1:3" ht="13">
      <c r="A77" s="22" t="s">
        <v>862</v>
      </c>
      <c r="B77" s="22" t="s">
        <v>1692</v>
      </c>
      <c r="C77" s="22" t="e">
        <f t="array" aca="1" ref="C77" ca="1">_xludf.XLOOKUP(A77,'Batch || Working'!$C$2:$C$438,'Batch || Working'!$E$2:$E$438)</f>
        <v>#NAME?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Y71"/>
  <sheetViews>
    <sheetView workbookViewId="0"/>
  </sheetViews>
  <sheetFormatPr defaultColWidth="14.3984375" defaultRowHeight="15.75" customHeight="1"/>
  <cols>
    <col min="2" max="2" width="29.3984375" customWidth="1"/>
    <col min="3" max="3" width="33.8984375" customWidth="1"/>
  </cols>
  <sheetData>
    <row r="1" spans="1:3" ht="14.25" customHeight="1">
      <c r="A1" s="148" t="s">
        <v>176</v>
      </c>
      <c r="B1" s="148" t="s">
        <v>177</v>
      </c>
      <c r="C1" s="104" t="s">
        <v>364</v>
      </c>
    </row>
    <row r="2" spans="1:3" ht="13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3">
      <c r="A3" s="145" t="s">
        <v>1264</v>
      </c>
      <c r="B3" s="145" t="s">
        <v>1911</v>
      </c>
      <c r="C3" s="145" t="e">
        <f t="array" aca="1" ref="C3" ca="1">_xludf.XLOOKUP(A3,'Batch || Working'!$C$2:$C$438,'Batch || Working'!$E$2:$E$438)</f>
        <v>#NAME?</v>
      </c>
    </row>
    <row r="4" spans="1:3" ht="13">
      <c r="A4" s="103" t="s">
        <v>1277</v>
      </c>
      <c r="B4" s="22" t="str">
        <f>VLOOKUP(A4,AIAM!A:C,2,FALSE)</f>
        <v>AYUSH BANSAL</v>
      </c>
      <c r="C4" s="22" t="e">
        <f ca="1">VLOOKUP(A4,AIAM!A:C,3,FALSE)</f>
        <v>#NAME?</v>
      </c>
    </row>
    <row r="5" spans="1:3" ht="13">
      <c r="A5" s="145" t="s">
        <v>1292</v>
      </c>
      <c r="B5" s="145" t="s">
        <v>1912</v>
      </c>
      <c r="C5" s="145" t="e">
        <f t="array" aca="1" ref="C5" ca="1">_xludf.XLOOKUP(A5,'Batch || Working'!$C$2:$C$438,'Batch || Working'!$E$2:$E$438)</f>
        <v>#NAME?</v>
      </c>
    </row>
    <row r="6" spans="1:3" ht="13">
      <c r="A6" s="145" t="s">
        <v>1295</v>
      </c>
      <c r="B6" s="145" t="s">
        <v>1573</v>
      </c>
      <c r="C6" s="145" t="e">
        <f t="array" aca="1" ref="C6" ca="1">_xludf.XLOOKUP(A6,'Batch || Working'!$C$2:$C$438,'Batch || Working'!$E$2:$E$438)</f>
        <v>#NAME?</v>
      </c>
    </row>
    <row r="7" spans="1:3" ht="13">
      <c r="A7" s="145" t="s">
        <v>1298</v>
      </c>
      <c r="B7" s="145" t="s">
        <v>1574</v>
      </c>
      <c r="C7" s="145" t="e">
        <f t="array" aca="1" ref="C7" ca="1">_xludf.XLOOKUP(A7,'Batch || Working'!$C$2:$C$438,'Batch || Working'!$E$2:$E$438)</f>
        <v>#NAME?</v>
      </c>
    </row>
    <row r="8" spans="1:3" ht="13">
      <c r="A8" s="103" t="s">
        <v>1312</v>
      </c>
      <c r="B8" s="22" t="str">
        <f>VLOOKUP(A8,AIAM!A:C,2,FALSE)</f>
        <v>K R AJAYKUMAR</v>
      </c>
      <c r="C8" s="22" t="e">
        <f ca="1">VLOOKUP(A8,AIAM!A:C,3,FALSE)</f>
        <v>#NAME?</v>
      </c>
    </row>
    <row r="9" spans="1:3" ht="13">
      <c r="A9" s="103" t="s">
        <v>1318</v>
      </c>
      <c r="B9" s="22" t="str">
        <f>VLOOKUP(A9,AIAM!A:C,2,FALSE)</f>
        <v>KAKILETI SRI RISHITHA</v>
      </c>
      <c r="C9" s="22" t="e">
        <f ca="1">VLOOKUP(A9,AIAM!A:C,3,FALSE)</f>
        <v>#NAME?</v>
      </c>
    </row>
    <row r="10" spans="1:3" ht="13">
      <c r="A10" s="103" t="s">
        <v>1345</v>
      </c>
      <c r="B10" s="22" t="str">
        <f>VLOOKUP(A10,AIAM!A:C,2,FALSE)</f>
        <v>RAGUL ADITHYA M</v>
      </c>
      <c r="C10" s="22" t="e">
        <f ca="1">VLOOKUP(A10,AIAM!A:C,3,FALSE)</f>
        <v>#NAME?</v>
      </c>
    </row>
    <row r="11" spans="1:3" ht="13">
      <c r="A11" s="145" t="s">
        <v>1363</v>
      </c>
      <c r="B11" s="145" t="s">
        <v>1589</v>
      </c>
      <c r="C11" s="145" t="e">
        <f t="array" aca="1" ref="C11" ca="1">_xludf.XLOOKUP(A11,'Batch || Working'!$C$2:$C$438,'Batch || Working'!$E$2:$E$438)</f>
        <v>#NAME?</v>
      </c>
    </row>
    <row r="12" spans="1:3" ht="13">
      <c r="A12" s="103" t="s">
        <v>187</v>
      </c>
      <c r="B12" s="22" t="str">
        <f>VLOOKUP(A12,AIAM!A:C,2,FALSE)</f>
        <v>THAMMA VENKATA SAI MANOHAR</v>
      </c>
      <c r="C12" s="22" t="e">
        <f ca="1">VLOOKUP(A12,AIAM!A:C,3,FALSE)</f>
        <v>#NAME?</v>
      </c>
    </row>
    <row r="13" spans="1:3" ht="13">
      <c r="A13" s="145" t="s">
        <v>188</v>
      </c>
      <c r="B13" s="145" t="s">
        <v>1594</v>
      </c>
      <c r="C13" s="145" t="e">
        <f t="array" aca="1" ref="C13" ca="1">_xludf.XLOOKUP(A13,'Batch || Working'!$C$2:$C$438,'Batch || Working'!$E$2:$E$438)</f>
        <v>#NAME?</v>
      </c>
    </row>
    <row r="14" spans="1:3" ht="13">
      <c r="A14" s="103" t="s">
        <v>1388</v>
      </c>
      <c r="B14" s="22" t="str">
        <f>VLOOKUP(A14,AIAM!A:C,2,FALSE)</f>
        <v>YADAVALLI SATYA VENKATA ANITHA</v>
      </c>
      <c r="C14" s="22" t="e">
        <f ca="1">VLOOKUP(A14,AIAM!A:C,3,FALSE)</f>
        <v>#NAME?</v>
      </c>
    </row>
    <row r="15" spans="1:3" ht="13">
      <c r="A15" s="145" t="s">
        <v>1036</v>
      </c>
      <c r="B15" s="145" t="s">
        <v>1700</v>
      </c>
      <c r="C15" s="145" t="e">
        <f t="array" aca="1" ref="C15" ca="1">_xludf.XLOOKUP(A15,'Batch || Working'!$C$2:$C$438,'Batch || Working'!$E$2:$E$438)</f>
        <v>#NAME?</v>
      </c>
    </row>
    <row r="16" spans="1:3" ht="13">
      <c r="A16" s="22" t="s">
        <v>696</v>
      </c>
      <c r="B16" s="22" t="s">
        <v>1915</v>
      </c>
      <c r="C16" s="22" t="e">
        <f t="array" aca="1" ref="C16" ca="1">_xludf.XLOOKUP(A16,'Batch || Working'!$C$2:$C$438,'Batch || Working'!$E$2:$E$438)</f>
        <v>#NAME?</v>
      </c>
    </row>
    <row r="17" spans="1:25" ht="13">
      <c r="A17" s="145" t="s">
        <v>212</v>
      </c>
      <c r="B17" s="145" t="s">
        <v>1751</v>
      </c>
      <c r="C17" s="145" t="e">
        <f t="array" aca="1" ref="C17" ca="1">_xludf.XLOOKUP(A17,'Batch || Working'!$C$2:$C$438,'Batch || Working'!$E$2:$E$438)</f>
        <v>#NAME?</v>
      </c>
    </row>
    <row r="18" spans="1:25" ht="13">
      <c r="A18" s="103" t="s">
        <v>548</v>
      </c>
      <c r="B18" s="22" t="str">
        <f>VLOOKUP(A18,AIAM!A:C,2,FALSE)</f>
        <v>SHREYA AGRAWAL</v>
      </c>
      <c r="C18" s="22" t="e">
        <f ca="1">VLOOKUP(A18,AIAM!A:C,3,FALSE)</f>
        <v>#NAME?</v>
      </c>
    </row>
    <row r="19" spans="1:25" ht="13">
      <c r="A19" s="103" t="s">
        <v>1252</v>
      </c>
      <c r="B19" s="22" t="str">
        <f>VLOOKUP(A19,AIAM!A:C,2,FALSE)</f>
        <v>VATSAL JAISWAL</v>
      </c>
      <c r="C19" s="22" t="e">
        <f ca="1">VLOOKUP(A19,AIAM!A:C,3,FALSE)</f>
        <v>#NAME?</v>
      </c>
    </row>
    <row r="20" spans="1:25" ht="13">
      <c r="A20" s="22" t="s">
        <v>711</v>
      </c>
      <c r="B20" s="22" t="s">
        <v>1604</v>
      </c>
      <c r="C20" s="22" t="e">
        <f t="array" aca="1" ref="C20" ca="1">_xludf.XLOOKUP(A20,'Batch || Working'!$C$2:$C$438,'Batch || Working'!$E$2:$E$438)</f>
        <v>#NAME?</v>
      </c>
    </row>
    <row r="21" spans="1:25" ht="13">
      <c r="A21" s="145" t="s">
        <v>876</v>
      </c>
      <c r="B21" s="145" t="s">
        <v>1706</v>
      </c>
      <c r="C21" s="145" t="e">
        <f t="array" aca="1" ref="C21" ca="1">_xludf.XLOOKUP(A21,'Batch || Working'!$C$2:$C$438,'Batch || Working'!$E$2:$E$438)</f>
        <v>#NAME?</v>
      </c>
    </row>
    <row r="22" spans="1:25" ht="13">
      <c r="A22" s="145" t="s">
        <v>882</v>
      </c>
      <c r="B22" s="145" t="s">
        <v>1608</v>
      </c>
      <c r="C22" s="145" t="e">
        <f t="array" aca="1" ref="C22" ca="1">_xludf.XLOOKUP(A22,'Batch || Working'!$C$2:$C$438,'Batch || Working'!$E$2:$E$438)</f>
        <v>#NAME?</v>
      </c>
    </row>
    <row r="23" spans="1:25" ht="13">
      <c r="A23" s="103" t="s">
        <v>220</v>
      </c>
      <c r="B23" s="22" t="str">
        <f>VLOOKUP(A23,AIAM!A:C,2,FALSE)</f>
        <v>K ROHAN RAJ Kumar</v>
      </c>
      <c r="C23" s="22" t="e">
        <f ca="1">VLOOKUP(A23,AIAM!A:C,3,FALSE)</f>
        <v>#NAME?</v>
      </c>
    </row>
    <row r="24" spans="1:25" ht="13">
      <c r="A24" s="145" t="s">
        <v>699</v>
      </c>
      <c r="B24" s="145" t="s">
        <v>1610</v>
      </c>
      <c r="C24" s="145" t="e">
        <f t="array" aca="1" ref="C24" ca="1">_xludf.XLOOKUP(A24,'Batch || Working'!$C$2:$C$438,'Batch || Working'!$E$2:$E$438)</f>
        <v>#NAME?</v>
      </c>
    </row>
    <row r="25" spans="1:25" ht="13">
      <c r="A25" s="103" t="s">
        <v>226</v>
      </c>
      <c r="B25" s="22" t="str">
        <f>VLOOKUP(A25,AIAM!A:C,2,FALSE)</f>
        <v>AYUSH SINGH</v>
      </c>
      <c r="C25" s="22" t="e">
        <f ca="1">VLOOKUP(A25,AIAM!A:C,3,FALSE)</f>
        <v>#NAME?</v>
      </c>
    </row>
    <row r="26" spans="1:25" ht="13">
      <c r="A26" s="145" t="s">
        <v>229</v>
      </c>
      <c r="B26" s="145" t="s">
        <v>1614</v>
      </c>
      <c r="C26" s="145" t="e">
        <f t="array" aca="1" ref="C26" ca="1">_xludf.XLOOKUP(A26,'Batch || Working'!$C$2:$C$438,'Batch || Working'!$E$2:$E$438)</f>
        <v>#NAME?</v>
      </c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5" ht="13">
      <c r="A27" s="145" t="s">
        <v>398</v>
      </c>
      <c r="B27" s="145" t="s">
        <v>1884</v>
      </c>
      <c r="C27" s="145" t="e">
        <f t="array" aca="1" ref="C27" ca="1">_xludf.XLOOKUP(A27,'Batch || Working'!$C$2:$C$438,'Batch || Working'!$E$2:$E$438)</f>
        <v>#NAME?</v>
      </c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5" ht="14.25" customHeight="1">
      <c r="A28" s="145" t="s">
        <v>234</v>
      </c>
      <c r="B28" s="145" t="s">
        <v>1616</v>
      </c>
      <c r="C28" s="145" t="e">
        <f t="array" aca="1" ref="C28" ca="1">_xludf.XLOOKUP(A28,'Batch || Working'!$C$2:$C$438,'Batch || Working'!$E$2:$E$438)</f>
        <v>#NAME?</v>
      </c>
    </row>
    <row r="29" spans="1:25" ht="14.25" customHeight="1">
      <c r="A29" s="103" t="s">
        <v>235</v>
      </c>
      <c r="B29" s="22" t="str">
        <f>VLOOKUP(A29,AIAM!A:C,2,FALSE)</f>
        <v>ISHA JAISWAL</v>
      </c>
      <c r="C29" s="22" t="e">
        <f ca="1">VLOOKUP(A29,AIAM!A:C,3,FALSE)</f>
        <v>#NAME?</v>
      </c>
    </row>
    <row r="30" spans="1:25" ht="13">
      <c r="A30" s="145" t="s">
        <v>420</v>
      </c>
      <c r="B30" s="145" t="s">
        <v>1619</v>
      </c>
      <c r="C30" s="145" t="e">
        <f t="array" aca="1" ref="C30" ca="1">_xludf.XLOOKUP(A30,'Batch || Working'!$C$2:$C$438,'Batch || Working'!$E$2:$E$438)</f>
        <v>#NAME?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5" ht="13">
      <c r="A31" s="145" t="s">
        <v>237</v>
      </c>
      <c r="B31" s="145" t="s">
        <v>1833</v>
      </c>
      <c r="C31" s="145" t="e">
        <f t="array" aca="1" ref="C31" ca="1">_xludf.XLOOKUP(A31,'Batch || Working'!$C$2:$C$438,'Batch || Working'!$E$2:$E$438)</f>
        <v>#NAME?</v>
      </c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</row>
    <row r="32" spans="1:25" ht="13">
      <c r="A32" s="145" t="s">
        <v>241</v>
      </c>
      <c r="B32" s="145" t="s">
        <v>1620</v>
      </c>
      <c r="C32" s="145" t="e">
        <f t="array" aca="1" ref="C32" ca="1">_xludf.XLOOKUP(A32,'Batch || Working'!$C$2:$C$438,'Batch || Working'!$E$2:$E$438)</f>
        <v>#NAME?</v>
      </c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ht="13">
      <c r="A33" s="103" t="s">
        <v>454</v>
      </c>
      <c r="B33" s="22" t="str">
        <f>VLOOKUP(A33,AIAM!A:C,2,FALSE)</f>
        <v>MORAJKER MANTHAJ RAMDAS</v>
      </c>
      <c r="C33" s="22" t="e">
        <f ca="1">VLOOKUP(A33,AIAM!A:C,3,FALSE)</f>
        <v>#NAME?</v>
      </c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</row>
    <row r="34" spans="1:25" ht="13">
      <c r="A34" s="103" t="s">
        <v>464</v>
      </c>
      <c r="B34" s="22" t="str">
        <f>VLOOKUP(A34,AIAM!A:C,2,FALSE)</f>
        <v>PALLAVI KUMARI</v>
      </c>
      <c r="C34" s="22" t="e">
        <f ca="1">VLOOKUP(A34,AIAM!A:C,3,FALSE)</f>
        <v>#NAME?</v>
      </c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</row>
    <row r="35" spans="1:25" ht="13">
      <c r="A35" s="145" t="s">
        <v>485</v>
      </c>
      <c r="B35" s="145" t="s">
        <v>1722</v>
      </c>
      <c r="C35" s="145" t="e">
        <f t="array" aca="1" ref="C35" ca="1">_xludf.XLOOKUP(A35,'Batch || Working'!$C$2:$C$438,'Batch || Working'!$E$2:$E$438)</f>
        <v>#NAME?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</row>
    <row r="36" spans="1:25" ht="13">
      <c r="A36" s="103" t="s">
        <v>506</v>
      </c>
      <c r="B36" s="22" t="str">
        <f>VLOOKUP(A36,AIAM!A:C,2,FALSE)</f>
        <v>VAIBHAV CHAUHAN</v>
      </c>
      <c r="C36" s="22" t="e">
        <f ca="1">VLOOKUP(A36,AIAM!A:C,3,FALSE)</f>
        <v>#NAME?</v>
      </c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</row>
    <row r="37" spans="1:25" ht="13">
      <c r="A37" s="22" t="s">
        <v>255</v>
      </c>
      <c r="B37" s="22" t="s">
        <v>1629</v>
      </c>
      <c r="C37" s="22" t="e">
        <f t="array" aca="1" ref="C37" ca="1">_xludf.XLOOKUP(A37,'Batch || Working'!$C$2:$C$438,'Batch || Working'!$E$2:$E$438)</f>
        <v>#NAME?</v>
      </c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</row>
    <row r="38" spans="1:25" ht="14.25" customHeight="1">
      <c r="A38" s="103" t="s">
        <v>616</v>
      </c>
      <c r="B38" s="22" t="str">
        <f>VLOOKUP(A38,AIAM!A:C,2,FALSE)</f>
        <v>P SHREYA SARBANI</v>
      </c>
      <c r="C38" s="22" t="e">
        <f ca="1">VLOOKUP(A38,AIAM!A:C,3,FALSE)</f>
        <v>#NAME?</v>
      </c>
    </row>
    <row r="39" spans="1:25" ht="14.25" customHeight="1">
      <c r="A39" s="145" t="s">
        <v>623</v>
      </c>
      <c r="B39" s="145" t="s">
        <v>1636</v>
      </c>
      <c r="C39" s="145" t="e">
        <f t="array" aca="1" ref="C39" ca="1">_xludf.XLOOKUP(A39,'Batch || Working'!$C$2:$C$438,'Batch || Working'!$E$2:$E$438)</f>
        <v>#NAME?</v>
      </c>
    </row>
    <row r="40" spans="1:25" ht="14.25" customHeight="1">
      <c r="A40" s="103" t="s">
        <v>653</v>
      </c>
      <c r="B40" s="22" t="str">
        <f>VLOOKUP(A40,AIAM!A:C,2,FALSE)</f>
        <v>SUBHADIP DAS</v>
      </c>
      <c r="C40" s="22" t="e">
        <f ca="1">VLOOKUP(A40,AIAM!A:C,3,FALSE)</f>
        <v>#NAME?</v>
      </c>
    </row>
    <row r="41" spans="1:25" ht="14.25" customHeight="1">
      <c r="A41" s="22" t="s">
        <v>755</v>
      </c>
      <c r="B41" s="22" t="s">
        <v>1643</v>
      </c>
      <c r="C41" s="22" t="e">
        <f t="array" aca="1" ref="C41" ca="1">_xludf.XLOOKUP(A41,'Batch || Working'!$C$2:$C$438,'Batch || Working'!$E$2:$E$438)</f>
        <v>#NAME?</v>
      </c>
    </row>
    <row r="42" spans="1:25" ht="13">
      <c r="A42" s="22" t="s">
        <v>758</v>
      </c>
      <c r="B42" s="22" t="s">
        <v>1644</v>
      </c>
      <c r="C42" s="22" t="e">
        <f t="array" aca="1" ref="C42" ca="1">_xludf.XLOOKUP(A42,'Batch || Working'!$C$2:$C$438,'Batch || Working'!$E$2:$E$438)</f>
        <v>#NAME?</v>
      </c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ht="13">
      <c r="A43" s="103" t="s">
        <v>268</v>
      </c>
      <c r="B43" s="22" t="str">
        <f>VLOOKUP(A43,AIAM!A:C,2,FALSE)</f>
        <v>GAJAKOSH YASH DEEPAK</v>
      </c>
      <c r="C43" s="22" t="e">
        <f ca="1">VLOOKUP(A43,AIAM!A:C,3,FALSE)</f>
        <v>#NAME?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ht="13">
      <c r="A44" s="103" t="s">
        <v>793</v>
      </c>
      <c r="B44" s="22" t="str">
        <f>VLOOKUP(A44,AIAM!A:C,2,FALSE)</f>
        <v>P K ANANYA</v>
      </c>
      <c r="C44" s="22" t="e">
        <f ca="1">VLOOKUP(A44,AIAM!A:C,3,FALSE)</f>
        <v>#NAME?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ht="13">
      <c r="A45" s="145" t="s">
        <v>277</v>
      </c>
      <c r="B45" s="145" t="s">
        <v>1785</v>
      </c>
      <c r="C45" s="145" t="e">
        <f t="array" aca="1" ref="C45" ca="1">_xludf.XLOOKUP(A45,'Batch || Working'!$C$2:$C$438,'Batch || Working'!$E$2:$E$438)</f>
        <v>#NAME?</v>
      </c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ht="13">
      <c r="A46" s="103" t="s">
        <v>813</v>
      </c>
      <c r="B46" s="22" t="str">
        <f>VLOOKUP(A46,AIAM!A:C,2,FALSE)</f>
        <v>RAUT GAURAV BABULAL</v>
      </c>
      <c r="C46" s="22" t="e">
        <f ca="1">VLOOKUP(A46,AIAM!A:C,3,FALSE)</f>
        <v>#NAME?</v>
      </c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ht="13">
      <c r="A47" s="145" t="s">
        <v>908</v>
      </c>
      <c r="B47" s="145" t="s">
        <v>1792</v>
      </c>
      <c r="C47" s="145" t="e">
        <f t="array" aca="1" ref="C47" ca="1">_xludf.XLOOKUP(A47,'Batch || Working'!$C$2:$C$438,'Batch || Working'!$E$2:$E$438)</f>
        <v>#NAME?</v>
      </c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ht="13">
      <c r="A48" s="22" t="s">
        <v>284</v>
      </c>
      <c r="B48" s="22" t="s">
        <v>1892</v>
      </c>
      <c r="C48" s="22" t="e">
        <f t="array" aca="1" ref="C48" ca="1">_xludf.XLOOKUP(A48,'Batch || Working'!$C$2:$C$438,'Batch || Working'!$E$2:$E$438)</f>
        <v>#NAME?</v>
      </c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ht="13">
      <c r="A49" s="145" t="s">
        <v>285</v>
      </c>
      <c r="B49" s="145" t="s">
        <v>1843</v>
      </c>
      <c r="C49" s="145" t="e">
        <f t="array" aca="1" ref="C49" ca="1">_xludf.XLOOKUP(A49,'Batch || Working'!$C$2:$C$438,'Batch || Working'!$E$2:$E$438)</f>
        <v>#NAME?</v>
      </c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13">
      <c r="A50" s="145" t="s">
        <v>286</v>
      </c>
      <c r="B50" s="145" t="s">
        <v>1794</v>
      </c>
      <c r="C50" s="145" t="e">
        <f t="array" aca="1" ref="C50" ca="1">_xludf.XLOOKUP(A50,'Batch || Working'!$C$2:$C$438,'Batch || Working'!$E$2:$E$438)</f>
        <v>#NAME?</v>
      </c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ht="13">
      <c r="A51" s="103" t="s">
        <v>287</v>
      </c>
      <c r="B51" s="22" t="str">
        <f>VLOOKUP(A51,AIAM!A:C,2,FALSE)</f>
        <v>ANURAG RAJ</v>
      </c>
      <c r="C51" s="22" t="e">
        <f ca="1">VLOOKUP(A51,AIAM!A:C,3,FALSE)</f>
        <v>#NAME?</v>
      </c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13">
      <c r="A52" s="145" t="s">
        <v>943</v>
      </c>
      <c r="B52" s="145" t="s">
        <v>1795</v>
      </c>
      <c r="C52" s="145" t="e">
        <f t="array" aca="1" ref="C52" ca="1">_xludf.XLOOKUP(A52,'Batch || Working'!$C$2:$C$438,'Batch || Working'!$E$2:$E$438)</f>
        <v>#NAME?</v>
      </c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1:25" ht="13">
      <c r="A53" s="145" t="s">
        <v>293</v>
      </c>
      <c r="B53" s="145" t="s">
        <v>1845</v>
      </c>
      <c r="C53" s="145" t="e">
        <f t="array" aca="1" ref="C53" ca="1">_xludf.XLOOKUP(A53,'Batch || Working'!$C$2:$C$438,'Batch || Working'!$E$2:$E$438)</f>
        <v>#NAME?</v>
      </c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1:25" ht="13">
      <c r="A54" s="145" t="s">
        <v>295</v>
      </c>
      <c r="B54" s="145" t="s">
        <v>1893</v>
      </c>
      <c r="C54" s="145" t="e">
        <f t="array" aca="1" ref="C54" ca="1">_xludf.XLOOKUP(A54,'Batch || Working'!$C$2:$C$438,'Batch || Working'!$E$2:$E$438)</f>
        <v>#NAME?</v>
      </c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ht="13">
      <c r="A55" s="103" t="s">
        <v>984</v>
      </c>
      <c r="B55" s="22" t="str">
        <f>VLOOKUP(A55,AIAM!A:C,2,FALSE)</f>
        <v>PRIYANNKA T S</v>
      </c>
      <c r="C55" s="22" t="e">
        <f ca="1">VLOOKUP(A55,AIAM!A:C,3,FALSE)</f>
        <v>#NAME?</v>
      </c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ht="13">
      <c r="A56" s="22" t="s">
        <v>997</v>
      </c>
      <c r="B56" s="22" t="s">
        <v>1894</v>
      </c>
      <c r="C56" s="22" t="e">
        <f t="array" aca="1" ref="C56" ca="1">_xludf.XLOOKUP(A56,'Batch || Working'!$C$2:$C$438,'Batch || Working'!$E$2:$E$438)</f>
        <v>#NAME?</v>
      </c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13">
      <c r="A57" s="145" t="s">
        <v>1010</v>
      </c>
      <c r="B57" s="145" t="s">
        <v>1847</v>
      </c>
      <c r="C57" s="145" t="e">
        <f t="array" aca="1" ref="C57" ca="1">_xludf.XLOOKUP(A57,'Batch || Working'!$C$2:$C$438,'Batch || Working'!$E$2:$E$438)</f>
        <v>#NAME?</v>
      </c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1:25" ht="13">
      <c r="A58" s="103" t="s">
        <v>1112</v>
      </c>
      <c r="B58" s="22" t="str">
        <f>VLOOKUP(A58,AIAM!A:C,2,FALSE)</f>
        <v>DEEPANSHU ANAND</v>
      </c>
      <c r="C58" s="22" t="e">
        <f ca="1">VLOOKUP(A58,AIAM!A:C,3,FALSE)</f>
        <v>#NAME?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1:25" ht="13">
      <c r="A59" s="145" t="s">
        <v>308</v>
      </c>
      <c r="B59" s="145" t="s">
        <v>1805</v>
      </c>
      <c r="C59" s="146" t="e">
        <f t="array" aca="1" ref="C59" ca="1">_xludf.XLOOKUP(A59,'Batch || Working'!$C$2:$C$438,'Batch || Working'!$E$2:$E$438)</f>
        <v>#NAME?</v>
      </c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1:25" ht="13">
      <c r="A60" s="145" t="s">
        <v>310</v>
      </c>
      <c r="B60" s="145" t="s">
        <v>1685</v>
      </c>
      <c r="C60" s="145" t="e">
        <f t="array" aca="1" ref="C60" ca="1">_xludf.XLOOKUP(A60,'Batch || Working'!$C$2:$C$438,'Batch || Working'!$E$2:$E$438)</f>
        <v>#NAME?</v>
      </c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ht="13">
      <c r="A61" s="145" t="s">
        <v>1159</v>
      </c>
      <c r="B61" s="145" t="s">
        <v>1739</v>
      </c>
      <c r="C61" s="145" t="e">
        <f t="array" aca="1" ref="C61" ca="1">_xludf.XLOOKUP(A61,'Batch || Working'!$C$2:$C$438,'Batch || Working'!$E$2:$E$438)</f>
        <v>#NAME?</v>
      </c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ht="13">
      <c r="A62" s="103" t="s">
        <v>1191</v>
      </c>
      <c r="B62" s="22" t="str">
        <f>VLOOKUP(A62,AIAM!A:C,2,FALSE)</f>
        <v>SHUBHAM NAHATA</v>
      </c>
      <c r="C62" s="22" t="e">
        <f ca="1">VLOOKUP(A62,AIAM!A:C,3,FALSE)</f>
        <v>#NAME?</v>
      </c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ht="13">
      <c r="A63" s="145" t="s">
        <v>1194</v>
      </c>
      <c r="B63" s="145" t="s">
        <v>1690</v>
      </c>
      <c r="C63" s="145" t="e">
        <f t="array" aca="1" ref="C63" ca="1">_xludf.XLOOKUP(A63,'Batch || Working'!$C$2:$C$438,'Batch || Working'!$E$2:$E$438)</f>
        <v>#NAME?</v>
      </c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</row>
    <row r="64" spans="1:25" ht="13">
      <c r="A64" s="145" t="s">
        <v>1197</v>
      </c>
      <c r="B64" s="145" t="s">
        <v>1742</v>
      </c>
      <c r="C64" s="146" t="e">
        <f t="array" aca="1" ref="C64" ca="1">_xludf.XLOOKUP(A64,'Batch || Working'!$C$2:$C$438,'Batch || Working'!$E$2:$E$438)</f>
        <v>#NAME?</v>
      </c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ht="13">
      <c r="A65" s="103" t="s">
        <v>1200</v>
      </c>
      <c r="B65" s="22" t="str">
        <f>VLOOKUP(A65,AIAM!A:C,2,FALSE)</f>
        <v>YASHWANT SINGH</v>
      </c>
      <c r="C65" s="22" t="e">
        <f ca="1">VLOOKUP(A65,AIAM!A:C,3,FALSE)</f>
        <v>#NAME?</v>
      </c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</row>
    <row r="66" spans="1:25" ht="13"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ht="13"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ht="13"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ht="14.25" customHeight="1"/>
    <row r="70" spans="1:25" ht="14.25" customHeight="1"/>
    <row r="71" spans="1:25" ht="14.25" customHeight="1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00"/>
  <sheetViews>
    <sheetView workbookViewId="0"/>
  </sheetViews>
  <sheetFormatPr defaultColWidth="14.3984375" defaultRowHeight="15.75" customHeight="1"/>
  <cols>
    <col min="1" max="1" width="10.296875" customWidth="1"/>
    <col min="2" max="2" width="31.3984375" customWidth="1"/>
    <col min="3" max="3" width="42.6992187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1267</v>
      </c>
      <c r="B2" s="22" t="s">
        <v>1809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1277</v>
      </c>
      <c r="B3" s="22" t="s">
        <v>1811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1283</v>
      </c>
      <c r="B4" s="22" t="s">
        <v>1571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1312</v>
      </c>
      <c r="B5" s="22" t="s">
        <v>1577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1315</v>
      </c>
      <c r="B6" s="22" t="s">
        <v>1578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1318</v>
      </c>
      <c r="B7" s="22" t="s">
        <v>1579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1331</v>
      </c>
      <c r="B8" s="22" t="s">
        <v>1583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1345</v>
      </c>
      <c r="B9" s="22" t="s">
        <v>1814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1351</v>
      </c>
      <c r="B10" s="22" t="s">
        <v>1585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1366</v>
      </c>
      <c r="B11" s="22" t="s">
        <v>1590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187</v>
      </c>
      <c r="B12" s="22" t="s">
        <v>1592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1388</v>
      </c>
      <c r="B13" s="22" t="s">
        <v>1914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673</v>
      </c>
      <c r="B14" s="22" t="s">
        <v>1697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879</v>
      </c>
      <c r="B15" s="22" t="s">
        <v>1596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548</v>
      </c>
      <c r="B16" s="22" t="s">
        <v>1702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1252</v>
      </c>
      <c r="B17" s="22" t="s">
        <v>1855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885</v>
      </c>
      <c r="B18" s="22" t="s">
        <v>1609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220</v>
      </c>
      <c r="B19" s="22" t="s">
        <v>1882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1046</v>
      </c>
      <c r="B20" s="22" t="s">
        <v>1611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226</v>
      </c>
      <c r="B21" s="22" t="s">
        <v>1856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227</v>
      </c>
      <c r="B22" s="22" t="s">
        <v>1759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384</v>
      </c>
      <c r="B23" s="22" t="s">
        <v>1857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235</v>
      </c>
      <c r="B24" s="22" t="s">
        <v>1885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239</v>
      </c>
      <c r="B25" s="22" t="s">
        <v>1923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444</v>
      </c>
      <c r="B26" s="22" t="s">
        <v>1834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447</v>
      </c>
      <c r="B27" s="22" t="s">
        <v>1886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454</v>
      </c>
      <c r="B28" s="22" t="s">
        <v>1917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464</v>
      </c>
      <c r="B29" s="22" t="s">
        <v>1762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467</v>
      </c>
      <c r="B30" s="22" t="s">
        <v>1924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490</v>
      </c>
      <c r="B31" s="22" t="s">
        <v>1764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506</v>
      </c>
      <c r="B32" s="22" t="s">
        <v>1624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570</v>
      </c>
      <c r="B33" s="22" t="s">
        <v>1628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256</v>
      </c>
      <c r="B34" s="22" t="s">
        <v>1630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583</v>
      </c>
      <c r="B35" s="22" t="s">
        <v>1724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606</v>
      </c>
      <c r="B36" s="22" t="s">
        <v>1633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616</v>
      </c>
      <c r="B37" s="22" t="s">
        <v>1891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262</v>
      </c>
      <c r="B38" s="22" t="s">
        <v>1726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640</v>
      </c>
      <c r="B39" s="22" t="s">
        <v>1925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645</v>
      </c>
      <c r="B40" s="22" t="s">
        <v>1859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653</v>
      </c>
      <c r="B41" s="22" t="s">
        <v>1638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738</v>
      </c>
      <c r="B42" s="22" t="s">
        <v>1729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268</v>
      </c>
      <c r="B43" s="22" t="s">
        <v>1645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793</v>
      </c>
      <c r="B44" s="22" t="s">
        <v>1903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802</v>
      </c>
      <c r="B45" s="22" t="s">
        <v>1651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813</v>
      </c>
      <c r="B46" s="22" t="s">
        <v>1921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816</v>
      </c>
      <c r="B47" s="22" t="s">
        <v>1861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836</v>
      </c>
      <c r="B48" s="22" t="s">
        <v>1655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287</v>
      </c>
      <c r="B49" s="22" t="s">
        <v>1922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290</v>
      </c>
      <c r="B50" s="22" t="s">
        <v>1926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940</v>
      </c>
      <c r="B51" s="22" t="s">
        <v>1927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291</v>
      </c>
      <c r="B52" s="22" t="s">
        <v>1663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976</v>
      </c>
      <c r="B53" s="22" t="s">
        <v>1928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984</v>
      </c>
      <c r="B54" s="22" t="s">
        <v>1907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301</v>
      </c>
      <c r="B55" s="22" t="s">
        <v>1670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1016</v>
      </c>
      <c r="B56" s="22" t="s">
        <v>1849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1022</v>
      </c>
      <c r="B57" s="22" t="s">
        <v>1908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1084</v>
      </c>
      <c r="B58" s="22" t="s">
        <v>1675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1101</v>
      </c>
      <c r="B59" s="22" t="s">
        <v>1803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1106</v>
      </c>
      <c r="B60" s="22" t="s">
        <v>1929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1109</v>
      </c>
      <c r="B61" s="22" t="s">
        <v>1736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1112</v>
      </c>
      <c r="B62" s="22" t="s">
        <v>1737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1120</v>
      </c>
      <c r="B63" s="22" t="s">
        <v>1910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1135</v>
      </c>
      <c r="B64" s="22" t="s">
        <v>1683</v>
      </c>
      <c r="C64" s="22" t="e">
        <f t="array" aca="1" ref="C64" ca="1">_xludf.XLOOKUP(A64,'Batch || Working'!$C$2:$C$438,'Batch || Working'!$E$2:$E$438)</f>
        <v>#NAME?</v>
      </c>
    </row>
    <row r="65" spans="1:9" ht="14.25" customHeight="1">
      <c r="A65" s="22" t="s">
        <v>1145</v>
      </c>
      <c r="B65" s="22" t="s">
        <v>1738</v>
      </c>
      <c r="C65" s="22" t="e">
        <f t="array" aca="1" ref="C65" ca="1">_xludf.XLOOKUP(A65,'Batch || Working'!$C$2:$C$438,'Batch || Working'!$E$2:$E$438)</f>
        <v>#NAME?</v>
      </c>
    </row>
    <row r="66" spans="1:9" ht="14.25" customHeight="1">
      <c r="A66" s="22" t="s">
        <v>312</v>
      </c>
      <c r="B66" s="22" t="s">
        <v>1203</v>
      </c>
      <c r="C66" s="22" t="e">
        <f t="array" aca="1" ref="C66" ca="1">_xludf.XLOOKUP(A66,'Batch || Working'!$C$2:$C$438,'Batch || Working'!$E$2:$E$438)</f>
        <v>#NAME?</v>
      </c>
    </row>
    <row r="67" spans="1:9" ht="14.25" customHeight="1">
      <c r="A67" s="22" t="s">
        <v>1205</v>
      </c>
      <c r="B67" s="22" t="s">
        <v>1206</v>
      </c>
      <c r="C67" s="22" t="e">
        <f t="array" aca="1" ref="C67" ca="1">_xludf.XLOOKUP(A67,'Batch || Working'!$C$2:$C$438,'Batch || Working'!$E$2:$E$438)</f>
        <v>#NAME?</v>
      </c>
    </row>
    <row r="68" spans="1:9" ht="14.25" customHeight="1">
      <c r="A68" s="22" t="s">
        <v>315</v>
      </c>
      <c r="B68" s="22" t="s">
        <v>1741</v>
      </c>
      <c r="C68" s="22" t="e">
        <f t="array" aca="1" ref="C68" ca="1">_xludf.XLOOKUP(A68,'Batch || Working'!$C$2:$C$438,'Batch || Working'!$E$2:$E$438)</f>
        <v>#NAME?</v>
      </c>
    </row>
    <row r="69" spans="1:9" ht="14.25" customHeight="1">
      <c r="A69" s="22" t="s">
        <v>1175</v>
      </c>
      <c r="B69" s="22" t="s">
        <v>1864</v>
      </c>
      <c r="C69" s="22" t="e">
        <f t="array" aca="1" ref="C69" ca="1">_xludf.XLOOKUP(A69,'Batch || Working'!$C$2:$C$438,'Batch || Working'!$E$2:$E$438)</f>
        <v>#NAME?</v>
      </c>
      <c r="I69" s="149"/>
    </row>
    <row r="70" spans="1:9" ht="14.25" customHeight="1">
      <c r="A70" s="22" t="s">
        <v>1191</v>
      </c>
      <c r="B70" s="22" t="s">
        <v>1689</v>
      </c>
      <c r="C70" s="22" t="e">
        <f t="array" aca="1" ref="C70" ca="1">_xludf.XLOOKUP(A70,'Batch || Working'!$C$2:$C$438,'Batch || Working'!$E$2:$E$438)</f>
        <v>#NAME?</v>
      </c>
    </row>
    <row r="71" spans="1:9" ht="14.25" customHeight="1">
      <c r="A71" s="22" t="s">
        <v>1200</v>
      </c>
      <c r="B71" s="22" t="s">
        <v>1691</v>
      </c>
      <c r="C71" s="22" t="e">
        <f t="array" aca="1" ref="C71" ca="1">_xludf.XLOOKUP(A71,'Batch || Working'!$C$2:$C$438,'Batch || Working'!$E$2:$E$438)</f>
        <v>#NAME?</v>
      </c>
    </row>
    <row r="72" spans="1:9" ht="14.25" customHeight="1"/>
    <row r="73" spans="1:9" ht="14.25" customHeight="1"/>
    <row r="74" spans="1:9" ht="14.25" customHeight="1"/>
    <row r="75" spans="1:9" ht="14.25" customHeight="1"/>
    <row r="76" spans="1:9" ht="14.25" customHeight="1"/>
    <row r="77" spans="1:9" ht="14.25" customHeight="1"/>
    <row r="78" spans="1:9" ht="14.25" customHeight="1"/>
    <row r="79" spans="1:9" ht="14.25" customHeight="1"/>
    <row r="80" spans="1:9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992"/>
  <sheetViews>
    <sheetView workbookViewId="0"/>
  </sheetViews>
  <sheetFormatPr defaultColWidth="14.3984375" defaultRowHeight="15.75" customHeight="1"/>
  <cols>
    <col min="1" max="1" width="10.296875" customWidth="1"/>
    <col min="2" max="2" width="23.69921875" customWidth="1"/>
    <col min="3" max="3" width="48.296875" customWidth="1"/>
    <col min="4" max="25" width="8.69921875" customWidth="1"/>
  </cols>
  <sheetData>
    <row r="1" spans="1:3" ht="14.25" customHeight="1">
      <c r="A1" s="148" t="s">
        <v>176</v>
      </c>
      <c r="B1" s="104" t="s">
        <v>177</v>
      </c>
      <c r="C1" s="104" t="s">
        <v>364</v>
      </c>
    </row>
    <row r="2" spans="1:3" ht="14.25" customHeight="1">
      <c r="A2" s="22" t="s">
        <v>178</v>
      </c>
      <c r="B2" s="22" t="s">
        <v>1810</v>
      </c>
      <c r="C2" s="22" t="s">
        <v>1271</v>
      </c>
    </row>
    <row r="3" spans="1:3" ht="14.25" customHeight="1">
      <c r="A3" s="22" t="s">
        <v>1274</v>
      </c>
      <c r="B3" s="22" t="s">
        <v>1569</v>
      </c>
      <c r="C3" s="22" t="s">
        <v>1276</v>
      </c>
    </row>
    <row r="4" spans="1:3" ht="14.25" customHeight="1">
      <c r="A4" s="22" t="s">
        <v>1280</v>
      </c>
      <c r="B4" s="22" t="s">
        <v>1570</v>
      </c>
      <c r="C4" s="22" t="s">
        <v>1282</v>
      </c>
    </row>
    <row r="5" spans="1:3" ht="14.25" customHeight="1">
      <c r="A5" s="22" t="s">
        <v>1283</v>
      </c>
      <c r="B5" s="22" t="s">
        <v>1571</v>
      </c>
      <c r="C5" s="22" t="s">
        <v>1285</v>
      </c>
    </row>
    <row r="6" spans="1:3" ht="14.25" customHeight="1">
      <c r="A6" s="22" t="s">
        <v>1304</v>
      </c>
      <c r="B6" s="22" t="s">
        <v>1930</v>
      </c>
      <c r="C6" s="22" t="s">
        <v>1306</v>
      </c>
    </row>
    <row r="7" spans="1:3" ht="14.25" customHeight="1">
      <c r="A7" s="22" t="s">
        <v>182</v>
      </c>
      <c r="B7" s="22" t="s">
        <v>1582</v>
      </c>
      <c r="C7" s="22" t="s">
        <v>1327</v>
      </c>
    </row>
    <row r="8" spans="1:3" ht="14.25" customHeight="1">
      <c r="A8" s="145" t="s">
        <v>1328</v>
      </c>
      <c r="B8" s="145" t="s">
        <v>1693</v>
      </c>
      <c r="C8" s="145" t="s">
        <v>1330</v>
      </c>
    </row>
    <row r="9" spans="1:3" ht="14.25" customHeight="1">
      <c r="A9" s="22" t="s">
        <v>1331</v>
      </c>
      <c r="B9" s="22" t="s">
        <v>1583</v>
      </c>
      <c r="C9" s="22" t="s">
        <v>1333</v>
      </c>
    </row>
    <row r="10" spans="1:3" ht="14.25" customHeight="1">
      <c r="A10" s="22" t="s">
        <v>183</v>
      </c>
      <c r="B10" s="22" t="s">
        <v>1913</v>
      </c>
      <c r="C10" s="22" t="s">
        <v>1341</v>
      </c>
    </row>
    <row r="11" spans="1:3" ht="14.25" customHeight="1">
      <c r="A11" s="145" t="s">
        <v>1342</v>
      </c>
      <c r="B11" s="145" t="s">
        <v>1694</v>
      </c>
      <c r="C11" s="145" t="s">
        <v>1344</v>
      </c>
    </row>
    <row r="12" spans="1:3" ht="14.25" customHeight="1">
      <c r="A12" s="145" t="s">
        <v>1348</v>
      </c>
      <c r="B12" s="145" t="s">
        <v>1815</v>
      </c>
      <c r="C12" s="145" t="s">
        <v>1350</v>
      </c>
    </row>
    <row r="13" spans="1:3" ht="14.25" customHeight="1">
      <c r="A13" s="22" t="s">
        <v>1357</v>
      </c>
      <c r="B13" s="22" t="s">
        <v>1587</v>
      </c>
      <c r="C13" s="22" t="s">
        <v>1359</v>
      </c>
    </row>
    <row r="14" spans="1:3" ht="14.25" customHeight="1">
      <c r="A14" s="22" t="s">
        <v>185</v>
      </c>
      <c r="B14" s="22" t="s">
        <v>1896</v>
      </c>
      <c r="C14" s="22" t="s">
        <v>1375</v>
      </c>
    </row>
    <row r="15" spans="1:3" ht="14.25" customHeight="1">
      <c r="A15" s="22" t="s">
        <v>1391</v>
      </c>
      <c r="B15" s="22" t="s">
        <v>1595</v>
      </c>
      <c r="C15" s="22" t="s">
        <v>1393</v>
      </c>
    </row>
    <row r="16" spans="1:3" ht="14.25" customHeight="1">
      <c r="A16" s="22" t="s">
        <v>1223</v>
      </c>
      <c r="B16" s="22" t="s">
        <v>1867</v>
      </c>
      <c r="C16" s="22" t="s">
        <v>1225</v>
      </c>
    </row>
    <row r="17" spans="1:3" ht="14.25" customHeight="1">
      <c r="A17" s="22" t="s">
        <v>868</v>
      </c>
      <c r="B17" s="22" t="s">
        <v>1827</v>
      </c>
      <c r="C17" s="22" t="s">
        <v>870</v>
      </c>
    </row>
    <row r="18" spans="1:3" ht="14.25" customHeight="1">
      <c r="A18" s="22" t="s">
        <v>528</v>
      </c>
      <c r="B18" s="22" t="s">
        <v>1931</v>
      </c>
      <c r="C18" s="22" t="s">
        <v>530</v>
      </c>
    </row>
    <row r="19" spans="1:3" ht="14.25" customHeight="1">
      <c r="A19" s="22" t="s">
        <v>693</v>
      </c>
      <c r="B19" s="22" t="s">
        <v>1600</v>
      </c>
      <c r="C19" s="22" t="s">
        <v>695</v>
      </c>
    </row>
    <row r="20" spans="1:3" ht="14.25" customHeight="1">
      <c r="A20" s="22" t="s">
        <v>213</v>
      </c>
      <c r="B20" s="22" t="s">
        <v>1701</v>
      </c>
      <c r="C20" s="22" t="s">
        <v>892</v>
      </c>
    </row>
    <row r="21" spans="1:3" ht="14.25" customHeight="1">
      <c r="A21" s="22" t="s">
        <v>531</v>
      </c>
      <c r="B21" s="22" t="s">
        <v>1607</v>
      </c>
      <c r="C21" s="22" t="s">
        <v>533</v>
      </c>
    </row>
    <row r="22" spans="1:3" ht="14.25" customHeight="1">
      <c r="A22" s="22" t="s">
        <v>685</v>
      </c>
      <c r="B22" s="22" t="s">
        <v>1932</v>
      </c>
      <c r="C22" s="22" t="s">
        <v>687</v>
      </c>
    </row>
    <row r="23" spans="1:3" ht="14.25" customHeight="1">
      <c r="A23" s="22" t="s">
        <v>690</v>
      </c>
      <c r="B23" s="22" t="s">
        <v>1709</v>
      </c>
      <c r="C23" s="22" t="s">
        <v>692</v>
      </c>
    </row>
    <row r="24" spans="1:3" ht="14.25" customHeight="1">
      <c r="A24" s="22" t="s">
        <v>221</v>
      </c>
      <c r="B24" s="22" t="s">
        <v>1900</v>
      </c>
      <c r="C24" s="22" t="s">
        <v>542</v>
      </c>
    </row>
    <row r="25" spans="1:3" ht="14.25" customHeight="1">
      <c r="A25" s="22" t="s">
        <v>1235</v>
      </c>
      <c r="B25" s="22" t="s">
        <v>1710</v>
      </c>
      <c r="C25" s="22" t="s">
        <v>1237</v>
      </c>
    </row>
    <row r="26" spans="1:3" ht="14.25" customHeight="1">
      <c r="A26" s="145" t="s">
        <v>543</v>
      </c>
      <c r="B26" s="145" t="s">
        <v>1711</v>
      </c>
      <c r="C26" s="145" t="s">
        <v>545</v>
      </c>
    </row>
    <row r="27" spans="1:3" ht="14.25" customHeight="1">
      <c r="A27" s="22" t="s">
        <v>230</v>
      </c>
      <c r="B27" s="22" t="s">
        <v>1832</v>
      </c>
      <c r="C27" s="22" t="s">
        <v>379</v>
      </c>
    </row>
    <row r="28" spans="1:3" ht="14.25" customHeight="1">
      <c r="A28" s="22" t="s">
        <v>380</v>
      </c>
      <c r="B28" s="22" t="s">
        <v>1916</v>
      </c>
      <c r="C28" s="22" t="s">
        <v>382</v>
      </c>
    </row>
    <row r="29" spans="1:3" ht="14.25" customHeight="1">
      <c r="A29" s="145" t="s">
        <v>236</v>
      </c>
      <c r="B29" s="145" t="s">
        <v>1718</v>
      </c>
      <c r="C29" s="145" t="s">
        <v>429</v>
      </c>
    </row>
    <row r="30" spans="1:3" ht="14.25" customHeight="1">
      <c r="A30" s="22" t="s">
        <v>447</v>
      </c>
      <c r="B30" s="22" t="s">
        <v>1886</v>
      </c>
      <c r="C30" s="22" t="s">
        <v>449</v>
      </c>
    </row>
    <row r="31" spans="1:3" ht="14.25" customHeight="1">
      <c r="A31" s="145" t="s">
        <v>240</v>
      </c>
      <c r="B31" s="145" t="s">
        <v>1720</v>
      </c>
      <c r="C31" s="145" t="s">
        <v>451</v>
      </c>
    </row>
    <row r="32" spans="1:3" ht="14.25" customHeight="1">
      <c r="A32" s="145" t="s">
        <v>457</v>
      </c>
      <c r="B32" s="145" t="s">
        <v>1721</v>
      </c>
      <c r="C32" s="145" t="s">
        <v>459</v>
      </c>
    </row>
    <row r="33" spans="1:25" ht="14.25" customHeight="1">
      <c r="A33" s="22" t="s">
        <v>246</v>
      </c>
      <c r="B33" s="22" t="s">
        <v>1208</v>
      </c>
      <c r="C33" s="22" t="s">
        <v>1933</v>
      </c>
    </row>
    <row r="34" spans="1:25" ht="14.25" customHeight="1">
      <c r="A34" s="22" t="s">
        <v>578</v>
      </c>
      <c r="B34" s="22" t="s">
        <v>1723</v>
      </c>
      <c r="C34" s="22" t="s">
        <v>580</v>
      </c>
    </row>
    <row r="35" spans="1:25" ht="14.25" customHeight="1">
      <c r="A35" s="22" t="s">
        <v>583</v>
      </c>
      <c r="B35" s="22" t="s">
        <v>1724</v>
      </c>
      <c r="C35" s="22" t="s">
        <v>585</v>
      </c>
    </row>
    <row r="36" spans="1:25" ht="14.25" customHeight="1">
      <c r="A36" s="22" t="s">
        <v>595</v>
      </c>
      <c r="B36" s="22" t="s">
        <v>1919</v>
      </c>
      <c r="C36" s="22" t="s">
        <v>597</v>
      </c>
    </row>
    <row r="37" spans="1:25" ht="14.25" customHeight="1">
      <c r="A37" s="22" t="s">
        <v>606</v>
      </c>
      <c r="B37" s="22" t="s">
        <v>1633</v>
      </c>
      <c r="C37" s="22" t="s">
        <v>608</v>
      </c>
    </row>
    <row r="38" spans="1:25" ht="14.25" customHeight="1">
      <c r="A38" s="22" t="s">
        <v>260</v>
      </c>
      <c r="B38" s="22" t="s">
        <v>1874</v>
      </c>
      <c r="C38" s="22" t="s">
        <v>620</v>
      </c>
    </row>
    <row r="39" spans="1:25" ht="14.25" customHeight="1">
      <c r="A39" s="22" t="s">
        <v>631</v>
      </c>
      <c r="B39" s="22" t="s">
        <v>1637</v>
      </c>
      <c r="C39" s="22" t="s">
        <v>633</v>
      </c>
    </row>
    <row r="40" spans="1:25" ht="14.25" customHeight="1">
      <c r="A40" s="22" t="s">
        <v>717</v>
      </c>
      <c r="B40" s="22" t="s">
        <v>1772</v>
      </c>
      <c r="C40" s="22" t="s">
        <v>719</v>
      </c>
    </row>
    <row r="41" spans="1:25" ht="14.25" customHeight="1">
      <c r="A41" s="22" t="s">
        <v>648</v>
      </c>
      <c r="B41" s="22" t="s">
        <v>1728</v>
      </c>
      <c r="C41" s="22" t="s">
        <v>650</v>
      </c>
    </row>
    <row r="42" spans="1:25" ht="14.25" customHeight="1">
      <c r="A42" s="22" t="s">
        <v>662</v>
      </c>
      <c r="B42" s="22" t="s">
        <v>1774</v>
      </c>
      <c r="C42" s="22" t="s">
        <v>664</v>
      </c>
    </row>
    <row r="43" spans="1:25" ht="14.25" customHeight="1">
      <c r="A43" s="22" t="s">
        <v>266</v>
      </c>
      <c r="B43" s="22" t="s">
        <v>1640</v>
      </c>
      <c r="C43" s="22" t="s">
        <v>666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ht="14.25" customHeight="1">
      <c r="A44" s="22" t="s">
        <v>747</v>
      </c>
      <c r="B44" s="22" t="s">
        <v>1776</v>
      </c>
      <c r="C44" s="22" t="s">
        <v>749</v>
      </c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ht="14.25" customHeight="1">
      <c r="A45" s="22" t="s">
        <v>805</v>
      </c>
      <c r="B45" s="22" t="s">
        <v>1842</v>
      </c>
      <c r="C45" s="22" t="s">
        <v>807</v>
      </c>
    </row>
    <row r="46" spans="1:25" ht="14.25" customHeight="1">
      <c r="A46" s="145" t="s">
        <v>808</v>
      </c>
      <c r="B46" s="145" t="s">
        <v>1730</v>
      </c>
      <c r="C46" s="145" t="s">
        <v>810</v>
      </c>
    </row>
    <row r="47" spans="1:25" ht="14.25" customHeight="1">
      <c r="A47" s="145" t="s">
        <v>831</v>
      </c>
      <c r="B47" s="145" t="s">
        <v>1731</v>
      </c>
      <c r="C47" s="145" t="s">
        <v>833</v>
      </c>
    </row>
    <row r="48" spans="1:25" ht="14.25" customHeight="1">
      <c r="A48" s="22" t="s">
        <v>836</v>
      </c>
      <c r="B48" s="22" t="s">
        <v>1655</v>
      </c>
      <c r="C48" s="22" t="s">
        <v>838</v>
      </c>
    </row>
    <row r="49" spans="1:25" ht="14.25" customHeight="1">
      <c r="A49" s="22" t="s">
        <v>283</v>
      </c>
      <c r="B49" s="22" t="s">
        <v>1904</v>
      </c>
      <c r="C49" s="22" t="s">
        <v>855</v>
      </c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14.25" customHeight="1">
      <c r="A50" s="145" t="s">
        <v>911</v>
      </c>
      <c r="B50" s="145" t="s">
        <v>1906</v>
      </c>
      <c r="C50" s="145" t="s">
        <v>913</v>
      </c>
    </row>
    <row r="51" spans="1:25" ht="14.25" customHeight="1">
      <c r="A51" s="22" t="s">
        <v>723</v>
      </c>
      <c r="B51" s="22" t="s">
        <v>724</v>
      </c>
      <c r="C51" s="22" t="s">
        <v>725</v>
      </c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14.25" customHeight="1">
      <c r="A52" s="145" t="s">
        <v>290</v>
      </c>
      <c r="B52" s="145" t="s">
        <v>1926</v>
      </c>
      <c r="C52" s="145" t="s">
        <v>939</v>
      </c>
    </row>
    <row r="53" spans="1:25" ht="14.25" customHeight="1">
      <c r="A53" s="22" t="s">
        <v>946</v>
      </c>
      <c r="B53" s="22" t="s">
        <v>1733</v>
      </c>
      <c r="C53" s="22" t="s">
        <v>948</v>
      </c>
    </row>
    <row r="54" spans="1:25" ht="14.25" customHeight="1">
      <c r="A54" s="145" t="s">
        <v>956</v>
      </c>
      <c r="B54" s="145" t="s">
        <v>1734</v>
      </c>
      <c r="C54" s="145" t="s">
        <v>958</v>
      </c>
    </row>
    <row r="55" spans="1:25" ht="14.25" customHeight="1">
      <c r="A55" s="22" t="s">
        <v>296</v>
      </c>
      <c r="B55" s="22" t="s">
        <v>1667</v>
      </c>
      <c r="C55" s="22" t="s">
        <v>972</v>
      </c>
    </row>
    <row r="56" spans="1:25" ht="14.25" customHeight="1">
      <c r="A56" s="22" t="s">
        <v>976</v>
      </c>
      <c r="B56" s="22" t="s">
        <v>1928</v>
      </c>
      <c r="C56" s="22" t="s">
        <v>978</v>
      </c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14.25" customHeight="1">
      <c r="A57" s="145" t="s">
        <v>297</v>
      </c>
      <c r="B57" s="145" t="s">
        <v>1934</v>
      </c>
      <c r="C57" s="145" t="s">
        <v>980</v>
      </c>
    </row>
    <row r="58" spans="1:25" ht="14.25" customHeight="1">
      <c r="A58" s="22" t="s">
        <v>1022</v>
      </c>
      <c r="B58" s="22" t="s">
        <v>1908</v>
      </c>
      <c r="C58" s="22" t="s">
        <v>1024</v>
      </c>
    </row>
    <row r="59" spans="1:25" ht="14.25" customHeight="1">
      <c r="A59" s="145" t="s">
        <v>1078</v>
      </c>
      <c r="B59" s="145" t="s">
        <v>1673</v>
      </c>
      <c r="C59" s="145" t="s">
        <v>1080</v>
      </c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1:25" ht="14.25" customHeight="1">
      <c r="A60" s="22" t="s">
        <v>1081</v>
      </c>
      <c r="B60" s="22" t="s">
        <v>1674</v>
      </c>
      <c r="C60" s="22" t="s">
        <v>1083</v>
      </c>
    </row>
    <row r="61" spans="1:25" ht="14.25" customHeight="1">
      <c r="A61" s="22" t="s">
        <v>1084</v>
      </c>
      <c r="B61" s="22" t="s">
        <v>1675</v>
      </c>
      <c r="C61" s="22" t="s">
        <v>1086</v>
      </c>
    </row>
    <row r="62" spans="1:25" ht="14.25" customHeight="1">
      <c r="A62" s="145" t="s">
        <v>1090</v>
      </c>
      <c r="B62" s="145" t="s">
        <v>1909</v>
      </c>
      <c r="C62" s="145" t="s">
        <v>1092</v>
      </c>
    </row>
    <row r="63" spans="1:25" ht="14.25" customHeight="1">
      <c r="A63" s="22" t="s">
        <v>1101</v>
      </c>
      <c r="B63" s="22" t="s">
        <v>1803</v>
      </c>
      <c r="C63" s="22" t="s">
        <v>1103</v>
      </c>
    </row>
    <row r="64" spans="1:25" ht="14.25" customHeight="1">
      <c r="A64" s="22" t="s">
        <v>305</v>
      </c>
      <c r="B64" s="22" t="s">
        <v>1735</v>
      </c>
      <c r="C64" s="22" t="s">
        <v>1105</v>
      </c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</row>
    <row r="65" spans="1:25" ht="14.25" customHeight="1">
      <c r="A65" s="22" t="s">
        <v>1106</v>
      </c>
      <c r="B65" s="22" t="s">
        <v>1929</v>
      </c>
      <c r="C65" s="22" t="s">
        <v>1108</v>
      </c>
    </row>
    <row r="66" spans="1:25" ht="14.25" customHeight="1">
      <c r="A66" s="22" t="s">
        <v>1109</v>
      </c>
      <c r="B66" s="22" t="s">
        <v>1736</v>
      </c>
      <c r="C66" s="22" t="s">
        <v>1111</v>
      </c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ht="14.25" customHeight="1">
      <c r="A67" s="145" t="s">
        <v>1120</v>
      </c>
      <c r="B67" s="145" t="s">
        <v>1910</v>
      </c>
      <c r="C67" s="145" t="s">
        <v>1122</v>
      </c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</row>
    <row r="68" spans="1:25" ht="14.25" customHeight="1">
      <c r="A68" s="22" t="s">
        <v>307</v>
      </c>
      <c r="B68" s="22" t="s">
        <v>1680</v>
      </c>
      <c r="C68" s="22" t="s">
        <v>1124</v>
      </c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</row>
    <row r="69" spans="1:25" ht="14.25" customHeight="1">
      <c r="A69" s="145" t="s">
        <v>1125</v>
      </c>
      <c r="B69" s="145" t="s">
        <v>1681</v>
      </c>
      <c r="C69" s="145" t="s">
        <v>1127</v>
      </c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</row>
    <row r="70" spans="1:25" ht="14.25" customHeight="1">
      <c r="A70" s="145" t="s">
        <v>1148</v>
      </c>
      <c r="B70" s="145" t="s">
        <v>1895</v>
      </c>
      <c r="C70" s="145" t="s">
        <v>1150</v>
      </c>
    </row>
    <row r="71" spans="1:25" ht="14.25" customHeight="1">
      <c r="A71" s="145" t="s">
        <v>313</v>
      </c>
      <c r="B71" s="145" t="s">
        <v>1686</v>
      </c>
      <c r="C71" s="145" t="s">
        <v>1152</v>
      </c>
    </row>
    <row r="72" spans="1:25" ht="14.25" customHeight="1">
      <c r="A72" s="145" t="s">
        <v>1167</v>
      </c>
      <c r="B72" s="145" t="s">
        <v>1740</v>
      </c>
      <c r="C72" s="145" t="s">
        <v>1169</v>
      </c>
    </row>
    <row r="73" spans="1:25" ht="14.25" customHeight="1">
      <c r="A73" s="22" t="s">
        <v>1182</v>
      </c>
      <c r="B73" s="22" t="s">
        <v>1688</v>
      </c>
      <c r="C73" s="22" t="s">
        <v>1184</v>
      </c>
    </row>
    <row r="74" spans="1:25" ht="14.25" customHeight="1">
      <c r="A74" s="22" t="s">
        <v>1188</v>
      </c>
      <c r="B74" s="22" t="s">
        <v>1935</v>
      </c>
      <c r="C74" s="22" t="s">
        <v>1190</v>
      </c>
    </row>
    <row r="75" spans="1:25" ht="14.25" customHeight="1"/>
    <row r="76" spans="1:25" ht="14.25" customHeight="1"/>
    <row r="77" spans="1:25" ht="14.25" customHeight="1"/>
    <row r="78" spans="1:25" ht="14.25" customHeight="1"/>
    <row r="79" spans="1:25" ht="14.25" customHeight="1"/>
    <row r="80" spans="1:2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00"/>
  <sheetViews>
    <sheetView workbookViewId="0"/>
  </sheetViews>
  <sheetFormatPr defaultColWidth="14.3984375" defaultRowHeight="15.75" customHeight="1"/>
  <cols>
    <col min="1" max="1" width="10.296875" customWidth="1"/>
    <col min="2" max="2" width="23.69921875" customWidth="1"/>
    <col min="3" max="3" width="40.09765625" customWidth="1"/>
    <col min="4" max="25" width="8.69921875" customWidth="1"/>
  </cols>
  <sheetData>
    <row r="1" spans="1:6" ht="14.25" customHeight="1">
      <c r="A1" s="104" t="s">
        <v>176</v>
      </c>
      <c r="B1" s="104" t="s">
        <v>177</v>
      </c>
      <c r="C1" s="104" t="s">
        <v>364</v>
      </c>
    </row>
    <row r="2" spans="1:6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  <c r="D2" s="22" t="b">
        <f t="shared" ref="D2:D141" si="0">ISNUMBER(MATCH(A2,$F$2:$F$29,0))</f>
        <v>0</v>
      </c>
      <c r="F2" s="103"/>
    </row>
    <row r="3" spans="1:6" ht="14.25" customHeight="1">
      <c r="A3" s="22" t="s">
        <v>1261</v>
      </c>
      <c r="B3" s="22" t="s">
        <v>1567</v>
      </c>
      <c r="C3" s="22" t="e">
        <f t="array" aca="1" ref="C3" ca="1">_xludf.XLOOKUP(A3,'Batch || Working'!$C$2:$C$438,'Batch || Working'!$E$2:$E$438)</f>
        <v>#NAME?</v>
      </c>
      <c r="D3" s="22" t="b">
        <f t="shared" si="0"/>
        <v>0</v>
      </c>
      <c r="F3" s="103"/>
    </row>
    <row r="4" spans="1:6" ht="14.25" customHeight="1">
      <c r="A4" s="22" t="s">
        <v>1394</v>
      </c>
      <c r="B4" s="22" t="s">
        <v>1936</v>
      </c>
      <c r="C4" s="22" t="e">
        <f t="array" aca="1" ref="C4" ca="1">_xludf.XLOOKUP(A4,'Batch || Working'!$C$2:$C$438,'Batch || Working'!$E$2:$E$438)</f>
        <v>#NAME?</v>
      </c>
      <c r="D4" s="22" t="b">
        <f t="shared" si="0"/>
        <v>0</v>
      </c>
      <c r="F4" s="103"/>
    </row>
    <row r="5" spans="1:6" ht="14.25" customHeight="1">
      <c r="A5" s="22" t="s">
        <v>1264</v>
      </c>
      <c r="B5" s="22" t="s">
        <v>1911</v>
      </c>
      <c r="C5" s="22" t="e">
        <f t="array" aca="1" ref="C5" ca="1">_xludf.XLOOKUP(A5,'Batch || Working'!$C$2:$C$438,'Batch || Working'!$E$2:$E$438)</f>
        <v>#NAME?</v>
      </c>
      <c r="D5" s="22" t="b">
        <f t="shared" si="0"/>
        <v>0</v>
      </c>
      <c r="F5" s="103"/>
    </row>
    <row r="6" spans="1:6" ht="14.25" customHeight="1">
      <c r="A6" s="22" t="s">
        <v>178</v>
      </c>
      <c r="B6" s="22" t="s">
        <v>1810</v>
      </c>
      <c r="C6" s="22" t="e">
        <f t="array" aca="1" ref="C6" ca="1">_xludf.XLOOKUP(A6,'Batch || Working'!$C$2:$C$438,'Batch || Working'!$E$2:$E$438)</f>
        <v>#NAME?</v>
      </c>
      <c r="D6" s="22" t="b">
        <f t="shared" si="0"/>
        <v>0</v>
      </c>
      <c r="F6" s="103"/>
    </row>
    <row r="7" spans="1:6" ht="14.25" customHeight="1">
      <c r="A7" s="22" t="s">
        <v>179</v>
      </c>
      <c r="B7" s="22" t="s">
        <v>1568</v>
      </c>
      <c r="C7" s="22" t="e">
        <f t="array" aca="1" ref="C7" ca="1">_xludf.XLOOKUP(A7,'Batch || Working'!$C$2:$C$438,'Batch || Working'!$E$2:$E$438)</f>
        <v>#NAME?</v>
      </c>
      <c r="D7" s="22" t="b">
        <f t="shared" si="0"/>
        <v>0</v>
      </c>
      <c r="F7" s="103"/>
    </row>
    <row r="8" spans="1:6" ht="14.25" customHeight="1">
      <c r="A8" s="22" t="s">
        <v>1274</v>
      </c>
      <c r="B8" s="22" t="s">
        <v>1569</v>
      </c>
      <c r="C8" s="22" t="e">
        <f t="array" aca="1" ref="C8" ca="1">_xludf.XLOOKUP(A8,'Batch || Working'!$C$2:$C$438,'Batch || Working'!$E$2:$E$438)</f>
        <v>#NAME?</v>
      </c>
      <c r="D8" s="22" t="b">
        <f t="shared" si="0"/>
        <v>0</v>
      </c>
      <c r="F8" s="103"/>
    </row>
    <row r="9" spans="1:6" ht="14.25" customHeight="1">
      <c r="A9" s="22" t="s">
        <v>1280</v>
      </c>
      <c r="B9" s="22" t="s">
        <v>1570</v>
      </c>
      <c r="C9" s="22" t="e">
        <f t="array" aca="1" ref="C9" ca="1">_xludf.XLOOKUP(A9,'Batch || Working'!$C$2:$C$438,'Batch || Working'!$E$2:$E$438)</f>
        <v>#NAME?</v>
      </c>
      <c r="D9" s="22" t="b">
        <f t="shared" si="0"/>
        <v>0</v>
      </c>
      <c r="F9" s="103"/>
    </row>
    <row r="10" spans="1:6" ht="14.25" customHeight="1">
      <c r="A10" s="22" t="s">
        <v>1283</v>
      </c>
      <c r="B10" s="22" t="s">
        <v>1571</v>
      </c>
      <c r="C10" s="22" t="e">
        <f t="array" aca="1" ref="C10" ca="1">_xludf.XLOOKUP(A10,'Batch || Working'!$C$2:$C$438,'Batch || Working'!$E$2:$E$438)</f>
        <v>#NAME?</v>
      </c>
      <c r="D10" s="22" t="b">
        <f t="shared" si="0"/>
        <v>0</v>
      </c>
      <c r="F10" s="103"/>
    </row>
    <row r="11" spans="1:6" ht="14.25" customHeight="1">
      <c r="A11" s="22" t="s">
        <v>1289</v>
      </c>
      <c r="B11" s="22" t="s">
        <v>1572</v>
      </c>
      <c r="C11" s="22" t="e">
        <f t="array" aca="1" ref="C11" ca="1">_xludf.XLOOKUP(A11,'Batch || Working'!$C$2:$C$438,'Batch || Working'!$E$2:$E$438)</f>
        <v>#NAME?</v>
      </c>
      <c r="D11" s="22" t="b">
        <f t="shared" si="0"/>
        <v>0</v>
      </c>
      <c r="F11" s="103"/>
    </row>
    <row r="12" spans="1:6" ht="14.25" customHeight="1">
      <c r="A12" s="22" t="s">
        <v>1292</v>
      </c>
      <c r="B12" s="22" t="s">
        <v>1912</v>
      </c>
      <c r="C12" s="22" t="e">
        <f t="array" aca="1" ref="C12" ca="1">_xludf.XLOOKUP(A12,'Batch || Working'!$C$2:$C$438,'Batch || Working'!$E$2:$E$438)</f>
        <v>#NAME?</v>
      </c>
      <c r="D12" s="22" t="b">
        <f t="shared" si="0"/>
        <v>0</v>
      </c>
      <c r="F12" s="103"/>
    </row>
    <row r="13" spans="1:6" ht="14.25" customHeight="1">
      <c r="A13" s="22" t="s">
        <v>1298</v>
      </c>
      <c r="B13" s="22" t="s">
        <v>1574</v>
      </c>
      <c r="C13" s="22" t="e">
        <f t="array" aca="1" ref="C13" ca="1">_xludf.XLOOKUP(A13,'Batch || Working'!$C$2:$C$438,'Batch || Working'!$E$2:$E$438)</f>
        <v>#NAME?</v>
      </c>
      <c r="D13" s="22" t="b">
        <f t="shared" si="0"/>
        <v>0</v>
      </c>
      <c r="F13" s="103"/>
    </row>
    <row r="14" spans="1:6" ht="14.25" customHeight="1">
      <c r="A14" s="22" t="s">
        <v>1304</v>
      </c>
      <c r="B14" s="22" t="s">
        <v>1930</v>
      </c>
      <c r="C14" s="22" t="e">
        <f t="array" aca="1" ref="C14" ca="1">_xludf.XLOOKUP(A14,'Batch || Working'!$C$2:$C$438,'Batch || Working'!$E$2:$E$438)</f>
        <v>#NAME?</v>
      </c>
      <c r="D14" s="22" t="b">
        <f t="shared" si="0"/>
        <v>0</v>
      </c>
      <c r="F14" s="103"/>
    </row>
    <row r="15" spans="1:6" ht="14.25" customHeight="1">
      <c r="A15" s="22" t="s">
        <v>180</v>
      </c>
      <c r="B15" s="22" t="s">
        <v>1937</v>
      </c>
      <c r="C15" s="22" t="e">
        <f t="array" aca="1" ref="C15" ca="1">_xludf.XLOOKUP(A15,'Batch || Working'!$C$2:$C$438,'Batch || Working'!$E$2:$E$438)</f>
        <v>#NAME?</v>
      </c>
      <c r="D15" s="22" t="b">
        <f t="shared" si="0"/>
        <v>0</v>
      </c>
      <c r="F15" s="103"/>
    </row>
    <row r="16" spans="1:6" ht="14.25" customHeight="1">
      <c r="A16" s="22" t="s">
        <v>1312</v>
      </c>
      <c r="B16" s="22" t="s">
        <v>1577</v>
      </c>
      <c r="C16" s="22" t="e">
        <f t="array" aca="1" ref="C16" ca="1">_xludf.XLOOKUP(A16,'Batch || Working'!$C$2:$C$438,'Batch || Working'!$E$2:$E$438)</f>
        <v>#NAME?</v>
      </c>
      <c r="D16" s="22" t="b">
        <f t="shared" si="0"/>
        <v>0</v>
      </c>
      <c r="F16" s="103"/>
    </row>
    <row r="17" spans="1:6" ht="14.25" customHeight="1">
      <c r="A17" s="22" t="s">
        <v>1318</v>
      </c>
      <c r="B17" s="22" t="s">
        <v>1579</v>
      </c>
      <c r="C17" s="22" t="e">
        <f t="array" aca="1" ref="C17" ca="1">_xludf.XLOOKUP(A17,'Batch || Working'!$C$2:$C$438,'Batch || Working'!$E$2:$E$438)</f>
        <v>#NAME?</v>
      </c>
      <c r="D17" s="22" t="b">
        <f t="shared" si="0"/>
        <v>0</v>
      </c>
      <c r="F17" s="103"/>
    </row>
    <row r="18" spans="1:6" ht="14.25" customHeight="1">
      <c r="A18" s="22" t="s">
        <v>181</v>
      </c>
      <c r="B18" s="22" t="s">
        <v>1580</v>
      </c>
      <c r="C18" s="22" t="e">
        <f t="array" aca="1" ref="C18" ca="1">_xludf.XLOOKUP(A18,'Batch || Working'!$C$2:$C$438,'Batch || Working'!$E$2:$E$438)</f>
        <v>#NAME?</v>
      </c>
      <c r="D18" s="22" t="b">
        <f t="shared" si="0"/>
        <v>0</v>
      </c>
      <c r="F18" s="103"/>
    </row>
    <row r="19" spans="1:6" ht="14.25" customHeight="1">
      <c r="A19" s="22" t="s">
        <v>182</v>
      </c>
      <c r="B19" s="22" t="s">
        <v>1582</v>
      </c>
      <c r="C19" s="22" t="e">
        <f t="array" aca="1" ref="C19" ca="1">_xludf.XLOOKUP(A19,'Batch || Working'!$C$2:$C$438,'Batch || Working'!$E$2:$E$438)</f>
        <v>#NAME?</v>
      </c>
      <c r="D19" s="22" t="b">
        <f t="shared" si="0"/>
        <v>0</v>
      </c>
      <c r="F19" s="103"/>
    </row>
    <row r="20" spans="1:6" ht="14.25" customHeight="1">
      <c r="A20" s="22" t="s">
        <v>1328</v>
      </c>
      <c r="B20" s="22" t="s">
        <v>1693</v>
      </c>
      <c r="C20" s="22" t="e">
        <f t="array" aca="1" ref="C20" ca="1">_xludf.XLOOKUP(A20,'Batch || Working'!$C$2:$C$438,'Batch || Working'!$E$2:$E$438)</f>
        <v>#NAME?</v>
      </c>
      <c r="D20" s="22" t="b">
        <f t="shared" si="0"/>
        <v>0</v>
      </c>
      <c r="F20" s="103"/>
    </row>
    <row r="21" spans="1:6" ht="14.25" customHeight="1">
      <c r="A21" s="22" t="s">
        <v>1331</v>
      </c>
      <c r="B21" s="22" t="s">
        <v>1583</v>
      </c>
      <c r="C21" s="22" t="e">
        <f t="array" aca="1" ref="C21" ca="1">_xludf.XLOOKUP(A21,'Batch || Working'!$C$2:$C$438,'Batch || Working'!$E$2:$E$438)</f>
        <v>#NAME?</v>
      </c>
      <c r="D21" s="22" t="b">
        <f t="shared" si="0"/>
        <v>0</v>
      </c>
      <c r="F21" s="103"/>
    </row>
    <row r="22" spans="1:6" ht="14.25" customHeight="1">
      <c r="A22" s="22" t="s">
        <v>1334</v>
      </c>
      <c r="B22" s="22" t="s">
        <v>1584</v>
      </c>
      <c r="C22" s="22" t="e">
        <f t="array" aca="1" ref="C22" ca="1">_xludf.XLOOKUP(A22,'Batch || Working'!$C$2:$C$438,'Batch || Working'!$E$2:$E$438)</f>
        <v>#NAME?</v>
      </c>
      <c r="D22" s="22" t="b">
        <f t="shared" si="0"/>
        <v>0</v>
      </c>
      <c r="F22" s="103"/>
    </row>
    <row r="23" spans="1:6" ht="14.25" customHeight="1">
      <c r="A23" s="22" t="s">
        <v>183</v>
      </c>
      <c r="B23" s="22" t="s">
        <v>1913</v>
      </c>
      <c r="C23" s="22" t="e">
        <f t="array" aca="1" ref="C23" ca="1">_xludf.XLOOKUP(A23,'Batch || Working'!$C$2:$C$438,'Batch || Working'!$E$2:$E$438)</f>
        <v>#NAME?</v>
      </c>
      <c r="D23" s="22" t="b">
        <f t="shared" si="0"/>
        <v>0</v>
      </c>
      <c r="F23" s="103"/>
    </row>
    <row r="24" spans="1:6" ht="14.25" customHeight="1">
      <c r="A24" s="22" t="s">
        <v>1342</v>
      </c>
      <c r="B24" s="22" t="s">
        <v>1694</v>
      </c>
      <c r="C24" s="22" t="e">
        <f t="array" aca="1" ref="C24" ca="1">_xludf.XLOOKUP(A24,'Batch || Working'!$C$2:$C$438,'Batch || Working'!$E$2:$E$438)</f>
        <v>#NAME?</v>
      </c>
      <c r="D24" s="22" t="b">
        <f t="shared" si="0"/>
        <v>0</v>
      </c>
      <c r="F24" s="103"/>
    </row>
    <row r="25" spans="1:6" ht="14.25" customHeight="1">
      <c r="A25" s="22" t="s">
        <v>1345</v>
      </c>
      <c r="B25" s="22" t="s">
        <v>1814</v>
      </c>
      <c r="C25" s="22" t="e">
        <f t="array" aca="1" ref="C25" ca="1">_xludf.XLOOKUP(A25,'Batch || Working'!$C$2:$C$438,'Batch || Working'!$E$2:$E$438)</f>
        <v>#NAME?</v>
      </c>
      <c r="D25" s="22" t="b">
        <f t="shared" si="0"/>
        <v>0</v>
      </c>
      <c r="F25" s="103"/>
    </row>
    <row r="26" spans="1:6" ht="14.25" customHeight="1">
      <c r="A26" s="22" t="s">
        <v>1348</v>
      </c>
      <c r="B26" s="22" t="s">
        <v>1815</v>
      </c>
      <c r="C26" s="22" t="e">
        <f t="array" aca="1" ref="C26" ca="1">_xludf.XLOOKUP(A26,'Batch || Working'!$C$2:$C$438,'Batch || Working'!$E$2:$E$438)</f>
        <v>#NAME?</v>
      </c>
      <c r="D26" s="22" t="b">
        <f t="shared" si="0"/>
        <v>0</v>
      </c>
      <c r="F26" s="103"/>
    </row>
    <row r="27" spans="1:6" ht="14.25" customHeight="1">
      <c r="A27" s="22" t="s">
        <v>1357</v>
      </c>
      <c r="B27" s="22" t="s">
        <v>1587</v>
      </c>
      <c r="C27" s="22" t="e">
        <f t="array" aca="1" ref="C27" ca="1">_xludf.XLOOKUP(A27,'Batch || Working'!$C$2:$C$438,'Batch || Working'!$E$2:$E$438)</f>
        <v>#NAME?</v>
      </c>
      <c r="D27" s="22" t="b">
        <f t="shared" si="0"/>
        <v>0</v>
      </c>
      <c r="F27" s="103"/>
    </row>
    <row r="28" spans="1:6" ht="14.25" customHeight="1">
      <c r="A28" s="22" t="s">
        <v>1360</v>
      </c>
      <c r="B28" s="22" t="s">
        <v>1588</v>
      </c>
      <c r="C28" s="22" t="e">
        <f t="array" aca="1" ref="C28" ca="1">_xludf.XLOOKUP(A28,'Batch || Working'!$C$2:$C$438,'Batch || Working'!$E$2:$E$438)</f>
        <v>#NAME?</v>
      </c>
      <c r="D28" s="22" t="b">
        <f t="shared" si="0"/>
        <v>0</v>
      </c>
      <c r="F28" s="103"/>
    </row>
    <row r="29" spans="1:6" ht="14.25" customHeight="1">
      <c r="A29" s="22" t="s">
        <v>1363</v>
      </c>
      <c r="B29" s="22" t="s">
        <v>1589</v>
      </c>
      <c r="C29" s="22" t="e">
        <f t="array" aca="1" ref="C29" ca="1">_xludf.XLOOKUP(A29,'Batch || Working'!$C$2:$C$438,'Batch || Working'!$E$2:$E$438)</f>
        <v>#NAME?</v>
      </c>
      <c r="D29" s="22" t="b">
        <f t="shared" si="0"/>
        <v>0</v>
      </c>
      <c r="F29" s="103"/>
    </row>
    <row r="30" spans="1:6" ht="14.25" customHeight="1">
      <c r="A30" s="22" t="s">
        <v>185</v>
      </c>
      <c r="B30" s="22" t="s">
        <v>1896</v>
      </c>
      <c r="C30" s="22" t="e">
        <f t="array" aca="1" ref="C30" ca="1">_xludf.XLOOKUP(A30,'Batch || Working'!$C$2:$C$438,'Batch || Working'!$E$2:$E$438)</f>
        <v>#NAME?</v>
      </c>
      <c r="D30" s="22" t="b">
        <f t="shared" si="0"/>
        <v>0</v>
      </c>
    </row>
    <row r="31" spans="1:6" ht="14.25" customHeight="1">
      <c r="A31" s="22" t="s">
        <v>187</v>
      </c>
      <c r="B31" s="22" t="s">
        <v>1592</v>
      </c>
      <c r="C31" s="22" t="e">
        <f t="array" aca="1" ref="C31" ca="1">_xludf.XLOOKUP(A31,'Batch || Working'!$C$2:$C$438,'Batch || Working'!$E$2:$E$438)</f>
        <v>#NAME?</v>
      </c>
      <c r="D31" s="22" t="b">
        <f t="shared" si="0"/>
        <v>0</v>
      </c>
    </row>
    <row r="32" spans="1:6" ht="14.25" customHeight="1">
      <c r="A32" s="22" t="s">
        <v>1383</v>
      </c>
      <c r="B32" s="22" t="s">
        <v>1593</v>
      </c>
      <c r="C32" s="22" t="e">
        <f t="array" aca="1" ref="C32" ca="1">_xludf.XLOOKUP(A32,'Batch || Working'!$C$2:$C$438,'Batch || Working'!$E$2:$E$438)</f>
        <v>#NAME?</v>
      </c>
      <c r="D32" s="22" t="b">
        <f t="shared" si="0"/>
        <v>0</v>
      </c>
    </row>
    <row r="33" spans="1:4" ht="14.25" customHeight="1">
      <c r="A33" s="22" t="s">
        <v>188</v>
      </c>
      <c r="B33" s="22" t="s">
        <v>1594</v>
      </c>
      <c r="C33" s="22" t="e">
        <f t="array" aca="1" ref="C33" ca="1">_xludf.XLOOKUP(A33,'Batch || Working'!$C$2:$C$438,'Batch || Working'!$E$2:$E$438)</f>
        <v>#NAME?</v>
      </c>
      <c r="D33" s="22" t="b">
        <f t="shared" si="0"/>
        <v>0</v>
      </c>
    </row>
    <row r="34" spans="1:4" ht="14.25" customHeight="1">
      <c r="A34" s="22" t="s">
        <v>1388</v>
      </c>
      <c r="B34" s="22" t="s">
        <v>1914</v>
      </c>
      <c r="C34" s="22" t="e">
        <f t="array" aca="1" ref="C34" ca="1">_xludf.XLOOKUP(A34,'Batch || Working'!$C$2:$C$438,'Batch || Working'!$E$2:$E$438)</f>
        <v>#NAME?</v>
      </c>
      <c r="D34" s="22" t="b">
        <f t="shared" si="0"/>
        <v>0</v>
      </c>
    </row>
    <row r="35" spans="1:4" ht="14.25" customHeight="1">
      <c r="A35" s="22" t="s">
        <v>1391</v>
      </c>
      <c r="B35" s="22" t="s">
        <v>1595</v>
      </c>
      <c r="C35" s="22" t="e">
        <f t="array" aca="1" ref="C35" ca="1">_xludf.XLOOKUP(A35,'Batch || Working'!$C$2:$C$438,'Batch || Working'!$E$2:$E$438)</f>
        <v>#NAME?</v>
      </c>
      <c r="D35" s="22" t="b">
        <f t="shared" si="0"/>
        <v>0</v>
      </c>
    </row>
    <row r="36" spans="1:4" ht="14.25" customHeight="1">
      <c r="A36" s="22" t="s">
        <v>1417</v>
      </c>
      <c r="B36" s="22" t="s">
        <v>1418</v>
      </c>
      <c r="C36" s="22" t="e">
        <f t="array" aca="1" ref="C36" ca="1">_xludf.XLOOKUP(A36,'Batch || Working'!$C$2:$C$438,'Batch || Working'!$E$2:$E$438)</f>
        <v>#NAME?</v>
      </c>
      <c r="D36" s="22" t="b">
        <f t="shared" si="0"/>
        <v>0</v>
      </c>
    </row>
    <row r="37" spans="1:4" ht="14.25" customHeight="1">
      <c r="A37" s="22" t="s">
        <v>1428</v>
      </c>
      <c r="B37" s="22" t="s">
        <v>1429</v>
      </c>
      <c r="C37" s="22" t="e">
        <f t="array" aca="1" ref="C37" ca="1">_xludf.XLOOKUP(A37,'Batch || Working'!$C$2:$C$438,'Batch || Working'!$E$2:$E$438)</f>
        <v>#NAME?</v>
      </c>
      <c r="D37" s="22" t="b">
        <f t="shared" si="0"/>
        <v>0</v>
      </c>
    </row>
    <row r="38" spans="1:4" ht="14.25" customHeight="1">
      <c r="A38" s="22" t="s">
        <v>1481</v>
      </c>
      <c r="B38" s="22" t="s">
        <v>1482</v>
      </c>
      <c r="C38" s="22" t="e">
        <f t="array" aca="1" ref="C38" ca="1">_xludf.XLOOKUP(A38,'Batch || Working'!$C$2:$C$438,'Batch || Working'!$E$2:$E$438)</f>
        <v>#NAME?</v>
      </c>
      <c r="D38" s="22" t="b">
        <f t="shared" si="0"/>
        <v>0</v>
      </c>
    </row>
    <row r="39" spans="1:4" ht="14.25" customHeight="1">
      <c r="A39" s="22" t="s">
        <v>196</v>
      </c>
      <c r="B39" s="22" t="s">
        <v>1487</v>
      </c>
      <c r="C39" s="22" t="e">
        <f t="array" aca="1" ref="C39" ca="1">_xludf.XLOOKUP(A39,'Batch || Working'!$C$2:$C$438,'Batch || Working'!$E$2:$E$438)</f>
        <v>#NAME?</v>
      </c>
      <c r="D39" s="22" t="b">
        <f t="shared" si="0"/>
        <v>0</v>
      </c>
    </row>
    <row r="40" spans="1:4" ht="14.25" customHeight="1">
      <c r="A40" s="22" t="s">
        <v>1489</v>
      </c>
      <c r="B40" s="22" t="s">
        <v>1490</v>
      </c>
      <c r="C40" s="22" t="e">
        <f t="array" aca="1" ref="C40" ca="1">_xludf.XLOOKUP(A40,'Batch || Working'!$C$2:$C$438,'Batch || Working'!$E$2:$E$438)</f>
        <v>#NAME?</v>
      </c>
      <c r="D40" s="22" t="b">
        <f t="shared" si="0"/>
        <v>0</v>
      </c>
    </row>
    <row r="41" spans="1:4" ht="14.25" customHeight="1">
      <c r="A41" s="22" t="s">
        <v>199</v>
      </c>
      <c r="B41" s="22" t="s">
        <v>1505</v>
      </c>
      <c r="C41" s="22" t="e">
        <f t="array" aca="1" ref="C41" ca="1">_xludf.XLOOKUP(A41,'Batch || Working'!$C$2:$C$438,'Batch || Working'!$E$2:$E$438)</f>
        <v>#NAME?</v>
      </c>
      <c r="D41" s="22" t="b">
        <f t="shared" si="0"/>
        <v>0</v>
      </c>
    </row>
    <row r="42" spans="1:4" ht="14.25" customHeight="1">
      <c r="A42" s="22" t="s">
        <v>676</v>
      </c>
      <c r="B42" s="22" t="s">
        <v>1750</v>
      </c>
      <c r="C42" s="22" t="e">
        <f t="array" aca="1" ref="C42" ca="1">_xludf.XLOOKUP(A42,'Batch || Working'!$C$2:$C$438,'Batch || Working'!$E$2:$E$438)</f>
        <v>#NAME?</v>
      </c>
      <c r="D42" s="22" t="b">
        <f t="shared" si="0"/>
        <v>0</v>
      </c>
    </row>
    <row r="43" spans="1:4" ht="14.25" customHeight="1">
      <c r="A43" s="22" t="s">
        <v>1223</v>
      </c>
      <c r="B43" s="22" t="s">
        <v>1867</v>
      </c>
      <c r="C43" s="144" t="e">
        <f t="array" aca="1" ref="C43" ca="1">_xludf.XLOOKUP(A43,'Batch || Working'!$C$2:$C$438,'Batch || Working'!$E$2:$E$438)</f>
        <v>#NAME?</v>
      </c>
      <c r="D43" s="22" t="b">
        <f t="shared" si="0"/>
        <v>0</v>
      </c>
    </row>
    <row r="44" spans="1:4" ht="14.25" customHeight="1">
      <c r="A44" s="22" t="s">
        <v>868</v>
      </c>
      <c r="B44" s="22" t="s">
        <v>1827</v>
      </c>
      <c r="C44" s="22" t="e">
        <f t="array" aca="1" ref="C44" ca="1">_xludf.XLOOKUP(A44,'Batch || Working'!$C$2:$C$438,'Batch || Working'!$E$2:$E$438)</f>
        <v>#NAME?</v>
      </c>
      <c r="D44" s="22" t="b">
        <f t="shared" si="0"/>
        <v>0</v>
      </c>
    </row>
    <row r="45" spans="1:4" ht="14.25" customHeight="1">
      <c r="A45" s="22" t="s">
        <v>528</v>
      </c>
      <c r="B45" s="22" t="s">
        <v>1931</v>
      </c>
      <c r="C45" s="22" t="e">
        <f t="array" aca="1" ref="C45" ca="1">_xludf.XLOOKUP(A45,'Batch || Working'!$C$2:$C$438,'Batch || Working'!$E$2:$E$438)</f>
        <v>#NAME?</v>
      </c>
      <c r="D45" s="22" t="b">
        <f t="shared" si="0"/>
        <v>0</v>
      </c>
    </row>
    <row r="46" spans="1:4" ht="14.25" customHeight="1">
      <c r="A46" s="22" t="s">
        <v>1028</v>
      </c>
      <c r="B46" s="22" t="s">
        <v>1597</v>
      </c>
      <c r="C46" s="22" t="e">
        <f t="array" aca="1" ref="C46" ca="1">_xludf.XLOOKUP(A46,'Batch || Working'!$C$2:$C$438,'Batch || Working'!$E$2:$E$438)</f>
        <v>#NAME?</v>
      </c>
      <c r="D46" s="22" t="b">
        <f t="shared" si="0"/>
        <v>0</v>
      </c>
    </row>
    <row r="47" spans="1:4" ht="14.25" customHeight="1">
      <c r="A47" s="22" t="s">
        <v>1036</v>
      </c>
      <c r="B47" s="22" t="s">
        <v>1700</v>
      </c>
      <c r="C47" s="22" t="e">
        <f t="array" aca="1" ref="C47" ca="1">_xludf.XLOOKUP(A47,'Batch || Working'!$C$2:$C$438,'Batch || Working'!$E$2:$E$438)</f>
        <v>#NAME?</v>
      </c>
      <c r="D47" s="22" t="b">
        <f t="shared" si="0"/>
        <v>0</v>
      </c>
    </row>
    <row r="48" spans="1:4" ht="14.25" customHeight="1">
      <c r="A48" s="22" t="s">
        <v>693</v>
      </c>
      <c r="B48" s="22" t="s">
        <v>1600</v>
      </c>
      <c r="C48" s="22" t="e">
        <f t="array" aca="1" ref="C48" ca="1">_xludf.XLOOKUP(A48,'Batch || Working'!$C$2:$C$438,'Batch || Working'!$E$2:$E$438)</f>
        <v>#NAME?</v>
      </c>
      <c r="D48" s="22" t="b">
        <f t="shared" si="0"/>
        <v>0</v>
      </c>
    </row>
    <row r="49" spans="1:4" ht="14.25" customHeight="1">
      <c r="A49" s="22" t="s">
        <v>1232</v>
      </c>
      <c r="B49" s="22" t="s">
        <v>1938</v>
      </c>
      <c r="C49" s="144" t="e">
        <f t="array" aca="1" ref="C49" ca="1">_xludf.XLOOKUP(A49,'Batch || Working'!$C$2:$C$438,'Batch || Working'!$E$2:$E$438)</f>
        <v>#NAME?</v>
      </c>
      <c r="D49" s="22" t="b">
        <f t="shared" si="0"/>
        <v>0</v>
      </c>
    </row>
    <row r="50" spans="1:4" ht="14.25" customHeight="1">
      <c r="A50" s="22" t="s">
        <v>212</v>
      </c>
      <c r="B50" s="22" t="s">
        <v>1751</v>
      </c>
      <c r="C50" s="22" t="e">
        <f t="array" aca="1" ref="C50" ca="1">_xludf.XLOOKUP(A50,'Batch || Working'!$C$2:$C$438,'Batch || Working'!$E$2:$E$438)</f>
        <v>#NAME?</v>
      </c>
      <c r="D50" s="22" t="b">
        <f t="shared" si="0"/>
        <v>0</v>
      </c>
    </row>
    <row r="51" spans="1:4" ht="14.25" customHeight="1">
      <c r="A51" s="22" t="s">
        <v>213</v>
      </c>
      <c r="B51" s="22" t="s">
        <v>1701</v>
      </c>
      <c r="C51" s="22" t="e">
        <f t="array" aca="1" ref="C51" ca="1">_xludf.XLOOKUP(A51,'Batch || Working'!$C$2:$C$438,'Batch || Working'!$E$2:$E$438)</f>
        <v>#NAME?</v>
      </c>
      <c r="D51" s="22" t="b">
        <f t="shared" si="0"/>
        <v>0</v>
      </c>
    </row>
    <row r="52" spans="1:4" ht="14.25" customHeight="1">
      <c r="A52" s="22" t="s">
        <v>702</v>
      </c>
      <c r="B52" s="22" t="s">
        <v>1601</v>
      </c>
      <c r="C52" s="22" t="e">
        <f t="array" aca="1" ref="C52" ca="1">_xludf.XLOOKUP(A52,'Batch || Working'!$C$2:$C$438,'Batch || Working'!$E$2:$E$438)</f>
        <v>#NAME?</v>
      </c>
      <c r="D52" s="22" t="b">
        <f t="shared" si="0"/>
        <v>0</v>
      </c>
    </row>
    <row r="53" spans="1:4" ht="14.25" customHeight="1">
      <c r="A53" s="22" t="s">
        <v>708</v>
      </c>
      <c r="B53" s="22" t="s">
        <v>1705</v>
      </c>
      <c r="C53" s="22" t="e">
        <f t="array" aca="1" ref="C53" ca="1">_xludf.XLOOKUP(A53,'Batch || Working'!$C$2:$C$438,'Batch || Working'!$E$2:$E$438)</f>
        <v>#NAME?</v>
      </c>
      <c r="D53" s="22" t="b">
        <f t="shared" si="0"/>
        <v>0</v>
      </c>
    </row>
    <row r="54" spans="1:4" ht="14.25" customHeight="1">
      <c r="A54" s="22" t="s">
        <v>865</v>
      </c>
      <c r="B54" s="22" t="s">
        <v>1605</v>
      </c>
      <c r="C54" s="22" t="e">
        <f t="array" aca="1" ref="C54" ca="1">_xludf.XLOOKUP(A54,'Batch || Working'!$C$2:$C$438,'Batch || Working'!$E$2:$E$438)</f>
        <v>#NAME?</v>
      </c>
      <c r="D54" s="22" t="b">
        <f t="shared" si="0"/>
        <v>0</v>
      </c>
    </row>
    <row r="55" spans="1:4" ht="14.25" customHeight="1">
      <c r="A55" s="22" t="s">
        <v>876</v>
      </c>
      <c r="B55" s="22" t="s">
        <v>1706</v>
      </c>
      <c r="C55" s="22" t="e">
        <f t="array" aca="1" ref="C55" ca="1">_xludf.XLOOKUP(A55,'Batch || Working'!$C$2:$C$438,'Batch || Working'!$E$2:$E$438)</f>
        <v>#NAME?</v>
      </c>
      <c r="D55" s="22" t="b">
        <f t="shared" si="0"/>
        <v>0</v>
      </c>
    </row>
    <row r="56" spans="1:4" ht="14.25" customHeight="1">
      <c r="A56" s="22" t="s">
        <v>531</v>
      </c>
      <c r="B56" s="22" t="s">
        <v>1607</v>
      </c>
      <c r="C56" s="22" t="e">
        <f t="array" aca="1" ref="C56" ca="1">_xludf.XLOOKUP(A56,'Batch || Working'!$C$2:$C$438,'Batch || Working'!$E$2:$E$438)</f>
        <v>#NAME?</v>
      </c>
      <c r="D56" s="22" t="b">
        <f t="shared" si="0"/>
        <v>0</v>
      </c>
    </row>
    <row r="57" spans="1:4" ht="14.25" customHeight="1">
      <c r="A57" s="22" t="s">
        <v>882</v>
      </c>
      <c r="B57" s="22" t="s">
        <v>1608</v>
      </c>
      <c r="C57" s="22" t="e">
        <f t="array" aca="1" ref="C57" ca="1">_xludf.XLOOKUP(A57,'Batch || Working'!$C$2:$C$438,'Batch || Working'!$E$2:$E$438)</f>
        <v>#NAME?</v>
      </c>
      <c r="D57" s="22" t="b">
        <f t="shared" si="0"/>
        <v>0</v>
      </c>
    </row>
    <row r="58" spans="1:4" ht="14.25" customHeight="1">
      <c r="A58" s="22" t="s">
        <v>682</v>
      </c>
      <c r="B58" s="22" t="s">
        <v>1707</v>
      </c>
      <c r="C58" s="22" t="e">
        <f t="array" aca="1" ref="C58" ca="1">_xludf.XLOOKUP(A58,'Batch || Working'!$C$2:$C$438,'Batch || Working'!$E$2:$E$438)</f>
        <v>#NAME?</v>
      </c>
      <c r="D58" s="22" t="b">
        <f t="shared" si="0"/>
        <v>0</v>
      </c>
    </row>
    <row r="59" spans="1:4" ht="14.25" customHeight="1">
      <c r="A59" s="22" t="s">
        <v>1033</v>
      </c>
      <c r="B59" s="22" t="s">
        <v>1708</v>
      </c>
      <c r="C59" s="22" t="e">
        <f t="array" aca="1" ref="C59" ca="1">_xludf.XLOOKUP(A59,'Batch || Working'!$C$2:$C$438,'Batch || Working'!$E$2:$E$438)</f>
        <v>#NAME?</v>
      </c>
      <c r="D59" s="22" t="b">
        <f t="shared" si="0"/>
        <v>0</v>
      </c>
    </row>
    <row r="60" spans="1:4" ht="14.25" customHeight="1">
      <c r="A60" s="22" t="s">
        <v>685</v>
      </c>
      <c r="B60" s="22" t="s">
        <v>1932</v>
      </c>
      <c r="C60" s="22" t="e">
        <f t="array" aca="1" ref="C60" ca="1">_xludf.XLOOKUP(A60,'Batch || Working'!$C$2:$C$438,'Batch || Working'!$E$2:$E$438)</f>
        <v>#NAME?</v>
      </c>
      <c r="D60" s="22" t="b">
        <f t="shared" si="0"/>
        <v>0</v>
      </c>
    </row>
    <row r="61" spans="1:4" ht="14.25" customHeight="1">
      <c r="A61" s="22" t="s">
        <v>690</v>
      </c>
      <c r="B61" s="22" t="s">
        <v>1709</v>
      </c>
      <c r="C61" s="22" t="e">
        <f t="array" aca="1" ref="C61" ca="1">_xludf.XLOOKUP(A61,'Batch || Working'!$C$2:$C$438,'Batch || Working'!$E$2:$E$438)</f>
        <v>#NAME?</v>
      </c>
      <c r="D61" s="22" t="b">
        <f t="shared" si="0"/>
        <v>0</v>
      </c>
    </row>
    <row r="62" spans="1:4" ht="14.25" customHeight="1">
      <c r="A62" s="22" t="s">
        <v>221</v>
      </c>
      <c r="B62" s="22" t="s">
        <v>1900</v>
      </c>
      <c r="C62" s="22" t="e">
        <f t="array" aca="1" ref="C62" ca="1">_xludf.XLOOKUP(A62,'Batch || Working'!$C$2:$C$438,'Batch || Working'!$E$2:$E$438)</f>
        <v>#NAME?</v>
      </c>
      <c r="D62" s="22" t="b">
        <f t="shared" si="0"/>
        <v>0</v>
      </c>
    </row>
    <row r="63" spans="1:4" ht="14.25" customHeight="1">
      <c r="A63" s="22" t="s">
        <v>1235</v>
      </c>
      <c r="B63" s="22" t="s">
        <v>1710</v>
      </c>
      <c r="C63" s="22" t="e">
        <f t="array" aca="1" ref="C63" ca="1">_xludf.XLOOKUP(A63,'Batch || Working'!$C$2:$C$438,'Batch || Working'!$E$2:$E$438)</f>
        <v>#NAME?</v>
      </c>
      <c r="D63" s="22" t="b">
        <f t="shared" si="0"/>
        <v>0</v>
      </c>
    </row>
    <row r="64" spans="1:4" ht="14.25" customHeight="1">
      <c r="A64" s="22" t="s">
        <v>543</v>
      </c>
      <c r="B64" s="22" t="s">
        <v>1711</v>
      </c>
      <c r="C64" s="22" t="e">
        <f t="array" aca="1" ref="C64" ca="1">_xludf.XLOOKUP(A64,'Batch || Working'!$C$2:$C$438,'Batch || Working'!$E$2:$E$438)</f>
        <v>#NAME?</v>
      </c>
      <c r="D64" s="22" t="b">
        <f t="shared" si="0"/>
        <v>0</v>
      </c>
    </row>
    <row r="65" spans="1:4" ht="14.25" customHeight="1">
      <c r="A65" s="22" t="s">
        <v>699</v>
      </c>
      <c r="B65" s="22" t="s">
        <v>1610</v>
      </c>
      <c r="C65" s="22" t="e">
        <f t="array" aca="1" ref="C65" ca="1">_xludf.XLOOKUP(A65,'Batch || Working'!$C$2:$C$438,'Batch || Working'!$E$2:$E$438)</f>
        <v>#NAME?</v>
      </c>
      <c r="D65" s="22" t="b">
        <f t="shared" si="0"/>
        <v>0</v>
      </c>
    </row>
    <row r="66" spans="1:4" ht="14.25" customHeight="1">
      <c r="A66" s="22" t="s">
        <v>1238</v>
      </c>
      <c r="B66" s="22" t="s">
        <v>1715</v>
      </c>
      <c r="C66" s="144" t="e">
        <f t="array" aca="1" ref="C66" ca="1">_xludf.XLOOKUP(A66,'Batch || Working'!$C$2:$C$438,'Batch || Working'!$E$2:$E$438)</f>
        <v>#NAME?</v>
      </c>
      <c r="D66" s="22" t="b">
        <f t="shared" si="0"/>
        <v>0</v>
      </c>
    </row>
    <row r="67" spans="1:4" ht="14.25" customHeight="1">
      <c r="A67" s="22" t="s">
        <v>226</v>
      </c>
      <c r="B67" s="22" t="s">
        <v>1856</v>
      </c>
      <c r="C67" s="22" t="e">
        <f t="array" aca="1" ref="C67" ca="1">_xludf.XLOOKUP(A67,'Batch || Working'!$C$2:$C$438,'Batch || Working'!$E$2:$E$438)</f>
        <v>#NAME?</v>
      </c>
      <c r="D67" s="22" t="b">
        <f t="shared" si="0"/>
        <v>0</v>
      </c>
    </row>
    <row r="68" spans="1:4" ht="14.25" customHeight="1">
      <c r="A68" s="22" t="s">
        <v>229</v>
      </c>
      <c r="B68" s="22" t="s">
        <v>1614</v>
      </c>
      <c r="C68" s="22" t="e">
        <f t="array" aca="1" ref="C68" ca="1">_xludf.XLOOKUP(A68,'Batch || Working'!$C$2:$C$438,'Batch || Working'!$E$2:$E$438)</f>
        <v>#NAME?</v>
      </c>
      <c r="D68" s="22" t="b">
        <f t="shared" si="0"/>
        <v>0</v>
      </c>
    </row>
    <row r="69" spans="1:4" ht="14.25" customHeight="1">
      <c r="A69" s="22" t="s">
        <v>230</v>
      </c>
      <c r="B69" s="22" t="s">
        <v>1832</v>
      </c>
      <c r="C69" s="22" t="e">
        <f t="array" aca="1" ref="C69" ca="1">_xludf.XLOOKUP(A69,'Batch || Working'!$C$2:$C$438,'Batch || Working'!$E$2:$E$438)</f>
        <v>#NAME?</v>
      </c>
      <c r="D69" s="22" t="b">
        <f t="shared" si="0"/>
        <v>0</v>
      </c>
    </row>
    <row r="70" spans="1:4" ht="14.25" customHeight="1">
      <c r="A70" s="22" t="s">
        <v>380</v>
      </c>
      <c r="B70" s="22" t="s">
        <v>1916</v>
      </c>
      <c r="C70" s="22" t="e">
        <f t="array" aca="1" ref="C70" ca="1">_xludf.XLOOKUP(A70,'Batch || Working'!$C$2:$C$438,'Batch || Working'!$E$2:$E$438)</f>
        <v>#NAME?</v>
      </c>
      <c r="D70" s="22" t="b">
        <f t="shared" si="0"/>
        <v>0</v>
      </c>
    </row>
    <row r="71" spans="1:4" ht="14.25" customHeight="1">
      <c r="A71" s="22" t="s">
        <v>234</v>
      </c>
      <c r="B71" s="22" t="s">
        <v>1616</v>
      </c>
      <c r="C71" s="22" t="e">
        <f t="array" aca="1" ref="C71" ca="1">_xludf.XLOOKUP(A71,'Batch || Working'!$C$2:$C$438,'Batch || Working'!$E$2:$E$438)</f>
        <v>#NAME?</v>
      </c>
      <c r="D71" s="22" t="b">
        <f t="shared" si="0"/>
        <v>0</v>
      </c>
    </row>
    <row r="72" spans="1:4" ht="14.25" customHeight="1">
      <c r="A72" s="22" t="s">
        <v>236</v>
      </c>
      <c r="B72" s="22" t="s">
        <v>1718</v>
      </c>
      <c r="C72" s="22" t="e">
        <f t="array" aca="1" ref="C72" ca="1">_xludf.XLOOKUP(A72,'Batch || Working'!$C$2:$C$438,'Batch || Working'!$E$2:$E$438)</f>
        <v>#NAME?</v>
      </c>
      <c r="D72" s="22" t="b">
        <f t="shared" si="0"/>
        <v>0</v>
      </c>
    </row>
    <row r="73" spans="1:4" ht="14.25" customHeight="1">
      <c r="A73" s="22" t="s">
        <v>238</v>
      </c>
      <c r="B73" s="22" t="s">
        <v>1939</v>
      </c>
      <c r="C73" s="22" t="e">
        <f t="array" aca="1" ref="C73" ca="1">_xludf.XLOOKUP(A73,'Batch || Working'!$C$2:$C$438,'Batch || Working'!$E$2:$E$438)</f>
        <v>#NAME?</v>
      </c>
      <c r="D73" s="22" t="b">
        <f t="shared" si="0"/>
        <v>0</v>
      </c>
    </row>
    <row r="74" spans="1:4" ht="14.25" customHeight="1">
      <c r="A74" s="22" t="s">
        <v>239</v>
      </c>
      <c r="B74" s="22" t="s">
        <v>1923</v>
      </c>
      <c r="C74" s="22" t="e">
        <f t="array" aca="1" ref="C74" ca="1">_xludf.XLOOKUP(A74,'Batch || Working'!$C$2:$C$438,'Batch || Working'!$E$2:$E$438)</f>
        <v>#NAME?</v>
      </c>
      <c r="D74" s="22" t="b">
        <f t="shared" si="0"/>
        <v>0</v>
      </c>
    </row>
    <row r="75" spans="1:4" ht="14.25" customHeight="1">
      <c r="A75" s="22" t="s">
        <v>447</v>
      </c>
      <c r="B75" s="22" t="s">
        <v>1886</v>
      </c>
      <c r="C75" s="22" t="e">
        <f t="array" aca="1" ref="C75" ca="1">_xludf.XLOOKUP(A75,'Batch || Working'!$C$2:$C$438,'Batch || Working'!$E$2:$E$438)</f>
        <v>#NAME?</v>
      </c>
      <c r="D75" s="22" t="b">
        <f t="shared" si="0"/>
        <v>0</v>
      </c>
    </row>
    <row r="76" spans="1:4" ht="14.25" customHeight="1">
      <c r="A76" s="22" t="s">
        <v>240</v>
      </c>
      <c r="B76" s="22" t="s">
        <v>1720</v>
      </c>
      <c r="C76" s="22" t="e">
        <f t="array" aca="1" ref="C76" ca="1">_xludf.XLOOKUP(A76,'Batch || Working'!$C$2:$C$438,'Batch || Working'!$E$2:$E$438)</f>
        <v>#NAME?</v>
      </c>
      <c r="D76" s="22" t="b">
        <f t="shared" si="0"/>
        <v>0</v>
      </c>
    </row>
    <row r="77" spans="1:4" ht="14.25" customHeight="1">
      <c r="A77" s="22" t="s">
        <v>454</v>
      </c>
      <c r="B77" s="22" t="s">
        <v>1917</v>
      </c>
      <c r="C77" s="22" t="e">
        <f t="array" aca="1" ref="C77" ca="1">_xludf.XLOOKUP(A77,'Batch || Working'!$C$2:$C$438,'Batch || Working'!$E$2:$E$438)</f>
        <v>#NAME?</v>
      </c>
      <c r="D77" s="22" t="b">
        <f t="shared" si="0"/>
        <v>0</v>
      </c>
    </row>
    <row r="78" spans="1:4" ht="14.25" customHeight="1">
      <c r="A78" s="22" t="s">
        <v>457</v>
      </c>
      <c r="B78" s="22" t="s">
        <v>1721</v>
      </c>
      <c r="C78" s="22" t="e">
        <f t="array" aca="1" ref="C78" ca="1">_xludf.XLOOKUP(A78,'Batch || Working'!$C$2:$C$438,'Batch || Working'!$E$2:$E$438)</f>
        <v>#NAME?</v>
      </c>
      <c r="D78" s="22" t="b">
        <f t="shared" si="0"/>
        <v>0</v>
      </c>
    </row>
    <row r="79" spans="1:4" ht="14.25" customHeight="1">
      <c r="A79" s="22" t="s">
        <v>246</v>
      </c>
      <c r="B79" s="22" t="s">
        <v>1208</v>
      </c>
      <c r="C79" s="144" t="e">
        <f t="array" aca="1" ref="C79" ca="1">_xludf.XLOOKUP(A79,'Batch || Working'!$C$2:$C$438,'Batch || Working'!$E$2:$E$438)</f>
        <v>#NAME?</v>
      </c>
      <c r="D79" s="22" t="b">
        <f t="shared" si="0"/>
        <v>0</v>
      </c>
    </row>
    <row r="80" spans="1:4" ht="14.25" customHeight="1">
      <c r="A80" s="22" t="s">
        <v>477</v>
      </c>
      <c r="B80" s="22" t="s">
        <v>1623</v>
      </c>
      <c r="C80" s="22" t="e">
        <f t="array" aca="1" ref="C80" ca="1">_xludf.XLOOKUP(A80,'Batch || Working'!$C$2:$C$438,'Batch || Working'!$E$2:$E$438)</f>
        <v>#NAME?</v>
      </c>
      <c r="D80" s="22" t="b">
        <f t="shared" si="0"/>
        <v>0</v>
      </c>
    </row>
    <row r="81" spans="1:4" ht="14.25" customHeight="1">
      <c r="A81" s="22" t="s">
        <v>249</v>
      </c>
      <c r="B81" s="22" t="s">
        <v>1901</v>
      </c>
      <c r="C81" s="22" t="e">
        <f t="array" aca="1" ref="C81" ca="1">_xludf.XLOOKUP(A81,'Batch || Working'!$C$2:$C$438,'Batch || Working'!$E$2:$E$438)</f>
        <v>#NAME?</v>
      </c>
      <c r="D81" s="22" t="b">
        <f t="shared" si="0"/>
        <v>0</v>
      </c>
    </row>
    <row r="82" spans="1:4" ht="14.25" customHeight="1">
      <c r="A82" s="22" t="s">
        <v>255</v>
      </c>
      <c r="B82" s="22" t="s">
        <v>1629</v>
      </c>
      <c r="C82" s="22" t="e">
        <f t="array" aca="1" ref="C82" ca="1">_xludf.XLOOKUP(A82,'Batch || Working'!$C$2:$C$438,'Batch || Working'!$E$2:$E$438)</f>
        <v>#NAME?</v>
      </c>
      <c r="D82" s="22" t="b">
        <f t="shared" si="0"/>
        <v>0</v>
      </c>
    </row>
    <row r="83" spans="1:4" ht="14.25" customHeight="1">
      <c r="A83" s="22" t="s">
        <v>578</v>
      </c>
      <c r="B83" s="22" t="s">
        <v>1723</v>
      </c>
      <c r="C83" s="22" t="e">
        <f t="array" aca="1" ref="C83" ca="1">_xludf.XLOOKUP(A83,'Batch || Working'!$C$2:$C$438,'Batch || Working'!$E$2:$E$438)</f>
        <v>#NAME?</v>
      </c>
      <c r="D83" s="22" t="b">
        <f t="shared" si="0"/>
        <v>0</v>
      </c>
    </row>
    <row r="84" spans="1:4" ht="14.25" customHeight="1">
      <c r="A84" s="22" t="s">
        <v>583</v>
      </c>
      <c r="B84" s="22" t="s">
        <v>1724</v>
      </c>
      <c r="C84" s="22" t="e">
        <f t="array" aca="1" ref="C84" ca="1">_xludf.XLOOKUP(A84,'Batch || Working'!$C$2:$C$438,'Batch || Working'!$E$2:$E$438)</f>
        <v>#NAME?</v>
      </c>
      <c r="D84" s="22" t="b">
        <f t="shared" si="0"/>
        <v>0</v>
      </c>
    </row>
    <row r="85" spans="1:4" ht="14.25" customHeight="1">
      <c r="A85" s="22" t="s">
        <v>586</v>
      </c>
      <c r="B85" s="22" t="s">
        <v>1890</v>
      </c>
      <c r="C85" s="22" t="e">
        <f t="array" aca="1" ref="C85" ca="1">_xludf.XLOOKUP(A85,'Batch || Working'!$C$2:$C$438,'Batch || Working'!$E$2:$E$438)</f>
        <v>#NAME?</v>
      </c>
      <c r="D85" s="22" t="b">
        <f t="shared" si="0"/>
        <v>0</v>
      </c>
    </row>
    <row r="86" spans="1:4" ht="14.25" customHeight="1">
      <c r="A86" s="22" t="s">
        <v>595</v>
      </c>
      <c r="B86" s="22" t="s">
        <v>1919</v>
      </c>
      <c r="C86" s="22" t="e">
        <f t="array" aca="1" ref="C86" ca="1">_xludf.XLOOKUP(A86,'Batch || Working'!$C$2:$C$438,'Batch || Working'!$E$2:$E$438)</f>
        <v>#NAME?</v>
      </c>
      <c r="D86" s="22" t="b">
        <f t="shared" si="0"/>
        <v>0</v>
      </c>
    </row>
    <row r="87" spans="1:4" ht="14.25" customHeight="1">
      <c r="A87" s="22" t="s">
        <v>606</v>
      </c>
      <c r="B87" s="22" t="s">
        <v>1633</v>
      </c>
      <c r="C87" s="22" t="e">
        <f t="array" aca="1" ref="C87" ca="1">_xludf.XLOOKUP(A87,'Batch || Working'!$C$2:$C$438,'Batch || Working'!$E$2:$E$438)</f>
        <v>#NAME?</v>
      </c>
      <c r="D87" s="22" t="b">
        <f t="shared" si="0"/>
        <v>0</v>
      </c>
    </row>
    <row r="88" spans="1:4" ht="14.25" customHeight="1">
      <c r="A88" s="22" t="s">
        <v>260</v>
      </c>
      <c r="B88" s="22" t="s">
        <v>1874</v>
      </c>
      <c r="C88" s="22" t="e">
        <f t="array" aca="1" ref="C88" ca="1">_xludf.XLOOKUP(A88,'Batch || Working'!$C$2:$C$438,'Batch || Working'!$E$2:$E$438)</f>
        <v>#NAME?</v>
      </c>
      <c r="D88" s="22" t="b">
        <f t="shared" si="0"/>
        <v>0</v>
      </c>
    </row>
    <row r="89" spans="1:4" ht="14.25" customHeight="1">
      <c r="A89" s="22" t="s">
        <v>261</v>
      </c>
      <c r="B89" s="22" t="s">
        <v>1920</v>
      </c>
      <c r="C89" s="22" t="e">
        <f t="array" aca="1" ref="C89" ca="1">_xludf.XLOOKUP(A89,'Batch || Working'!$C$2:$C$438,'Batch || Working'!$E$2:$E$438)</f>
        <v>#NAME?</v>
      </c>
      <c r="D89" s="22" t="b">
        <f t="shared" si="0"/>
        <v>0</v>
      </c>
    </row>
    <row r="90" spans="1:4" ht="14.25" customHeight="1">
      <c r="A90" s="22" t="s">
        <v>623</v>
      </c>
      <c r="B90" s="22" t="s">
        <v>1636</v>
      </c>
      <c r="C90" s="22" t="e">
        <f t="array" aca="1" ref="C90" ca="1">_xludf.XLOOKUP(A90,'Batch || Working'!$C$2:$C$438,'Batch || Working'!$E$2:$E$438)</f>
        <v>#NAME?</v>
      </c>
      <c r="D90" s="22" t="b">
        <f t="shared" si="0"/>
        <v>0</v>
      </c>
    </row>
    <row r="91" spans="1:4" ht="14.25" customHeight="1">
      <c r="A91" s="22" t="s">
        <v>628</v>
      </c>
      <c r="B91" s="22" t="s">
        <v>1902</v>
      </c>
      <c r="C91" s="22" t="e">
        <f t="array" aca="1" ref="C91" ca="1">_xludf.XLOOKUP(A91,'Batch || Working'!$C$2:$C$438,'Batch || Working'!$E$2:$E$438)</f>
        <v>#NAME?</v>
      </c>
      <c r="D91" s="22" t="b">
        <f t="shared" si="0"/>
        <v>0</v>
      </c>
    </row>
    <row r="92" spans="1:4" ht="14.25" customHeight="1">
      <c r="A92" s="22" t="s">
        <v>631</v>
      </c>
      <c r="B92" s="22" t="s">
        <v>1637</v>
      </c>
      <c r="C92" s="22" t="e">
        <f t="array" aca="1" ref="C92" ca="1">_xludf.XLOOKUP(A92,'Batch || Working'!$C$2:$C$438,'Batch || Working'!$E$2:$E$438)</f>
        <v>#NAME?</v>
      </c>
      <c r="D92" s="22" t="b">
        <f t="shared" si="0"/>
        <v>0</v>
      </c>
    </row>
    <row r="93" spans="1:4" ht="14.25" customHeight="1">
      <c r="A93" s="22" t="s">
        <v>640</v>
      </c>
      <c r="B93" s="22" t="s">
        <v>1925</v>
      </c>
      <c r="C93" s="22" t="e">
        <f t="array" aca="1" ref="C93" ca="1">_xludf.XLOOKUP(A93,'Batch || Working'!$C$2:$C$438,'Batch || Working'!$E$2:$E$438)</f>
        <v>#NAME?</v>
      </c>
      <c r="D93" s="22" t="b">
        <f t="shared" si="0"/>
        <v>0</v>
      </c>
    </row>
    <row r="94" spans="1:4" ht="14.25" customHeight="1">
      <c r="A94" s="22" t="s">
        <v>717</v>
      </c>
      <c r="B94" s="22" t="s">
        <v>1772</v>
      </c>
      <c r="C94" s="22" t="e">
        <f t="array" aca="1" ref="C94" ca="1">_xludf.XLOOKUP(A94,'Batch || Working'!$C$2:$C$438,'Batch || Working'!$E$2:$E$438)</f>
        <v>#NAME?</v>
      </c>
      <c r="D94" s="22" t="b">
        <f t="shared" si="0"/>
        <v>0</v>
      </c>
    </row>
    <row r="95" spans="1:4" ht="14.25" customHeight="1">
      <c r="A95" s="22" t="s">
        <v>648</v>
      </c>
      <c r="B95" s="22" t="s">
        <v>1728</v>
      </c>
      <c r="C95" s="22" t="e">
        <f t="array" aca="1" ref="C95" ca="1">_xludf.XLOOKUP(A95,'Batch || Working'!$C$2:$C$438,'Batch || Working'!$E$2:$E$438)</f>
        <v>#NAME?</v>
      </c>
      <c r="D95" s="22" t="b">
        <f t="shared" si="0"/>
        <v>0</v>
      </c>
    </row>
    <row r="96" spans="1:4" ht="14.25" customHeight="1">
      <c r="A96" s="22" t="s">
        <v>653</v>
      </c>
      <c r="B96" s="22" t="s">
        <v>1638</v>
      </c>
      <c r="C96" s="22" t="e">
        <f t="array" aca="1" ref="C96" ca="1">_xludf.XLOOKUP(A96,'Batch || Working'!$C$2:$C$438,'Batch || Working'!$E$2:$E$438)</f>
        <v>#NAME?</v>
      </c>
      <c r="D96" s="22" t="b">
        <f t="shared" si="0"/>
        <v>0</v>
      </c>
    </row>
    <row r="97" spans="1:4" ht="14.25" customHeight="1">
      <c r="A97" s="22" t="s">
        <v>662</v>
      </c>
      <c r="B97" s="22" t="s">
        <v>1774</v>
      </c>
      <c r="C97" s="22" t="e">
        <f t="array" aca="1" ref="C97" ca="1">_xludf.XLOOKUP(A97,'Batch || Working'!$C$2:$C$438,'Batch || Working'!$E$2:$E$438)</f>
        <v>#NAME?</v>
      </c>
      <c r="D97" s="22" t="b">
        <f t="shared" si="0"/>
        <v>0</v>
      </c>
    </row>
    <row r="98" spans="1:4" ht="14.25" customHeight="1">
      <c r="A98" s="22" t="s">
        <v>266</v>
      </c>
      <c r="B98" s="22" t="s">
        <v>1640</v>
      </c>
      <c r="C98" s="22" t="e">
        <f t="array" aca="1" ref="C98" ca="1">_xludf.XLOOKUP(A98,'Batch || Working'!$C$2:$C$438,'Batch || Working'!$E$2:$E$438)</f>
        <v>#NAME?</v>
      </c>
      <c r="D98" s="22" t="b">
        <f t="shared" si="0"/>
        <v>0</v>
      </c>
    </row>
    <row r="99" spans="1:4" ht="14.25" customHeight="1">
      <c r="A99" s="22" t="s">
        <v>747</v>
      </c>
      <c r="B99" s="22" t="s">
        <v>1776</v>
      </c>
      <c r="C99" s="22" t="e">
        <f t="array" aca="1" ref="C99" ca="1">_xludf.XLOOKUP(A99,'Batch || Working'!$C$2:$C$438,'Batch || Working'!$E$2:$E$438)</f>
        <v>#NAME?</v>
      </c>
      <c r="D99" s="22" t="b">
        <f t="shared" si="0"/>
        <v>0</v>
      </c>
    </row>
    <row r="100" spans="1:4" ht="14.25" customHeight="1">
      <c r="A100" s="22" t="s">
        <v>758</v>
      </c>
      <c r="B100" s="22" t="s">
        <v>1644</v>
      </c>
      <c r="C100" s="22" t="e">
        <f t="array" aca="1" ref="C100" ca="1">_xludf.XLOOKUP(A100,'Batch || Working'!$C$2:$C$438,'Batch || Working'!$E$2:$E$438)</f>
        <v>#NAME?</v>
      </c>
      <c r="D100" s="22" t="b">
        <f t="shared" si="0"/>
        <v>0</v>
      </c>
    </row>
    <row r="101" spans="1:4" ht="14.25" customHeight="1">
      <c r="A101" s="22" t="s">
        <v>271</v>
      </c>
      <c r="B101" s="22" t="s">
        <v>1647</v>
      </c>
      <c r="C101" s="22" t="e">
        <f t="array" aca="1" ref="C101" ca="1">_xludf.XLOOKUP(A101,'Batch || Working'!$C$2:$C$438,'Batch || Working'!$E$2:$E$438)</f>
        <v>#NAME?</v>
      </c>
      <c r="D101" s="22" t="b">
        <f t="shared" si="0"/>
        <v>0</v>
      </c>
    </row>
    <row r="102" spans="1:4" ht="14.25" customHeight="1">
      <c r="A102" s="22" t="s">
        <v>805</v>
      </c>
      <c r="B102" s="22" t="s">
        <v>1842</v>
      </c>
      <c r="C102" s="22" t="e">
        <f t="array" aca="1" ref="C102" ca="1">_xludf.XLOOKUP(A102,'Batch || Working'!$C$2:$C$438,'Batch || Working'!$E$2:$E$438)</f>
        <v>#NAME?</v>
      </c>
      <c r="D102" s="22" t="b">
        <f t="shared" si="0"/>
        <v>0</v>
      </c>
    </row>
    <row r="103" spans="1:4" ht="14.25" customHeight="1">
      <c r="A103" s="22" t="s">
        <v>808</v>
      </c>
      <c r="B103" s="22" t="s">
        <v>1730</v>
      </c>
      <c r="C103" s="22" t="e">
        <f t="array" aca="1" ref="C103" ca="1">_xludf.XLOOKUP(A103,'Batch || Working'!$C$2:$C$438,'Batch || Working'!$E$2:$E$438)</f>
        <v>#NAME?</v>
      </c>
      <c r="D103" s="22" t="b">
        <f t="shared" si="0"/>
        <v>0</v>
      </c>
    </row>
    <row r="104" spans="1:4" ht="14.25" customHeight="1">
      <c r="A104" s="22" t="s">
        <v>813</v>
      </c>
      <c r="B104" s="22" t="s">
        <v>1921</v>
      </c>
      <c r="C104" s="22" t="e">
        <f t="array" aca="1" ref="C104" ca="1">_xludf.XLOOKUP(A104,'Batch || Working'!$C$2:$C$438,'Batch || Working'!$E$2:$E$438)</f>
        <v>#NAME?</v>
      </c>
      <c r="D104" s="22" t="b">
        <f t="shared" si="0"/>
        <v>0</v>
      </c>
    </row>
    <row r="105" spans="1:4" ht="14.25" customHeight="1">
      <c r="A105" s="22" t="s">
        <v>816</v>
      </c>
      <c r="B105" s="22" t="s">
        <v>1861</v>
      </c>
      <c r="C105" s="22" t="e">
        <f t="array" aca="1" ref="C105" ca="1">_xludf.XLOOKUP(A105,'Batch || Working'!$C$2:$C$438,'Batch || Working'!$E$2:$E$438)</f>
        <v>#NAME?</v>
      </c>
      <c r="D105" s="22" t="b">
        <f t="shared" si="0"/>
        <v>0</v>
      </c>
    </row>
    <row r="106" spans="1:4" ht="14.25" customHeight="1">
      <c r="A106" s="22" t="s">
        <v>831</v>
      </c>
      <c r="B106" s="22" t="s">
        <v>1731</v>
      </c>
      <c r="C106" s="22" t="e">
        <f t="array" aca="1" ref="C106" ca="1">_xludf.XLOOKUP(A106,'Batch || Working'!$C$2:$C$438,'Batch || Working'!$E$2:$E$438)</f>
        <v>#NAME?</v>
      </c>
      <c r="D106" s="22" t="b">
        <f t="shared" si="0"/>
        <v>0</v>
      </c>
    </row>
    <row r="107" spans="1:4" ht="14.25" customHeight="1">
      <c r="A107" s="22" t="s">
        <v>836</v>
      </c>
      <c r="B107" s="22" t="s">
        <v>1655</v>
      </c>
      <c r="C107" s="22" t="e">
        <f t="array" aca="1" ref="C107" ca="1">_xludf.XLOOKUP(A107,'Batch || Working'!$C$2:$C$438,'Batch || Working'!$E$2:$E$438)</f>
        <v>#NAME?</v>
      </c>
      <c r="D107" s="22" t="b">
        <f t="shared" si="0"/>
        <v>0</v>
      </c>
    </row>
    <row r="108" spans="1:4" ht="14.25" customHeight="1">
      <c r="A108" s="22" t="s">
        <v>851</v>
      </c>
      <c r="B108" s="22" t="s">
        <v>1789</v>
      </c>
      <c r="C108" s="22" t="e">
        <f t="array" aca="1" ref="C108" ca="1">_xludf.XLOOKUP(A108,'Batch || Working'!$C$2:$C$438,'Batch || Working'!$E$2:$E$438)</f>
        <v>#NAME?</v>
      </c>
      <c r="D108" s="22" t="b">
        <f t="shared" si="0"/>
        <v>0</v>
      </c>
    </row>
    <row r="109" spans="1:4" ht="14.25" customHeight="1">
      <c r="A109" s="22" t="s">
        <v>283</v>
      </c>
      <c r="B109" s="22" t="s">
        <v>1904</v>
      </c>
      <c r="C109" s="22" t="e">
        <f t="array" aca="1" ref="C109" ca="1">_xludf.XLOOKUP(A109,'Batch || Working'!$C$2:$C$438,'Batch || Working'!$E$2:$E$438)</f>
        <v>#NAME?</v>
      </c>
      <c r="D109" s="22" t="b">
        <f t="shared" si="0"/>
        <v>0</v>
      </c>
    </row>
    <row r="110" spans="1:4" ht="14.25" customHeight="1">
      <c r="A110" s="22" t="s">
        <v>911</v>
      </c>
      <c r="B110" s="22" t="s">
        <v>1906</v>
      </c>
      <c r="C110" s="22" t="e">
        <f t="array" aca="1" ref="C110" ca="1">_xludf.XLOOKUP(A110,'Batch || Working'!$C$2:$C$438,'Batch || Working'!$E$2:$E$438)</f>
        <v>#NAME?</v>
      </c>
      <c r="D110" s="22" t="b">
        <f t="shared" si="0"/>
        <v>0</v>
      </c>
    </row>
    <row r="111" spans="1:4" ht="14.25" customHeight="1">
      <c r="A111" s="22" t="s">
        <v>723</v>
      </c>
      <c r="B111" s="22" t="s">
        <v>724</v>
      </c>
      <c r="C111" s="22" t="e">
        <f t="array" aca="1" ref="C111" ca="1">_xludf.XLOOKUP(A111,'Batch || Working'!$C$2:$C$438,'Batch || Working'!$E$2:$E$438)</f>
        <v>#NAME?</v>
      </c>
      <c r="D111" s="22" t="b">
        <f t="shared" si="0"/>
        <v>0</v>
      </c>
    </row>
    <row r="112" spans="1:4" ht="14.25" customHeight="1">
      <c r="A112" s="22" t="s">
        <v>287</v>
      </c>
      <c r="B112" s="22" t="s">
        <v>1922</v>
      </c>
      <c r="C112" s="22" t="e">
        <f t="array" aca="1" ref="C112" ca="1">_xludf.XLOOKUP(A112,'Batch || Working'!$C$2:$C$438,'Batch || Working'!$E$2:$E$438)</f>
        <v>#NAME?</v>
      </c>
      <c r="D112" s="22" t="b">
        <f t="shared" si="0"/>
        <v>0</v>
      </c>
    </row>
    <row r="113" spans="1:4" ht="14.25" customHeight="1">
      <c r="A113" s="22" t="s">
        <v>290</v>
      </c>
      <c r="B113" s="22" t="s">
        <v>1926</v>
      </c>
      <c r="C113" s="22" t="e">
        <f t="array" aca="1" ref="C113" ca="1">_xludf.XLOOKUP(A113,'Batch || Working'!$C$2:$C$438,'Batch || Working'!$E$2:$E$438)</f>
        <v>#NAME?</v>
      </c>
      <c r="D113" s="22" t="b">
        <f t="shared" si="0"/>
        <v>0</v>
      </c>
    </row>
    <row r="114" spans="1:4" ht="14.25" customHeight="1">
      <c r="A114" s="22" t="s">
        <v>940</v>
      </c>
      <c r="B114" s="22" t="s">
        <v>1927</v>
      </c>
      <c r="C114" s="22" t="e">
        <f t="array" aca="1" ref="C114" ca="1">_xludf.XLOOKUP(A114,'Batch || Working'!$C$2:$C$438,'Batch || Working'!$E$2:$E$438)</f>
        <v>#NAME?</v>
      </c>
      <c r="D114" s="22" t="b">
        <f t="shared" si="0"/>
        <v>0</v>
      </c>
    </row>
    <row r="115" spans="1:4" ht="14.25" customHeight="1">
      <c r="A115" s="22" t="s">
        <v>946</v>
      </c>
      <c r="B115" s="22" t="s">
        <v>1733</v>
      </c>
      <c r="C115" s="22" t="e">
        <f t="array" aca="1" ref="C115" ca="1">_xludf.XLOOKUP(A115,'Batch || Working'!$C$2:$C$438,'Batch || Working'!$E$2:$E$438)</f>
        <v>#NAME?</v>
      </c>
      <c r="D115" s="22" t="b">
        <f t="shared" si="0"/>
        <v>0</v>
      </c>
    </row>
    <row r="116" spans="1:4" ht="14.25" customHeight="1">
      <c r="A116" s="22" t="s">
        <v>956</v>
      </c>
      <c r="B116" s="22" t="s">
        <v>1734</v>
      </c>
      <c r="C116" s="22" t="e">
        <f t="array" aca="1" ref="C116" ca="1">_xludf.XLOOKUP(A116,'Batch || Working'!$C$2:$C$438,'Batch || Working'!$E$2:$E$438)</f>
        <v>#NAME?</v>
      </c>
      <c r="D116" s="22" t="b">
        <f t="shared" si="0"/>
        <v>0</v>
      </c>
    </row>
    <row r="117" spans="1:4" ht="14.25" customHeight="1">
      <c r="A117" s="22" t="s">
        <v>295</v>
      </c>
      <c r="B117" s="22" t="s">
        <v>1893</v>
      </c>
      <c r="C117" s="22" t="e">
        <f t="array" aca="1" ref="C117" ca="1">_xludf.XLOOKUP(A117,'Batch || Working'!$C$2:$C$438,'Batch || Working'!$E$2:$E$438)</f>
        <v>#NAME?</v>
      </c>
      <c r="D117" s="22" t="b">
        <f t="shared" si="0"/>
        <v>0</v>
      </c>
    </row>
    <row r="118" spans="1:4" ht="14.25" customHeight="1">
      <c r="A118" s="22" t="s">
        <v>296</v>
      </c>
      <c r="B118" s="22" t="s">
        <v>1667</v>
      </c>
      <c r="C118" s="22" t="e">
        <f t="array" aca="1" ref="C118" ca="1">_xludf.XLOOKUP(A118,'Batch || Working'!$C$2:$C$438,'Batch || Working'!$E$2:$E$438)</f>
        <v>#NAME?</v>
      </c>
      <c r="D118" s="22" t="b">
        <f t="shared" si="0"/>
        <v>0</v>
      </c>
    </row>
    <row r="119" spans="1:4" ht="14.25" customHeight="1">
      <c r="A119" s="22" t="s">
        <v>976</v>
      </c>
      <c r="B119" s="22" t="s">
        <v>1928</v>
      </c>
      <c r="C119" s="22" t="e">
        <f t="array" aca="1" ref="C119" ca="1">_xludf.XLOOKUP(A119,'Batch || Working'!$C$2:$C$438,'Batch || Working'!$E$2:$E$438)</f>
        <v>#NAME?</v>
      </c>
      <c r="D119" s="22" t="b">
        <f t="shared" si="0"/>
        <v>0</v>
      </c>
    </row>
    <row r="120" spans="1:4" ht="14.25" customHeight="1">
      <c r="A120" s="22" t="s">
        <v>297</v>
      </c>
      <c r="B120" s="22" t="s">
        <v>1934</v>
      </c>
      <c r="C120" s="22" t="e">
        <f t="array" aca="1" ref="C120" ca="1">_xludf.XLOOKUP(A120,'Batch || Working'!$C$2:$C$438,'Batch || Working'!$E$2:$E$438)</f>
        <v>#NAME?</v>
      </c>
      <c r="D120" s="22" t="b">
        <f t="shared" si="0"/>
        <v>0</v>
      </c>
    </row>
    <row r="121" spans="1:4" ht="14.25" customHeight="1">
      <c r="A121" s="22" t="s">
        <v>1022</v>
      </c>
      <c r="B121" s="22" t="s">
        <v>1908</v>
      </c>
      <c r="C121" s="22" t="e">
        <f t="array" aca="1" ref="C121" ca="1">_xludf.XLOOKUP(A121,'Batch || Working'!$C$2:$C$438,'Batch || Working'!$E$2:$E$438)</f>
        <v>#NAME?</v>
      </c>
      <c r="D121" s="22" t="b">
        <f t="shared" si="0"/>
        <v>0</v>
      </c>
    </row>
    <row r="122" spans="1:4" ht="14.25" customHeight="1">
      <c r="A122" s="22" t="s">
        <v>1078</v>
      </c>
      <c r="B122" s="22" t="s">
        <v>1673</v>
      </c>
      <c r="C122" s="22" t="e">
        <f t="array" aca="1" ref="C122" ca="1">_xludf.XLOOKUP(A122,'Batch || Working'!$C$2:$C$438,'Batch || Working'!$E$2:$E$438)</f>
        <v>#NAME?</v>
      </c>
      <c r="D122" s="22" t="b">
        <f t="shared" si="0"/>
        <v>0</v>
      </c>
    </row>
    <row r="123" spans="1:4" ht="14.25" customHeight="1">
      <c r="A123" s="22" t="s">
        <v>1081</v>
      </c>
      <c r="B123" s="22" t="s">
        <v>1674</v>
      </c>
      <c r="C123" s="22" t="e">
        <f t="array" aca="1" ref="C123" ca="1">_xludf.XLOOKUP(A123,'Batch || Working'!$C$2:$C$438,'Batch || Working'!$E$2:$E$438)</f>
        <v>#NAME?</v>
      </c>
      <c r="D123" s="22" t="b">
        <f t="shared" si="0"/>
        <v>0</v>
      </c>
    </row>
    <row r="124" spans="1:4" ht="14.25" customHeight="1">
      <c r="A124" s="22" t="s">
        <v>1084</v>
      </c>
      <c r="B124" s="22" t="s">
        <v>1675</v>
      </c>
      <c r="C124" s="22" t="e">
        <f t="array" aca="1" ref="C124" ca="1">_xludf.XLOOKUP(A124,'Batch || Working'!$C$2:$C$438,'Batch || Working'!$E$2:$E$438)</f>
        <v>#NAME?</v>
      </c>
      <c r="D124" s="22" t="b">
        <f t="shared" si="0"/>
        <v>0</v>
      </c>
    </row>
    <row r="125" spans="1:4" ht="14.25" customHeight="1">
      <c r="A125" s="22" t="s">
        <v>1090</v>
      </c>
      <c r="B125" s="22" t="s">
        <v>1909</v>
      </c>
      <c r="C125" s="22" t="e">
        <f t="array" aca="1" ref="C125" ca="1">_xludf.XLOOKUP(A125,'Batch || Working'!$C$2:$C$438,'Batch || Working'!$E$2:$E$438)</f>
        <v>#NAME?</v>
      </c>
      <c r="D125" s="22" t="b">
        <f t="shared" si="0"/>
        <v>0</v>
      </c>
    </row>
    <row r="126" spans="1:4" ht="14.25" customHeight="1">
      <c r="A126" s="22" t="s">
        <v>1101</v>
      </c>
      <c r="B126" s="22" t="s">
        <v>1803</v>
      </c>
      <c r="C126" s="22" t="e">
        <f t="array" aca="1" ref="C126" ca="1">_xludf.XLOOKUP(A126,'Batch || Working'!$C$2:$C$438,'Batch || Working'!$E$2:$E$438)</f>
        <v>#NAME?</v>
      </c>
      <c r="D126" s="22" t="b">
        <f t="shared" si="0"/>
        <v>0</v>
      </c>
    </row>
    <row r="127" spans="1:4" ht="14.25" customHeight="1">
      <c r="A127" s="22" t="s">
        <v>305</v>
      </c>
      <c r="B127" s="22" t="s">
        <v>1735</v>
      </c>
      <c r="C127" s="22" t="e">
        <f t="array" aca="1" ref="C127" ca="1">_xludf.XLOOKUP(A127,'Batch || Working'!$C$2:$C$438,'Batch || Working'!$E$2:$E$438)</f>
        <v>#NAME?</v>
      </c>
      <c r="D127" s="22" t="b">
        <f t="shared" si="0"/>
        <v>0</v>
      </c>
    </row>
    <row r="128" spans="1:4" ht="14.25" customHeight="1">
      <c r="A128" s="22" t="s">
        <v>1106</v>
      </c>
      <c r="B128" s="22" t="s">
        <v>1929</v>
      </c>
      <c r="C128" s="22" t="e">
        <f t="array" aca="1" ref="C128" ca="1">_xludf.XLOOKUP(A128,'Batch || Working'!$C$2:$C$438,'Batch || Working'!$E$2:$E$438)</f>
        <v>#NAME?</v>
      </c>
      <c r="D128" s="22" t="b">
        <f t="shared" si="0"/>
        <v>0</v>
      </c>
    </row>
    <row r="129" spans="1:4" ht="14.25" customHeight="1">
      <c r="A129" s="22" t="s">
        <v>1109</v>
      </c>
      <c r="B129" s="22" t="s">
        <v>1736</v>
      </c>
      <c r="C129" s="22" t="e">
        <f t="array" aca="1" ref="C129" ca="1">_xludf.XLOOKUP(A129,'Batch || Working'!$C$2:$C$438,'Batch || Working'!$E$2:$E$438)</f>
        <v>#NAME?</v>
      </c>
      <c r="D129" s="22" t="b">
        <f t="shared" si="0"/>
        <v>0</v>
      </c>
    </row>
    <row r="130" spans="1:4" ht="14.25" customHeight="1">
      <c r="A130" s="22" t="s">
        <v>1120</v>
      </c>
      <c r="B130" s="22" t="s">
        <v>1910</v>
      </c>
      <c r="C130" s="22" t="e">
        <f t="array" aca="1" ref="C130" ca="1">_xludf.XLOOKUP(A130,'Batch || Working'!$C$2:$C$438,'Batch || Working'!$E$2:$E$438)</f>
        <v>#NAME?</v>
      </c>
      <c r="D130" s="22" t="b">
        <f t="shared" si="0"/>
        <v>0</v>
      </c>
    </row>
    <row r="131" spans="1:4" ht="14.25" customHeight="1">
      <c r="A131" s="22" t="s">
        <v>307</v>
      </c>
      <c r="B131" s="22" t="s">
        <v>1680</v>
      </c>
      <c r="C131" s="22" t="e">
        <f t="array" aca="1" ref="C131" ca="1">_xludf.XLOOKUP(A131,'Batch || Working'!$C$2:$C$438,'Batch || Working'!$E$2:$E$438)</f>
        <v>#NAME?</v>
      </c>
      <c r="D131" s="22" t="b">
        <f t="shared" si="0"/>
        <v>0</v>
      </c>
    </row>
    <row r="132" spans="1:4" ht="14.25" customHeight="1">
      <c r="A132" s="22" t="s">
        <v>1125</v>
      </c>
      <c r="B132" s="22" t="s">
        <v>1681</v>
      </c>
      <c r="C132" s="22" t="e">
        <f t="array" aca="1" ref="C132" ca="1">_xludf.XLOOKUP(A132,'Batch || Working'!$C$2:$C$438,'Batch || Working'!$E$2:$E$438)</f>
        <v>#NAME?</v>
      </c>
      <c r="D132" s="22" t="b">
        <f t="shared" si="0"/>
        <v>0</v>
      </c>
    </row>
    <row r="133" spans="1:4" ht="14.25" customHeight="1">
      <c r="A133" s="22" t="s">
        <v>311</v>
      </c>
      <c r="B133" s="22" t="s">
        <v>1940</v>
      </c>
      <c r="C133" s="22" t="e">
        <f t="array" aca="1" ref="C133" ca="1">_xludf.XLOOKUP(A133,'Batch || Working'!$C$2:$C$438,'Batch || Working'!$E$2:$E$438)</f>
        <v>#NAME?</v>
      </c>
      <c r="D133" s="22" t="b">
        <f t="shared" si="0"/>
        <v>0</v>
      </c>
    </row>
    <row r="134" spans="1:4" ht="14.25" customHeight="1">
      <c r="A134" s="22" t="s">
        <v>1148</v>
      </c>
      <c r="B134" s="22" t="s">
        <v>1895</v>
      </c>
      <c r="C134" s="22" t="e">
        <f t="array" aca="1" ref="C134" ca="1">_xludf.XLOOKUP(A134,'Batch || Working'!$C$2:$C$438,'Batch || Working'!$E$2:$E$438)</f>
        <v>#NAME?</v>
      </c>
      <c r="D134" s="22" t="b">
        <f t="shared" si="0"/>
        <v>0</v>
      </c>
    </row>
    <row r="135" spans="1:4" ht="14.25" customHeight="1">
      <c r="A135" s="22" t="s">
        <v>313</v>
      </c>
      <c r="B135" s="22" t="s">
        <v>1686</v>
      </c>
      <c r="C135" s="22" t="e">
        <f t="array" aca="1" ref="C135" ca="1">_xludf.XLOOKUP(A135,'Batch || Working'!$C$2:$C$438,'Batch || Working'!$E$2:$E$438)</f>
        <v>#NAME?</v>
      </c>
      <c r="D135" s="22" t="b">
        <f t="shared" si="0"/>
        <v>0</v>
      </c>
    </row>
    <row r="136" spans="1:4" ht="14.25" customHeight="1">
      <c r="A136" s="22" t="s">
        <v>1167</v>
      </c>
      <c r="B136" s="22" t="s">
        <v>1740</v>
      </c>
      <c r="C136" s="22" t="e">
        <f t="array" aca="1" ref="C136" ca="1">_xludf.XLOOKUP(A136,'Batch || Working'!$C$2:$C$438,'Batch || Working'!$E$2:$E$438)</f>
        <v>#NAME?</v>
      </c>
      <c r="D136" s="22" t="b">
        <f t="shared" si="0"/>
        <v>0</v>
      </c>
    </row>
    <row r="137" spans="1:4" ht="14.25" customHeight="1">
      <c r="A137" s="22" t="s">
        <v>1172</v>
      </c>
      <c r="B137" s="22" t="s">
        <v>1687</v>
      </c>
      <c r="C137" s="22" t="e">
        <f t="array" aca="1" ref="C137" ca="1">_xludf.XLOOKUP(A137,'Batch || Working'!$C$2:$C$438,'Batch || Working'!$E$2:$E$438)</f>
        <v>#NAME?</v>
      </c>
      <c r="D137" s="22" t="b">
        <f t="shared" si="0"/>
        <v>0</v>
      </c>
    </row>
    <row r="138" spans="1:4" ht="14.25" customHeight="1">
      <c r="A138" s="22" t="s">
        <v>1175</v>
      </c>
      <c r="B138" s="22" t="s">
        <v>1864</v>
      </c>
      <c r="C138" s="22" t="e">
        <f t="array" aca="1" ref="C138" ca="1">_xludf.XLOOKUP(A138,'Batch || Working'!$C$2:$C$438,'Batch || Working'!$E$2:$E$438)</f>
        <v>#NAME?</v>
      </c>
      <c r="D138" s="22" t="b">
        <f t="shared" si="0"/>
        <v>0</v>
      </c>
    </row>
    <row r="139" spans="1:4" ht="14.25" customHeight="1">
      <c r="A139" s="22" t="s">
        <v>1182</v>
      </c>
      <c r="B139" s="22" t="s">
        <v>1688</v>
      </c>
      <c r="C139" s="22" t="e">
        <f t="array" aca="1" ref="C139" ca="1">_xludf.XLOOKUP(A139,'Batch || Working'!$C$2:$C$438,'Batch || Working'!$E$2:$E$438)</f>
        <v>#NAME?</v>
      </c>
      <c r="D139" s="22" t="b">
        <f t="shared" si="0"/>
        <v>0</v>
      </c>
    </row>
    <row r="140" spans="1:4" ht="14.25" customHeight="1">
      <c r="A140" s="22" t="s">
        <v>1188</v>
      </c>
      <c r="B140" s="22" t="s">
        <v>1935</v>
      </c>
      <c r="C140" s="22" t="e">
        <f t="array" aca="1" ref="C140" ca="1">_xludf.XLOOKUP(A140,'Batch || Working'!$C$2:$C$438,'Batch || Working'!$E$2:$E$438)</f>
        <v>#NAME?</v>
      </c>
      <c r="D140" s="22" t="b">
        <f t="shared" si="0"/>
        <v>0</v>
      </c>
    </row>
    <row r="141" spans="1:4" ht="14.25" customHeight="1">
      <c r="A141" s="22" t="s">
        <v>1200</v>
      </c>
      <c r="B141" s="22" t="s">
        <v>1691</v>
      </c>
      <c r="C141" s="22" t="e">
        <f t="array" aca="1" ref="C141" ca="1">_xludf.XLOOKUP(A141,'Batch || Working'!$C$2:$C$438,'Batch || Working'!$E$2:$E$438)</f>
        <v>#NAME?</v>
      </c>
      <c r="D141" s="22" t="b">
        <f t="shared" si="0"/>
        <v>0</v>
      </c>
    </row>
    <row r="142" spans="1:4" ht="14.25" customHeight="1"/>
    <row r="143" spans="1:4" ht="14.25" customHeight="1"/>
    <row r="144" spans="1: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955"/>
  <sheetViews>
    <sheetView workbookViewId="0"/>
  </sheetViews>
  <sheetFormatPr defaultColWidth="14.3984375" defaultRowHeight="15.75" customHeight="1"/>
  <cols>
    <col min="1" max="1" width="10.296875" customWidth="1"/>
    <col min="2" max="2" width="23.69921875" customWidth="1"/>
    <col min="3" max="3" width="40.09765625" customWidth="1"/>
    <col min="4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1259</v>
      </c>
      <c r="C2" s="22" t="s">
        <v>1260</v>
      </c>
    </row>
    <row r="3" spans="1:3" ht="14.25" customHeight="1">
      <c r="A3" s="22" t="s">
        <v>1261</v>
      </c>
      <c r="B3" s="22" t="s">
        <v>1567</v>
      </c>
      <c r="C3" s="22" t="s">
        <v>1263</v>
      </c>
    </row>
    <row r="4" spans="1:3" ht="14.25" customHeight="1">
      <c r="A4" s="22" t="s">
        <v>1394</v>
      </c>
      <c r="B4" s="22" t="s">
        <v>1936</v>
      </c>
      <c r="C4" s="22" t="s">
        <v>1396</v>
      </c>
    </row>
    <row r="5" spans="1:3" ht="14.25" customHeight="1">
      <c r="A5" s="22" t="s">
        <v>1264</v>
      </c>
      <c r="B5" s="22" t="s">
        <v>1265</v>
      </c>
      <c r="C5" s="22" t="s">
        <v>1266</v>
      </c>
    </row>
    <row r="6" spans="1:3" ht="14.25" customHeight="1">
      <c r="A6" s="22" t="s">
        <v>179</v>
      </c>
      <c r="B6" s="22" t="s">
        <v>1568</v>
      </c>
      <c r="C6" s="22" t="s">
        <v>1273</v>
      </c>
    </row>
    <row r="7" spans="1:3" ht="14.25" customHeight="1">
      <c r="A7" s="22" t="s">
        <v>1289</v>
      </c>
      <c r="B7" s="22" t="s">
        <v>1572</v>
      </c>
      <c r="C7" s="22" t="s">
        <v>1291</v>
      </c>
    </row>
    <row r="8" spans="1:3" ht="14.25" customHeight="1">
      <c r="A8" s="22" t="s">
        <v>1292</v>
      </c>
      <c r="B8" s="22" t="s">
        <v>1293</v>
      </c>
      <c r="C8" s="22" t="s">
        <v>1294</v>
      </c>
    </row>
    <row r="9" spans="1:3" ht="14.25" customHeight="1">
      <c r="A9" s="22" t="s">
        <v>1298</v>
      </c>
      <c r="B9" s="22" t="s">
        <v>1299</v>
      </c>
      <c r="C9" s="22" t="s">
        <v>1300</v>
      </c>
    </row>
    <row r="10" spans="1:3" ht="14.25" customHeight="1">
      <c r="A10" s="22" t="s">
        <v>180</v>
      </c>
      <c r="B10" s="22" t="s">
        <v>1937</v>
      </c>
      <c r="C10" s="22" t="s">
        <v>1311</v>
      </c>
    </row>
    <row r="11" spans="1:3" ht="14.25" customHeight="1">
      <c r="A11" s="22" t="s">
        <v>1312</v>
      </c>
      <c r="B11" s="22" t="s">
        <v>1313</v>
      </c>
      <c r="C11" s="22" t="s">
        <v>1314</v>
      </c>
    </row>
    <row r="12" spans="1:3" ht="14.25" customHeight="1">
      <c r="A12" s="22" t="s">
        <v>1318</v>
      </c>
      <c r="B12" s="22" t="s">
        <v>1319</v>
      </c>
      <c r="C12" s="22" t="s">
        <v>1320</v>
      </c>
    </row>
    <row r="13" spans="1:3" ht="14.25" customHeight="1">
      <c r="A13" s="22" t="s">
        <v>181</v>
      </c>
      <c r="B13" s="22" t="s">
        <v>1580</v>
      </c>
      <c r="C13" s="22" t="s">
        <v>1322</v>
      </c>
    </row>
    <row r="14" spans="1:3" ht="14.25" customHeight="1">
      <c r="A14" s="22" t="s">
        <v>1334</v>
      </c>
      <c r="B14" s="22" t="s">
        <v>1584</v>
      </c>
      <c r="C14" s="22" t="s">
        <v>1336</v>
      </c>
    </row>
    <row r="15" spans="1:3" ht="14.25" customHeight="1">
      <c r="A15" s="22" t="s">
        <v>1345</v>
      </c>
      <c r="B15" s="22" t="s">
        <v>1346</v>
      </c>
      <c r="C15" s="22" t="s">
        <v>1347</v>
      </c>
    </row>
    <row r="16" spans="1:3" ht="14.25" customHeight="1">
      <c r="A16" s="22" t="s">
        <v>1360</v>
      </c>
      <c r="B16" s="22" t="s">
        <v>1588</v>
      </c>
      <c r="C16" s="22" t="s">
        <v>1362</v>
      </c>
    </row>
    <row r="17" spans="1:4" ht="14.25" customHeight="1">
      <c r="A17" s="22" t="s">
        <v>1363</v>
      </c>
      <c r="B17" s="22" t="s">
        <v>1364</v>
      </c>
      <c r="C17" s="22" t="s">
        <v>1365</v>
      </c>
    </row>
    <row r="18" spans="1:4" ht="14.25" customHeight="1">
      <c r="A18" s="103" t="s">
        <v>187</v>
      </c>
      <c r="B18" s="22" t="s">
        <v>1381</v>
      </c>
      <c r="C18" s="22" t="s">
        <v>1382</v>
      </c>
    </row>
    <row r="19" spans="1:4" ht="14.25" customHeight="1">
      <c r="A19" s="22" t="s">
        <v>1383</v>
      </c>
      <c r="B19" s="22" t="s">
        <v>1593</v>
      </c>
      <c r="C19" s="22" t="s">
        <v>1385</v>
      </c>
    </row>
    <row r="20" spans="1:4" ht="14.25" customHeight="1">
      <c r="A20" s="22" t="s">
        <v>188</v>
      </c>
      <c r="B20" s="22" t="s">
        <v>1386</v>
      </c>
      <c r="C20" s="22" t="s">
        <v>1387</v>
      </c>
      <c r="D20" s="22" t="s">
        <v>371</v>
      </c>
    </row>
    <row r="21" spans="1:4" ht="14.25" customHeight="1">
      <c r="A21" s="22" t="s">
        <v>1388</v>
      </c>
      <c r="B21" s="22" t="s">
        <v>1389</v>
      </c>
      <c r="C21" s="22" t="s">
        <v>1390</v>
      </c>
    </row>
    <row r="22" spans="1:4" ht="14.25" customHeight="1">
      <c r="A22" s="22" t="s">
        <v>1417</v>
      </c>
      <c r="B22" s="22" t="s">
        <v>1418</v>
      </c>
      <c r="C22" s="22" t="s">
        <v>1419</v>
      </c>
    </row>
    <row r="23" spans="1:4" ht="14.25" customHeight="1">
      <c r="A23" s="22" t="s">
        <v>1428</v>
      </c>
      <c r="B23" s="22" t="s">
        <v>1429</v>
      </c>
      <c r="C23" s="22" t="s">
        <v>1430</v>
      </c>
    </row>
    <row r="24" spans="1:4" ht="14.25" customHeight="1">
      <c r="A24" s="22" t="s">
        <v>1481</v>
      </c>
      <c r="B24" s="22" t="s">
        <v>1482</v>
      </c>
      <c r="C24" s="22" t="s">
        <v>1483</v>
      </c>
    </row>
    <row r="25" spans="1:4" ht="14.25" customHeight="1">
      <c r="A25" s="22" t="s">
        <v>196</v>
      </c>
      <c r="B25" s="22" t="s">
        <v>1487</v>
      </c>
      <c r="C25" s="22" t="s">
        <v>1488</v>
      </c>
    </row>
    <row r="26" spans="1:4" ht="14.25" customHeight="1">
      <c r="A26" s="22" t="s">
        <v>1489</v>
      </c>
      <c r="B26" s="22" t="s">
        <v>1490</v>
      </c>
      <c r="C26" s="22" t="s">
        <v>1491</v>
      </c>
    </row>
    <row r="27" spans="1:4" ht="14.25" customHeight="1">
      <c r="A27" s="22" t="s">
        <v>199</v>
      </c>
      <c r="B27" s="22" t="s">
        <v>1505</v>
      </c>
      <c r="C27" s="22" t="s">
        <v>1506</v>
      </c>
    </row>
    <row r="28" spans="1:4" ht="14.25" customHeight="1">
      <c r="A28" s="22" t="s">
        <v>676</v>
      </c>
      <c r="B28" s="22" t="s">
        <v>1750</v>
      </c>
      <c r="C28" s="22" t="s">
        <v>678</v>
      </c>
    </row>
    <row r="29" spans="1:4" ht="14.25" customHeight="1">
      <c r="A29" s="22" t="s">
        <v>1028</v>
      </c>
      <c r="B29" s="22" t="s">
        <v>1597</v>
      </c>
      <c r="C29" s="22" t="s">
        <v>1030</v>
      </c>
      <c r="D29" s="22" t="s">
        <v>371</v>
      </c>
    </row>
    <row r="30" spans="1:4" ht="14.25" customHeight="1">
      <c r="A30" s="22" t="s">
        <v>1036</v>
      </c>
      <c r="B30" s="22" t="s">
        <v>1037</v>
      </c>
      <c r="C30" s="22" t="s">
        <v>1038</v>
      </c>
    </row>
    <row r="31" spans="1:4" ht="14.25" customHeight="1">
      <c r="A31" s="22" t="s">
        <v>1232</v>
      </c>
      <c r="B31" s="22" t="s">
        <v>1938</v>
      </c>
      <c r="C31" s="22" t="s">
        <v>1234</v>
      </c>
    </row>
    <row r="32" spans="1:4" ht="14.25" customHeight="1">
      <c r="A32" s="22" t="s">
        <v>212</v>
      </c>
      <c r="B32" s="22" t="s">
        <v>1044</v>
      </c>
      <c r="C32" s="22" t="s">
        <v>1045</v>
      </c>
      <c r="D32" s="22" t="s">
        <v>371</v>
      </c>
    </row>
    <row r="33" spans="1:4" ht="14.25" customHeight="1">
      <c r="A33" s="22" t="s">
        <v>702</v>
      </c>
      <c r="B33" s="22" t="s">
        <v>1601</v>
      </c>
      <c r="C33" s="22" t="s">
        <v>704</v>
      </c>
    </row>
    <row r="34" spans="1:4" ht="14.25" customHeight="1">
      <c r="A34" s="22" t="s">
        <v>708</v>
      </c>
      <c r="B34" s="22" t="s">
        <v>1705</v>
      </c>
      <c r="C34" s="22" t="s">
        <v>710</v>
      </c>
    </row>
    <row r="35" spans="1:4" ht="14.25" customHeight="1">
      <c r="A35" s="22" t="s">
        <v>865</v>
      </c>
      <c r="B35" s="22" t="s">
        <v>1605</v>
      </c>
      <c r="C35" s="22" t="s">
        <v>867</v>
      </c>
      <c r="D35" s="22" t="s">
        <v>371</v>
      </c>
    </row>
    <row r="36" spans="1:4" ht="14.25" customHeight="1">
      <c r="A36" s="22" t="s">
        <v>876</v>
      </c>
      <c r="B36" s="22" t="s">
        <v>877</v>
      </c>
      <c r="C36" s="22" t="s">
        <v>878</v>
      </c>
    </row>
    <row r="37" spans="1:4" ht="14.25" customHeight="1">
      <c r="A37" s="22" t="s">
        <v>882</v>
      </c>
      <c r="B37" s="22" t="s">
        <v>883</v>
      </c>
      <c r="C37" s="22" t="s">
        <v>884</v>
      </c>
    </row>
    <row r="38" spans="1:4" ht="14.25" customHeight="1">
      <c r="A38" s="22" t="s">
        <v>682</v>
      </c>
      <c r="B38" s="22" t="s">
        <v>1707</v>
      </c>
      <c r="C38" s="22" t="s">
        <v>684</v>
      </c>
    </row>
    <row r="39" spans="1:4" ht="14.25" customHeight="1">
      <c r="A39" s="22" t="s">
        <v>1033</v>
      </c>
      <c r="B39" s="22" t="s">
        <v>1708</v>
      </c>
      <c r="C39" s="22" t="s">
        <v>1035</v>
      </c>
    </row>
    <row r="40" spans="1:4" ht="14.25" customHeight="1">
      <c r="A40" s="22" t="s">
        <v>699</v>
      </c>
      <c r="B40" s="22" t="s">
        <v>700</v>
      </c>
      <c r="C40" s="22" t="s">
        <v>701</v>
      </c>
    </row>
    <row r="41" spans="1:4" ht="14.25" customHeight="1">
      <c r="A41" s="22" t="s">
        <v>1238</v>
      </c>
      <c r="B41" s="22" t="s">
        <v>1715</v>
      </c>
      <c r="C41" s="22" t="s">
        <v>1240</v>
      </c>
    </row>
    <row r="42" spans="1:4" ht="14.25" customHeight="1">
      <c r="A42" s="22" t="s">
        <v>226</v>
      </c>
      <c r="B42" s="22" t="s">
        <v>523</v>
      </c>
      <c r="C42" s="22" t="s">
        <v>524</v>
      </c>
    </row>
    <row r="43" spans="1:4" ht="14.25" customHeight="1">
      <c r="A43" s="22" t="s">
        <v>229</v>
      </c>
      <c r="B43" s="22" t="s">
        <v>376</v>
      </c>
      <c r="C43" s="22" t="s">
        <v>377</v>
      </c>
    </row>
    <row r="44" spans="1:4" ht="14.25" customHeight="1">
      <c r="A44" s="22" t="s">
        <v>234</v>
      </c>
      <c r="B44" s="22" t="s">
        <v>402</v>
      </c>
      <c r="C44" s="22" t="s">
        <v>403</v>
      </c>
    </row>
    <row r="45" spans="1:4" ht="14.25" customHeight="1">
      <c r="A45" s="22" t="s">
        <v>238</v>
      </c>
      <c r="B45" s="22" t="s">
        <v>1939</v>
      </c>
      <c r="C45" s="22" t="s">
        <v>435</v>
      </c>
    </row>
    <row r="46" spans="1:4" ht="14.25" customHeight="1">
      <c r="A46" s="22" t="s">
        <v>239</v>
      </c>
      <c r="B46" s="22" t="s">
        <v>1923</v>
      </c>
      <c r="C46" s="22" t="s">
        <v>442</v>
      </c>
      <c r="D46" s="22" t="s">
        <v>371</v>
      </c>
    </row>
    <row r="47" spans="1:4" ht="14.25" customHeight="1">
      <c r="A47" s="22" t="s">
        <v>454</v>
      </c>
      <c r="B47" s="22" t="s">
        <v>455</v>
      </c>
      <c r="C47" s="22" t="s">
        <v>456</v>
      </c>
    </row>
    <row r="48" spans="1:4" ht="14.25" customHeight="1">
      <c r="A48" s="22" t="s">
        <v>477</v>
      </c>
      <c r="B48" s="22" t="s">
        <v>1623</v>
      </c>
      <c r="C48" s="22" t="s">
        <v>479</v>
      </c>
    </row>
    <row r="49" spans="1:4" ht="14.25" customHeight="1">
      <c r="A49" s="22" t="s">
        <v>249</v>
      </c>
      <c r="B49" s="22" t="s">
        <v>1901</v>
      </c>
      <c r="C49" s="22" t="s">
        <v>497</v>
      </c>
    </row>
    <row r="50" spans="1:4" ht="14.25" customHeight="1">
      <c r="A50" s="22" t="s">
        <v>255</v>
      </c>
      <c r="B50" s="22" t="s">
        <v>573</v>
      </c>
      <c r="C50" s="22" t="s">
        <v>574</v>
      </c>
    </row>
    <row r="51" spans="1:4" ht="14.25" customHeight="1">
      <c r="A51" s="22" t="s">
        <v>586</v>
      </c>
      <c r="B51" s="22" t="s">
        <v>1890</v>
      </c>
      <c r="C51" s="22" t="s">
        <v>588</v>
      </c>
    </row>
    <row r="52" spans="1:4" ht="14.25" customHeight="1">
      <c r="A52" s="22" t="s">
        <v>261</v>
      </c>
      <c r="B52" s="22" t="s">
        <v>1920</v>
      </c>
      <c r="C52" s="22" t="s">
        <v>622</v>
      </c>
    </row>
    <row r="53" spans="1:4" ht="14.25" customHeight="1">
      <c r="A53" s="22" t="s">
        <v>623</v>
      </c>
      <c r="B53" s="22" t="s">
        <v>624</v>
      </c>
      <c r="C53" s="22" t="s">
        <v>625</v>
      </c>
    </row>
    <row r="54" spans="1:4" ht="14.25" customHeight="1">
      <c r="A54" s="22" t="s">
        <v>628</v>
      </c>
      <c r="B54" s="22" t="s">
        <v>1902</v>
      </c>
      <c r="C54" s="22" t="s">
        <v>630</v>
      </c>
    </row>
    <row r="55" spans="1:4" ht="14.25" customHeight="1">
      <c r="A55" s="22" t="s">
        <v>640</v>
      </c>
      <c r="B55" s="22" t="s">
        <v>1925</v>
      </c>
      <c r="C55" s="22" t="s">
        <v>642</v>
      </c>
    </row>
    <row r="56" spans="1:4" ht="14.25" customHeight="1">
      <c r="A56" s="22" t="s">
        <v>653</v>
      </c>
      <c r="B56" s="22" t="s">
        <v>654</v>
      </c>
      <c r="C56" s="22" t="s">
        <v>655</v>
      </c>
    </row>
    <row r="57" spans="1:4" ht="14.25" customHeight="1">
      <c r="A57" s="22" t="s">
        <v>758</v>
      </c>
      <c r="B57" s="22" t="s">
        <v>759</v>
      </c>
      <c r="C57" s="22" t="s">
        <v>760</v>
      </c>
    </row>
    <row r="58" spans="1:4" ht="14.25" customHeight="1">
      <c r="A58" s="22" t="s">
        <v>271</v>
      </c>
      <c r="B58" s="22" t="s">
        <v>1647</v>
      </c>
      <c r="C58" s="22" t="s">
        <v>780</v>
      </c>
      <c r="D58" s="22" t="s">
        <v>371</v>
      </c>
    </row>
    <row r="59" spans="1:4" ht="14.25" customHeight="1">
      <c r="A59" s="22" t="s">
        <v>813</v>
      </c>
      <c r="B59" s="22" t="s">
        <v>814</v>
      </c>
      <c r="C59" s="22" t="s">
        <v>815</v>
      </c>
      <c r="D59" s="22" t="s">
        <v>371</v>
      </c>
    </row>
    <row r="60" spans="1:4" ht="14.25" customHeight="1">
      <c r="A60" s="22" t="s">
        <v>816</v>
      </c>
      <c r="B60" s="22" t="s">
        <v>1861</v>
      </c>
      <c r="C60" s="22" t="s">
        <v>818</v>
      </c>
    </row>
    <row r="61" spans="1:4" ht="14.25" customHeight="1">
      <c r="A61" s="22" t="s">
        <v>851</v>
      </c>
      <c r="B61" s="22" t="s">
        <v>1789</v>
      </c>
      <c r="C61" s="22" t="s">
        <v>853</v>
      </c>
      <c r="D61" s="22" t="s">
        <v>371</v>
      </c>
    </row>
    <row r="62" spans="1:4" ht="14.25" customHeight="1">
      <c r="A62" s="22" t="s">
        <v>287</v>
      </c>
      <c r="B62" s="22" t="s">
        <v>926</v>
      </c>
      <c r="C62" s="22" t="s">
        <v>927</v>
      </c>
      <c r="D62" s="22" t="s">
        <v>371</v>
      </c>
    </row>
    <row r="63" spans="1:4" ht="14.25" customHeight="1">
      <c r="A63" s="22" t="s">
        <v>940</v>
      </c>
      <c r="B63" s="22" t="s">
        <v>1927</v>
      </c>
      <c r="C63" s="22" t="s">
        <v>942</v>
      </c>
    </row>
    <row r="64" spans="1:4" ht="14.25" customHeight="1">
      <c r="A64" s="22" t="s">
        <v>295</v>
      </c>
      <c r="B64" s="22" t="s">
        <v>963</v>
      </c>
      <c r="C64" s="22" t="s">
        <v>964</v>
      </c>
    </row>
    <row r="65" spans="1:3" ht="14.25" customHeight="1">
      <c r="A65" s="22" t="s">
        <v>311</v>
      </c>
      <c r="B65" s="22" t="s">
        <v>1940</v>
      </c>
      <c r="C65" s="22" t="s">
        <v>1144</v>
      </c>
    </row>
    <row r="66" spans="1:3" ht="14.25" customHeight="1">
      <c r="A66" s="22" t="s">
        <v>1172</v>
      </c>
      <c r="B66" s="22" t="s">
        <v>1687</v>
      </c>
      <c r="C66" s="22" t="s">
        <v>1174</v>
      </c>
    </row>
    <row r="67" spans="1:3" ht="14.25" customHeight="1">
      <c r="A67" s="22" t="s">
        <v>1175</v>
      </c>
      <c r="B67" s="22" t="s">
        <v>1864</v>
      </c>
      <c r="C67" s="22" t="s">
        <v>1177</v>
      </c>
    </row>
    <row r="68" spans="1:3" ht="14.25" customHeight="1">
      <c r="A68" s="22" t="s">
        <v>1200</v>
      </c>
      <c r="B68" s="22" t="s">
        <v>1201</v>
      </c>
      <c r="C68" s="22" t="s">
        <v>1202</v>
      </c>
    </row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8.3984375" customWidth="1"/>
    <col min="3" max="3" width="39.09765625" customWidth="1"/>
    <col min="4" max="4" width="8.69921875" customWidth="1"/>
    <col min="5" max="5" width="9.69921875" customWidth="1"/>
    <col min="6" max="6" width="30.09765625" customWidth="1"/>
    <col min="7" max="7" width="40.09765625" customWidth="1"/>
    <col min="8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1267</v>
      </c>
      <c r="B3" s="22" t="s">
        <v>1809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178</v>
      </c>
      <c r="B4" s="22" t="s">
        <v>1810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1274</v>
      </c>
      <c r="B5" s="22" t="s">
        <v>1569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1304</v>
      </c>
      <c r="B6" s="22" t="s">
        <v>1930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180</v>
      </c>
      <c r="B7" s="22" t="s">
        <v>1937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1360</v>
      </c>
      <c r="B8" s="22" t="s">
        <v>1588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1551</v>
      </c>
      <c r="B9" s="22" t="s">
        <v>1744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1417</v>
      </c>
      <c r="B10" s="22" t="s">
        <v>1418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1423</v>
      </c>
      <c r="B11" s="22" t="s">
        <v>1424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1428</v>
      </c>
      <c r="B12" s="22" t="s">
        <v>1429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1442</v>
      </c>
      <c r="B13" s="22" t="s">
        <v>1443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1445</v>
      </c>
      <c r="B14" s="22" t="s">
        <v>1446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193</v>
      </c>
      <c r="B15" s="22" t="s">
        <v>1448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1462</v>
      </c>
      <c r="B16" s="22" t="s">
        <v>1463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194</v>
      </c>
      <c r="B17" s="22" t="s">
        <v>1471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1554</v>
      </c>
      <c r="B18" s="22" t="s">
        <v>1745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195</v>
      </c>
      <c r="B19" s="22" t="s">
        <v>1479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1481</v>
      </c>
      <c r="B20" s="22" t="s">
        <v>1482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1489</v>
      </c>
      <c r="B21" s="22" t="s">
        <v>1490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197</v>
      </c>
      <c r="B22" s="22" t="s">
        <v>1495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198</v>
      </c>
      <c r="B23" s="22" t="s">
        <v>1854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1502</v>
      </c>
      <c r="B24" s="22" t="s">
        <v>1503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1512</v>
      </c>
      <c r="B25" s="22" t="s">
        <v>1513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1525</v>
      </c>
      <c r="B26" s="22" t="s">
        <v>1526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1528</v>
      </c>
      <c r="B27" s="22" t="s">
        <v>1529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204</v>
      </c>
      <c r="B28" s="22" t="s">
        <v>1540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205</v>
      </c>
      <c r="B29" s="22" t="s">
        <v>1542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1560</v>
      </c>
      <c r="B30" s="22" t="s">
        <v>1825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1563</v>
      </c>
      <c r="B31" s="22" t="s">
        <v>1748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1220</v>
      </c>
      <c r="B32" s="22" t="s">
        <v>1749</v>
      </c>
      <c r="C32" s="144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676</v>
      </c>
      <c r="B33" s="22" t="s">
        <v>1750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1223</v>
      </c>
      <c r="B34" s="22" t="s">
        <v>1867</v>
      </c>
      <c r="C34" s="144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868</v>
      </c>
      <c r="B35" s="22" t="s">
        <v>1827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528</v>
      </c>
      <c r="B36" s="22" t="s">
        <v>1931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879</v>
      </c>
      <c r="B37" s="22" t="s">
        <v>1596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210</v>
      </c>
      <c r="B38" s="22" t="s">
        <v>1599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211</v>
      </c>
      <c r="B39" s="22" t="s">
        <v>1941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696</v>
      </c>
      <c r="B40" s="22" t="s">
        <v>1915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215</v>
      </c>
      <c r="B41" s="22" t="s">
        <v>1881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216</v>
      </c>
      <c r="B42" s="22" t="s">
        <v>1703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901</v>
      </c>
      <c r="B43" s="22" t="s">
        <v>1869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711</v>
      </c>
      <c r="B44" s="22" t="s">
        <v>1604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1025</v>
      </c>
      <c r="B45" s="22" t="s">
        <v>1870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219</v>
      </c>
      <c r="B46" s="22" t="s">
        <v>1871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220</v>
      </c>
      <c r="B47" s="22" t="s">
        <v>1882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221</v>
      </c>
      <c r="B48" s="22" t="s">
        <v>1900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888</v>
      </c>
      <c r="B49" s="22" t="s">
        <v>1830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699</v>
      </c>
      <c r="B50" s="22" t="s">
        <v>1610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1049</v>
      </c>
      <c r="B51" s="22" t="s">
        <v>1756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224</v>
      </c>
      <c r="B52" s="22" t="s">
        <v>1714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225</v>
      </c>
      <c r="B53" s="22" t="s">
        <v>1758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227</v>
      </c>
      <c r="B54" s="22" t="s">
        <v>1759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228</v>
      </c>
      <c r="B55" s="22" t="s">
        <v>1883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231</v>
      </c>
      <c r="B56" s="22" t="s">
        <v>553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234</v>
      </c>
      <c r="B57" s="22" t="s">
        <v>1616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480</v>
      </c>
      <c r="B58" s="22" t="s">
        <v>1763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485</v>
      </c>
      <c r="B59" s="22" t="s">
        <v>1722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248</v>
      </c>
      <c r="B60" s="22" t="s">
        <v>1872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498</v>
      </c>
      <c r="B61" s="22" t="s">
        <v>1765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251</v>
      </c>
      <c r="B62" s="22" t="s">
        <v>1889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503</v>
      </c>
      <c r="B63" s="22" t="s">
        <v>1766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512</v>
      </c>
      <c r="B64" s="22" t="s">
        <v>1918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252</v>
      </c>
      <c r="B65" s="22" t="s">
        <v>1767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254</v>
      </c>
      <c r="B66" s="22" t="s">
        <v>1769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595</v>
      </c>
      <c r="B67" s="22" t="s">
        <v>1919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257</v>
      </c>
      <c r="B68" s="22" t="s">
        <v>1837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603</v>
      </c>
      <c r="B69" s="22" t="s">
        <v>1873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259</v>
      </c>
      <c r="B70" s="22" t="s">
        <v>1771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613</v>
      </c>
      <c r="B71" s="22" t="s">
        <v>1635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623</v>
      </c>
      <c r="B72" s="22" t="s">
        <v>1636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631</v>
      </c>
      <c r="B73" s="22" t="s">
        <v>1637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634</v>
      </c>
      <c r="B74" s="22" t="s">
        <v>1838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637</v>
      </c>
      <c r="B75" s="22" t="s">
        <v>1727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263</v>
      </c>
      <c r="B76" s="22" t="s">
        <v>1773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264</v>
      </c>
      <c r="B77" s="22" t="s">
        <v>1839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265</v>
      </c>
      <c r="B78" s="22" t="s">
        <v>555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659</v>
      </c>
      <c r="B79" s="22" t="s">
        <v>1639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735</v>
      </c>
      <c r="B80" s="22" t="s">
        <v>1875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741</v>
      </c>
      <c r="B81" s="22" t="s">
        <v>1775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269</v>
      </c>
      <c r="B82" s="22" t="s">
        <v>1779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768</v>
      </c>
      <c r="B83" s="22" t="s">
        <v>1780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720</v>
      </c>
      <c r="B84" s="22" t="s">
        <v>721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771</v>
      </c>
      <c r="B85" s="22" t="s">
        <v>1860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784</v>
      </c>
      <c r="B86" s="22" t="s">
        <v>1648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790</v>
      </c>
      <c r="B87" s="22" t="s">
        <v>1783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275</v>
      </c>
      <c r="B88" s="22" t="s">
        <v>1784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813</v>
      </c>
      <c r="B89" s="22" t="s">
        <v>1921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819</v>
      </c>
      <c r="B90" s="22" t="s">
        <v>1786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282</v>
      </c>
      <c r="B91" s="22" t="s">
        <v>1788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283</v>
      </c>
      <c r="B92" s="22" t="s">
        <v>1904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859</v>
      </c>
      <c r="B93" s="22" t="s">
        <v>1790</v>
      </c>
      <c r="C93" s="22" t="e">
        <f t="array" aca="1" ref="C93" ca="1">_xludf.XLOOKUP(A93,'Batch || Working'!$C$2:$C$438,'Batch || Working'!$E$2:$E$438)</f>
        <v>#NAME?</v>
      </c>
    </row>
    <row r="94" spans="1:3" ht="14.25" customHeight="1">
      <c r="A94" s="22" t="s">
        <v>905</v>
      </c>
      <c r="B94" s="22" t="s">
        <v>1791</v>
      </c>
      <c r="C94" s="22" t="e">
        <f t="array" aca="1" ref="C94" ca="1">_xludf.XLOOKUP(A94,'Batch || Working'!$C$2:$C$438,'Batch || Working'!$E$2:$E$438)</f>
        <v>#NAME?</v>
      </c>
    </row>
    <row r="95" spans="1:3" ht="14.25" customHeight="1">
      <c r="A95" s="22" t="s">
        <v>918</v>
      </c>
      <c r="B95" s="22" t="s">
        <v>1793</v>
      </c>
      <c r="C95" s="22" t="e">
        <f t="array" aca="1" ref="C95" ca="1">_xludf.XLOOKUP(A95,'Batch || Working'!$C$2:$C$438,'Batch || Working'!$E$2:$E$438)</f>
        <v>#NAME?</v>
      </c>
    </row>
    <row r="96" spans="1:3" ht="14.25" customHeight="1">
      <c r="A96" s="22" t="s">
        <v>723</v>
      </c>
      <c r="B96" s="22" t="s">
        <v>724</v>
      </c>
      <c r="C96" s="22" t="e">
        <f t="array" aca="1" ref="C96" ca="1">_xludf.XLOOKUP(A96,'Batch || Working'!$C$2:$C$438,'Batch || Working'!$E$2:$E$438)</f>
        <v>#NAME?</v>
      </c>
    </row>
    <row r="97" spans="1:3" ht="14.25" customHeight="1">
      <c r="A97" s="22" t="s">
        <v>286</v>
      </c>
      <c r="B97" s="22" t="s">
        <v>1794</v>
      </c>
      <c r="C97" s="22" t="e">
        <f t="array" aca="1" ref="C97" ca="1">_xludf.XLOOKUP(A97,'Batch || Working'!$C$2:$C$438,'Batch || Working'!$E$2:$E$438)</f>
        <v>#NAME?</v>
      </c>
    </row>
    <row r="98" spans="1:3" ht="14.25" customHeight="1">
      <c r="A98" s="22" t="s">
        <v>928</v>
      </c>
      <c r="B98" s="22" t="s">
        <v>1659</v>
      </c>
      <c r="C98" s="22" t="e">
        <f t="array" aca="1" ref="C98" ca="1">_xludf.XLOOKUP(A98,'Batch || Working'!$C$2:$C$438,'Batch || Working'!$E$2:$E$438)</f>
        <v>#NAME?</v>
      </c>
    </row>
    <row r="99" spans="1:3" ht="14.25" customHeight="1">
      <c r="A99" s="22" t="s">
        <v>288</v>
      </c>
      <c r="B99" s="22" t="s">
        <v>1660</v>
      </c>
      <c r="C99" s="22" t="e">
        <f t="array" aca="1" ref="C99" ca="1">_xludf.XLOOKUP(A99,'Batch || Working'!$C$2:$C$438,'Batch || Working'!$E$2:$E$438)</f>
        <v>#NAME?</v>
      </c>
    </row>
    <row r="100" spans="1:3" ht="14.25" customHeight="1">
      <c r="A100" s="22" t="s">
        <v>289</v>
      </c>
      <c r="B100" s="22" t="s">
        <v>1876</v>
      </c>
      <c r="C100" s="22" t="e">
        <f t="array" aca="1" ref="C100" ca="1">_xludf.XLOOKUP(A100,'Batch || Working'!$C$2:$C$438,'Batch || Working'!$E$2:$E$438)</f>
        <v>#NAME?</v>
      </c>
    </row>
    <row r="101" spans="1:3" ht="14.25" customHeight="1">
      <c r="A101" s="22" t="s">
        <v>940</v>
      </c>
      <c r="B101" s="22" t="s">
        <v>1927</v>
      </c>
      <c r="C101" s="22" t="e">
        <f t="array" aca="1" ref="C101" ca="1">_xludf.XLOOKUP(A101,'Batch || Working'!$C$2:$C$438,'Batch || Working'!$E$2:$E$438)</f>
        <v>#NAME?</v>
      </c>
    </row>
    <row r="102" spans="1:3" ht="14.25" customHeight="1">
      <c r="A102" s="22" t="s">
        <v>943</v>
      </c>
      <c r="B102" s="22" t="s">
        <v>1795</v>
      </c>
      <c r="C102" s="22" t="e">
        <f t="array" aca="1" ref="C102" ca="1">_xludf.XLOOKUP(A102,'Batch || Working'!$C$2:$C$438,'Batch || Working'!$E$2:$E$438)</f>
        <v>#NAME?</v>
      </c>
    </row>
    <row r="103" spans="1:3" ht="14.25" customHeight="1">
      <c r="A103" s="22" t="s">
        <v>291</v>
      </c>
      <c r="B103" s="22" t="s">
        <v>1663</v>
      </c>
      <c r="C103" s="22" t="e">
        <f t="array" aca="1" ref="C103" ca="1">_xludf.XLOOKUP(A103,'Batch || Working'!$C$2:$C$438,'Batch || Working'!$E$2:$E$438)</f>
        <v>#NAME?</v>
      </c>
    </row>
    <row r="104" spans="1:3" ht="14.25" customHeight="1">
      <c r="A104" s="22" t="s">
        <v>968</v>
      </c>
      <c r="B104" s="22" t="s">
        <v>1862</v>
      </c>
      <c r="C104" s="22" t="e">
        <f t="array" aca="1" ref="C104" ca="1">_xludf.XLOOKUP(A104,'Batch || Working'!$C$2:$C$438,'Batch || Working'!$E$2:$E$438)</f>
        <v>#NAME?</v>
      </c>
    </row>
    <row r="105" spans="1:3" ht="14.25" customHeight="1">
      <c r="A105" s="22" t="s">
        <v>973</v>
      </c>
      <c r="B105" s="22" t="s">
        <v>1877</v>
      </c>
      <c r="C105" s="22" t="e">
        <f t="array" aca="1" ref="C105" ca="1">_xludf.XLOOKUP(A105,'Batch || Working'!$C$2:$C$438,'Batch || Working'!$E$2:$E$438)</f>
        <v>#NAME?</v>
      </c>
    </row>
    <row r="106" spans="1:3" ht="14.25" customHeight="1">
      <c r="A106" s="22" t="s">
        <v>298</v>
      </c>
      <c r="B106" s="22" t="s">
        <v>726</v>
      </c>
      <c r="C106" s="22" t="e">
        <f t="array" aca="1" ref="C106" ca="1">_xludf.XLOOKUP(A106,'Batch || Working'!$C$2:$C$438,'Batch || Working'!$E$2:$E$438)</f>
        <v>#NAME?</v>
      </c>
    </row>
    <row r="107" spans="1:3" ht="14.25" customHeight="1">
      <c r="A107" s="22" t="s">
        <v>989</v>
      </c>
      <c r="B107" s="22" t="s">
        <v>1796</v>
      </c>
      <c r="C107" s="22" t="e">
        <f t="array" aca="1" ref="C107" ca="1">_xludf.XLOOKUP(A107,'Batch || Working'!$C$2:$C$438,'Batch || Working'!$E$2:$E$438)</f>
        <v>#NAME?</v>
      </c>
    </row>
    <row r="108" spans="1:3" ht="14.25" customHeight="1">
      <c r="A108" s="22" t="s">
        <v>992</v>
      </c>
      <c r="B108" s="22" t="s">
        <v>1797</v>
      </c>
      <c r="C108" s="22" t="e">
        <f t="array" aca="1" ref="C108" ca="1">_xludf.XLOOKUP(A108,'Batch || Working'!$C$2:$C$438,'Batch || Working'!$E$2:$E$438)</f>
        <v>#NAME?</v>
      </c>
    </row>
    <row r="109" spans="1:3" ht="14.25" customHeight="1">
      <c r="A109" s="22" t="s">
        <v>301</v>
      </c>
      <c r="B109" s="22" t="s">
        <v>1670</v>
      </c>
      <c r="C109" s="22" t="e">
        <f t="array" aca="1" ref="C109" ca="1">_xludf.XLOOKUP(A109,'Batch || Working'!$C$2:$C$438,'Batch || Working'!$E$2:$E$438)</f>
        <v>#NAME?</v>
      </c>
    </row>
    <row r="110" spans="1:3" ht="14.25" customHeight="1">
      <c r="A110" s="22" t="s">
        <v>1002</v>
      </c>
      <c r="B110" s="22" t="s">
        <v>1798</v>
      </c>
      <c r="C110" s="22" t="e">
        <f t="array" aca="1" ref="C110" ca="1">_xludf.XLOOKUP(A110,'Batch || Working'!$C$2:$C$438,'Batch || Working'!$E$2:$E$438)</f>
        <v>#NAME?</v>
      </c>
    </row>
    <row r="111" spans="1:3" ht="14.25" customHeight="1">
      <c r="A111" s="22" t="s">
        <v>302</v>
      </c>
      <c r="B111" s="22" t="s">
        <v>1799</v>
      </c>
      <c r="C111" s="22" t="e">
        <f t="array" aca="1" ref="C111" ca="1">_xludf.XLOOKUP(A111,'Batch || Working'!$C$2:$C$438,'Batch || Working'!$E$2:$E$438)</f>
        <v>#NAME?</v>
      </c>
    </row>
    <row r="112" spans="1:3" ht="14.25" customHeight="1">
      <c r="A112" s="22" t="s">
        <v>303</v>
      </c>
      <c r="B112" s="22" t="s">
        <v>1850</v>
      </c>
      <c r="C112" s="22" t="e">
        <f t="array" aca="1" ref="C112" ca="1">_xludf.XLOOKUP(A112,'Batch || Working'!$C$2:$C$438,'Batch || Working'!$E$2:$E$438)</f>
        <v>#NAME?</v>
      </c>
    </row>
    <row r="113" spans="1:3" ht="14.25" customHeight="1">
      <c r="A113" s="22" t="s">
        <v>1066</v>
      </c>
      <c r="B113" s="22" t="s">
        <v>1671</v>
      </c>
      <c r="C113" s="22" t="e">
        <f t="array" aca="1" ref="C113" ca="1">_xludf.XLOOKUP(A113,'Batch || Working'!$C$2:$C$438,'Batch || Working'!$E$2:$E$438)</f>
        <v>#NAME?</v>
      </c>
    </row>
    <row r="114" spans="1:3" ht="14.25" customHeight="1">
      <c r="A114" s="22" t="s">
        <v>1072</v>
      </c>
      <c r="B114" s="22" t="s">
        <v>1802</v>
      </c>
      <c r="C114" s="22" t="e">
        <f t="array" aca="1" ref="C114" ca="1">_xludf.XLOOKUP(A114,'Batch || Working'!$C$2:$C$438,'Batch || Working'!$E$2:$E$438)</f>
        <v>#NAME?</v>
      </c>
    </row>
    <row r="115" spans="1:3" ht="14.25" customHeight="1">
      <c r="A115" s="22" t="s">
        <v>1093</v>
      </c>
      <c r="B115" s="22" t="s">
        <v>1677</v>
      </c>
      <c r="C115" s="22" t="e">
        <f t="array" aca="1" ref="C115" ca="1">_xludf.XLOOKUP(A115,'Batch || Working'!$C$2:$C$438,'Batch || Working'!$E$2:$E$438)</f>
        <v>#NAME?</v>
      </c>
    </row>
    <row r="116" spans="1:3" ht="14.25" customHeight="1">
      <c r="A116" s="22" t="s">
        <v>304</v>
      </c>
      <c r="B116" s="22" t="s">
        <v>1942</v>
      </c>
      <c r="C116" s="22" t="e">
        <f t="array" aca="1" ref="C116" ca="1">_xludf.XLOOKUP(A116,'Batch || Working'!$C$2:$C$438,'Batch || Working'!$E$2:$E$438)</f>
        <v>#NAME?</v>
      </c>
    </row>
    <row r="117" spans="1:3" ht="14.25" customHeight="1">
      <c r="A117" s="22" t="s">
        <v>1098</v>
      </c>
      <c r="B117" s="22" t="s">
        <v>1678</v>
      </c>
      <c r="C117" s="22" t="e">
        <f t="array" aca="1" ref="C117" ca="1">_xludf.XLOOKUP(A117,'Batch || Working'!$C$2:$C$438,'Batch || Working'!$E$2:$E$438)</f>
        <v>#NAME?</v>
      </c>
    </row>
    <row r="118" spans="1:3" ht="14.25" customHeight="1">
      <c r="A118" s="22" t="s">
        <v>1101</v>
      </c>
      <c r="B118" s="22" t="s">
        <v>1803</v>
      </c>
      <c r="C118" s="22" t="e">
        <f t="array" aca="1" ref="C118" ca="1">_xludf.XLOOKUP(A118,'Batch || Working'!$C$2:$C$438,'Batch || Working'!$E$2:$E$438)</f>
        <v>#NAME?</v>
      </c>
    </row>
    <row r="119" spans="1:3" ht="14.25" customHeight="1">
      <c r="A119" s="22" t="s">
        <v>1106</v>
      </c>
      <c r="B119" s="22" t="s">
        <v>1929</v>
      </c>
      <c r="C119" s="22" t="e">
        <f t="array" aca="1" ref="C119" ca="1">_xludf.XLOOKUP(A119,'Batch || Working'!$C$2:$C$438,'Batch || Working'!$E$2:$E$438)</f>
        <v>#NAME?</v>
      </c>
    </row>
    <row r="120" spans="1:3" ht="14.25" customHeight="1">
      <c r="A120" s="22" t="s">
        <v>1109</v>
      </c>
      <c r="B120" s="22" t="s">
        <v>1736</v>
      </c>
      <c r="C120" s="22" t="e">
        <f t="array" aca="1" ref="C120" ca="1">_xludf.XLOOKUP(A120,'Batch || Working'!$C$2:$C$438,'Batch || Working'!$E$2:$E$438)</f>
        <v>#NAME?</v>
      </c>
    </row>
    <row r="121" spans="1:3" ht="14.25" customHeight="1">
      <c r="A121" s="22" t="s">
        <v>306</v>
      </c>
      <c r="B121" s="22" t="s">
        <v>1679</v>
      </c>
      <c r="C121" s="22" t="e">
        <f t="array" aca="1" ref="C121" ca="1">_xludf.XLOOKUP(A121,'Batch || Working'!$C$2:$C$438,'Batch || Working'!$E$2:$E$438)</f>
        <v>#NAME?</v>
      </c>
    </row>
    <row r="122" spans="1:3" ht="14.25" customHeight="1">
      <c r="A122" s="22" t="s">
        <v>1125</v>
      </c>
      <c r="B122" s="22" t="s">
        <v>1681</v>
      </c>
      <c r="C122" s="22" t="e">
        <f t="array" aca="1" ref="C122" ca="1">_xludf.XLOOKUP(A122,'Batch || Working'!$C$2:$C$438,'Batch || Working'!$E$2:$E$438)</f>
        <v>#NAME?</v>
      </c>
    </row>
    <row r="123" spans="1:3" ht="14.25" customHeight="1">
      <c r="A123" s="22" t="s">
        <v>1138</v>
      </c>
      <c r="B123" s="22" t="s">
        <v>1684</v>
      </c>
      <c r="C123" s="22" t="e">
        <f t="array" aca="1" ref="C123" ca="1">_xludf.XLOOKUP(A123,'Batch || Working'!$C$2:$C$438,'Batch || Working'!$E$2:$E$438)</f>
        <v>#NAME?</v>
      </c>
    </row>
    <row r="124" spans="1:3" ht="14.25" customHeight="1">
      <c r="A124" s="22" t="s">
        <v>311</v>
      </c>
      <c r="B124" s="22" t="s">
        <v>1940</v>
      </c>
      <c r="C124" s="22" t="e">
        <f t="array" aca="1" ref="C124" ca="1">_xludf.XLOOKUP(A124,'Batch || Working'!$C$2:$C$438,'Batch || Working'!$E$2:$E$438)</f>
        <v>#NAME?</v>
      </c>
    </row>
    <row r="125" spans="1:3" ht="14.25" customHeight="1">
      <c r="A125" s="22" t="s">
        <v>1145</v>
      </c>
      <c r="B125" s="22" t="s">
        <v>1738</v>
      </c>
      <c r="C125" s="22" t="e">
        <f t="array" aca="1" ref="C125" ca="1">_xludf.XLOOKUP(A125,'Batch || Working'!$C$2:$C$438,'Batch || Working'!$E$2:$E$438)</f>
        <v>#NAME?</v>
      </c>
    </row>
    <row r="126" spans="1:3" ht="14.25" customHeight="1">
      <c r="A126" s="22" t="s">
        <v>312</v>
      </c>
      <c r="B126" s="22" t="s">
        <v>1203</v>
      </c>
      <c r="C126" s="22" t="e">
        <f t="array" aca="1" ref="C126" ca="1">_xludf.XLOOKUP(A126,'Batch || Working'!$C$2:$C$438,'Batch || Working'!$E$2:$E$438)</f>
        <v>#NAME?</v>
      </c>
    </row>
    <row r="127" spans="1:3" ht="14.25" customHeight="1">
      <c r="A127" s="22" t="s">
        <v>1148</v>
      </c>
      <c r="B127" s="22" t="s">
        <v>1895</v>
      </c>
      <c r="C127" s="22" t="e">
        <f t="array" aca="1" ref="C127" ca="1">_xludf.XLOOKUP(A127,'Batch || Working'!$C$2:$C$438,'Batch || Working'!$E$2:$E$438)</f>
        <v>#NAME?</v>
      </c>
    </row>
    <row r="128" spans="1:3" ht="14.25" customHeight="1">
      <c r="A128" s="22" t="s">
        <v>1205</v>
      </c>
      <c r="B128" s="22" t="s">
        <v>1206</v>
      </c>
      <c r="C128" s="22" t="e">
        <f t="array" aca="1" ref="C128" ca="1">_xludf.XLOOKUP(A128,'Batch || Working'!$C$2:$C$438,'Batch || Working'!$E$2:$E$438)</f>
        <v>#NAME?</v>
      </c>
    </row>
    <row r="129" spans="1:3" ht="14.25" customHeight="1">
      <c r="A129" s="22" t="s">
        <v>1153</v>
      </c>
      <c r="B129" s="22" t="s">
        <v>1878</v>
      </c>
      <c r="C129" s="22" t="e">
        <f t="array" aca="1" ref="C129" ca="1">_xludf.XLOOKUP(A129,'Batch || Working'!$C$2:$C$438,'Batch || Working'!$E$2:$E$438)</f>
        <v>#NAME?</v>
      </c>
    </row>
    <row r="130" spans="1:3" ht="14.25" customHeight="1">
      <c r="A130" s="22" t="s">
        <v>315</v>
      </c>
      <c r="B130" s="22" t="s">
        <v>1741</v>
      </c>
      <c r="C130" s="22" t="e">
        <f t="array" aca="1" ref="C130" ca="1">_xludf.XLOOKUP(A130,'Batch || Working'!$C$2:$C$438,'Batch || Working'!$E$2:$E$438)</f>
        <v>#NAME?</v>
      </c>
    </row>
    <row r="131" spans="1:3" ht="14.25" customHeight="1">
      <c r="A131" s="22" t="s">
        <v>317</v>
      </c>
      <c r="B131" s="22" t="s">
        <v>1943</v>
      </c>
      <c r="C131" s="22" t="e">
        <f t="array" aca="1" ref="C131" ca="1">_xludf.XLOOKUP(A131,'Batch || Working'!$C$2:$C$438,'Batch || Working'!$E$2:$E$438)</f>
        <v>#NAME?</v>
      </c>
    </row>
    <row r="132" spans="1:3" ht="14.25" customHeight="1">
      <c r="A132" s="22" t="s">
        <v>1185</v>
      </c>
      <c r="B132" s="22" t="s">
        <v>1853</v>
      </c>
      <c r="C132" s="22" t="e">
        <f t="array" aca="1" ref="C132" ca="1">_xludf.XLOOKUP(A132,'Batch || Working'!$C$2:$C$438,'Batch || Working'!$E$2:$E$438)</f>
        <v>#NAME?</v>
      </c>
    </row>
    <row r="133" spans="1:3" ht="14.25" customHeight="1">
      <c r="A133" s="22" t="s">
        <v>1188</v>
      </c>
      <c r="B133" s="22" t="s">
        <v>1935</v>
      </c>
      <c r="C133" s="22" t="e">
        <f t="array" aca="1" ref="C133" ca="1">_xludf.XLOOKUP(A133,'Batch || Working'!$C$2:$C$438,'Batch || Working'!$E$2:$E$438)</f>
        <v>#NAME?</v>
      </c>
    </row>
    <row r="134" spans="1:3" ht="14.25" customHeight="1">
      <c r="A134" s="22" t="s">
        <v>1194</v>
      </c>
      <c r="B134" s="22" t="s">
        <v>1690</v>
      </c>
      <c r="C134" s="22" t="e">
        <f t="array" aca="1" ref="C134" ca="1">_xludf.XLOOKUP(A134,'Batch || Working'!$C$2:$C$438,'Batch || Working'!$E$2:$E$438)</f>
        <v>#NAME?</v>
      </c>
    </row>
    <row r="135" spans="1:3" ht="14.25" customHeight="1"/>
    <row r="136" spans="1:3" ht="14.25" customHeight="1"/>
    <row r="137" spans="1:3" ht="14.25" customHeight="1"/>
    <row r="138" spans="1:3" ht="14.25" customHeight="1"/>
    <row r="139" spans="1:3" ht="14.25" customHeight="1"/>
    <row r="140" spans="1:3" ht="14.25" customHeight="1"/>
    <row r="141" spans="1:3" ht="14.25" customHeight="1"/>
    <row r="142" spans="1:3" ht="14.25" customHeight="1"/>
    <row r="143" spans="1:3" ht="14.25" customHeight="1"/>
    <row r="144" spans="1: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999"/>
  <sheetViews>
    <sheetView workbookViewId="0"/>
  </sheetViews>
  <sheetFormatPr defaultColWidth="14.3984375" defaultRowHeight="15.75" customHeight="1"/>
  <cols>
    <col min="1" max="1" width="10.296875" customWidth="1"/>
    <col min="2" max="2" width="28.3984375" customWidth="1"/>
    <col min="3" max="3" width="39.09765625" customWidth="1"/>
    <col min="4" max="4" width="8.69921875" customWidth="1"/>
    <col min="5" max="5" width="9.69921875" customWidth="1"/>
    <col min="6" max="6" width="30.09765625" customWidth="1"/>
    <col min="7" max="7" width="40.09765625" customWidth="1"/>
    <col min="8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145" t="s">
        <v>1267</v>
      </c>
      <c r="B2" s="145" t="s">
        <v>1809</v>
      </c>
      <c r="C2" s="145" t="s">
        <v>1269</v>
      </c>
    </row>
    <row r="3" spans="1:3" ht="14.25" customHeight="1">
      <c r="A3" s="145" t="s">
        <v>1304</v>
      </c>
      <c r="B3" s="145" t="s">
        <v>1930</v>
      </c>
      <c r="C3" s="145" t="s">
        <v>1306</v>
      </c>
    </row>
    <row r="4" spans="1:3" ht="14.25" customHeight="1">
      <c r="A4" s="145" t="s">
        <v>180</v>
      </c>
      <c r="B4" s="145" t="s">
        <v>1937</v>
      </c>
      <c r="C4" s="145" t="s">
        <v>1311</v>
      </c>
    </row>
    <row r="5" spans="1:3" ht="14.25" customHeight="1">
      <c r="A5" s="22" t="s">
        <v>1551</v>
      </c>
      <c r="B5" s="22" t="s">
        <v>1744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1417</v>
      </c>
      <c r="B6" s="22" t="s">
        <v>1418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1428</v>
      </c>
      <c r="B7" s="22" t="s">
        <v>1429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1442</v>
      </c>
      <c r="B8" s="22" t="s">
        <v>1443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1445</v>
      </c>
      <c r="B9" s="22" t="s">
        <v>1446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1462</v>
      </c>
      <c r="B10" s="22" t="s">
        <v>1463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194</v>
      </c>
      <c r="B11" s="22" t="s">
        <v>1471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1554</v>
      </c>
      <c r="B12" s="22" t="s">
        <v>1745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1489</v>
      </c>
      <c r="B13" s="22" t="s">
        <v>1490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1512</v>
      </c>
      <c r="B14" s="22" t="s">
        <v>1513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204</v>
      </c>
      <c r="B15" s="22" t="s">
        <v>1540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205</v>
      </c>
      <c r="B16" s="22" t="s">
        <v>1542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1563</v>
      </c>
      <c r="B17" s="22" t="s">
        <v>1748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1220</v>
      </c>
      <c r="B18" s="22" t="s">
        <v>1749</v>
      </c>
      <c r="C18" s="144" t="e">
        <f t="array" aca="1" ref="C18" ca="1">_xludf.XLOOKUP(A18,'Batch || Working'!$C$2:$C$438,'Batch || Working'!$E$2:$E$438)</f>
        <v>#NAME?</v>
      </c>
    </row>
    <row r="19" spans="1:3" ht="14.25" customHeight="1">
      <c r="A19" s="145" t="s">
        <v>868</v>
      </c>
      <c r="B19" s="145" t="s">
        <v>1827</v>
      </c>
      <c r="C19" s="145" t="s">
        <v>870</v>
      </c>
    </row>
    <row r="20" spans="1:3" ht="14.25" customHeight="1">
      <c r="A20" s="145" t="s">
        <v>528</v>
      </c>
      <c r="B20" s="145" t="s">
        <v>1931</v>
      </c>
      <c r="C20" s="145" t="s">
        <v>530</v>
      </c>
    </row>
    <row r="21" spans="1:3" ht="14.25" customHeight="1">
      <c r="A21" s="145" t="s">
        <v>211</v>
      </c>
      <c r="B21" s="145" t="s">
        <v>1941</v>
      </c>
      <c r="C21" s="145" t="s">
        <v>547</v>
      </c>
    </row>
    <row r="22" spans="1:3" ht="14.25" customHeight="1">
      <c r="A22" s="145" t="s">
        <v>696</v>
      </c>
      <c r="B22" s="145" t="s">
        <v>1915</v>
      </c>
      <c r="C22" s="145" t="s">
        <v>698</v>
      </c>
    </row>
    <row r="23" spans="1:3" ht="14.25" customHeight="1">
      <c r="A23" s="145" t="s">
        <v>215</v>
      </c>
      <c r="B23" s="145" t="s">
        <v>1881</v>
      </c>
      <c r="C23" s="145" t="s">
        <v>896</v>
      </c>
    </row>
    <row r="24" spans="1:3" ht="14.25" customHeight="1">
      <c r="A24" s="22" t="s">
        <v>216</v>
      </c>
      <c r="B24" s="22" t="s">
        <v>1703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145" t="s">
        <v>711</v>
      </c>
      <c r="B25" s="145" t="s">
        <v>1604</v>
      </c>
      <c r="C25" s="145" t="s">
        <v>713</v>
      </c>
    </row>
    <row r="26" spans="1:3" ht="14.25" customHeight="1">
      <c r="A26" s="22" t="s">
        <v>220</v>
      </c>
      <c r="B26" s="22" t="s">
        <v>1882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221</v>
      </c>
      <c r="B27" s="22" t="s">
        <v>1900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1049</v>
      </c>
      <c r="B28" s="22" t="s">
        <v>1756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227</v>
      </c>
      <c r="B29" s="22" t="s">
        <v>1759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231</v>
      </c>
      <c r="B30" s="22" t="s">
        <v>553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145" t="s">
        <v>234</v>
      </c>
      <c r="B31" s="145" t="s">
        <v>1616</v>
      </c>
      <c r="C31" s="145" t="s">
        <v>403</v>
      </c>
    </row>
    <row r="32" spans="1:3" ht="14.25" customHeight="1">
      <c r="A32" s="145" t="s">
        <v>480</v>
      </c>
      <c r="B32" s="145" t="s">
        <v>1763</v>
      </c>
      <c r="C32" s="145" t="s">
        <v>482</v>
      </c>
    </row>
    <row r="33" spans="1:3" ht="14.25" customHeight="1">
      <c r="A33" s="22" t="s">
        <v>485</v>
      </c>
      <c r="B33" s="22" t="s">
        <v>1722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251</v>
      </c>
      <c r="B34" s="22" t="s">
        <v>1889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145" t="s">
        <v>503</v>
      </c>
      <c r="B35" s="145" t="s">
        <v>1766</v>
      </c>
      <c r="C35" s="145" t="s">
        <v>505</v>
      </c>
    </row>
    <row r="36" spans="1:3" ht="14.25" customHeight="1">
      <c r="A36" s="145" t="s">
        <v>512</v>
      </c>
      <c r="B36" s="145" t="s">
        <v>1918</v>
      </c>
      <c r="C36" s="145" t="s">
        <v>514</v>
      </c>
    </row>
    <row r="37" spans="1:3" ht="14.25" customHeight="1">
      <c r="A37" s="22" t="s">
        <v>595</v>
      </c>
      <c r="B37" s="22" t="s">
        <v>1919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603</v>
      </c>
      <c r="B38" s="22" t="s">
        <v>1873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145" t="s">
        <v>259</v>
      </c>
      <c r="B39" s="145" t="s">
        <v>1771</v>
      </c>
      <c r="C39" s="145" t="s">
        <v>612</v>
      </c>
    </row>
    <row r="40" spans="1:3" ht="14.25" customHeight="1">
      <c r="A40" s="22" t="s">
        <v>623</v>
      </c>
      <c r="B40" s="22" t="s">
        <v>1636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634</v>
      </c>
      <c r="B41" s="22" t="s">
        <v>1838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145" t="s">
        <v>659</v>
      </c>
      <c r="B42" s="145" t="s">
        <v>1639</v>
      </c>
      <c r="C42" s="145" t="s">
        <v>661</v>
      </c>
    </row>
    <row r="43" spans="1:3" ht="14.25" customHeight="1">
      <c r="A43" s="145" t="s">
        <v>269</v>
      </c>
      <c r="B43" s="145" t="s">
        <v>1779</v>
      </c>
      <c r="C43" s="145" t="s">
        <v>767</v>
      </c>
    </row>
    <row r="44" spans="1:3" ht="14.25" customHeight="1">
      <c r="A44" s="22" t="s">
        <v>768</v>
      </c>
      <c r="B44" s="22" t="s">
        <v>1780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145" t="s">
        <v>790</v>
      </c>
      <c r="B45" s="145" t="s">
        <v>1783</v>
      </c>
      <c r="C45" s="145" t="s">
        <v>792</v>
      </c>
    </row>
    <row r="46" spans="1:3" ht="14.25" customHeight="1">
      <c r="A46" s="145" t="s">
        <v>275</v>
      </c>
      <c r="B46" s="145" t="s">
        <v>1784</v>
      </c>
      <c r="C46" s="145" t="s">
        <v>799</v>
      </c>
    </row>
    <row r="47" spans="1:3" ht="14.25" customHeight="1">
      <c r="A47" s="22" t="s">
        <v>819</v>
      </c>
      <c r="B47" s="22" t="s">
        <v>1786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145" t="s">
        <v>928</v>
      </c>
      <c r="B48" s="145" t="s">
        <v>1659</v>
      </c>
      <c r="C48" s="145" t="s">
        <v>930</v>
      </c>
    </row>
    <row r="49" spans="1:3" ht="14.25" customHeight="1">
      <c r="A49" s="22" t="s">
        <v>288</v>
      </c>
      <c r="B49" s="22" t="s">
        <v>1660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145" t="s">
        <v>940</v>
      </c>
      <c r="B50" s="145" t="s">
        <v>1927</v>
      </c>
      <c r="C50" s="145" t="s">
        <v>942</v>
      </c>
    </row>
    <row r="51" spans="1:3" ht="14.25" customHeight="1">
      <c r="A51" s="22" t="s">
        <v>943</v>
      </c>
      <c r="B51" s="22" t="s">
        <v>1795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145" t="s">
        <v>973</v>
      </c>
      <c r="B52" s="145" t="s">
        <v>1877</v>
      </c>
      <c r="C52" s="145" t="s">
        <v>975</v>
      </c>
    </row>
    <row r="53" spans="1:3" ht="14.25" customHeight="1">
      <c r="A53" s="22" t="s">
        <v>989</v>
      </c>
      <c r="B53" s="22" t="s">
        <v>1796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302</v>
      </c>
      <c r="B54" s="22" t="s">
        <v>1799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145" t="s">
        <v>303</v>
      </c>
      <c r="B55" s="145" t="s">
        <v>1850</v>
      </c>
      <c r="C55" s="145" t="s">
        <v>1065</v>
      </c>
    </row>
    <row r="56" spans="1:3" ht="14.25" customHeight="1">
      <c r="A56" s="22" t="s">
        <v>1093</v>
      </c>
      <c r="B56" s="22" t="s">
        <v>1677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1098</v>
      </c>
      <c r="B57" s="22" t="s">
        <v>1678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1101</v>
      </c>
      <c r="B58" s="22" t="s">
        <v>1803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1106</v>
      </c>
      <c r="B59" s="22" t="s">
        <v>1929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1109</v>
      </c>
      <c r="B60" s="22" t="s">
        <v>1736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312</v>
      </c>
      <c r="B61" s="22" t="s">
        <v>1203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1205</v>
      </c>
      <c r="B62" s="22" t="s">
        <v>1206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1153</v>
      </c>
      <c r="B63" s="22" t="s">
        <v>1878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315</v>
      </c>
      <c r="B64" s="22" t="s">
        <v>1741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145" t="s">
        <v>317</v>
      </c>
      <c r="B65" s="145" t="s">
        <v>1943</v>
      </c>
      <c r="C65" s="145" t="s">
        <v>1181</v>
      </c>
    </row>
    <row r="66" spans="1:3" ht="14.25" customHeight="1">
      <c r="A66" s="22" t="s">
        <v>1185</v>
      </c>
      <c r="B66" s="22" t="s">
        <v>1853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145" t="s">
        <v>1188</v>
      </c>
      <c r="B67" s="145" t="s">
        <v>1935</v>
      </c>
      <c r="C67" s="145" t="s">
        <v>1190</v>
      </c>
    </row>
    <row r="68" spans="1:3" ht="14.25" customHeight="1"/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8.3984375" customWidth="1"/>
    <col min="3" max="3" width="39.09765625" customWidth="1"/>
    <col min="4" max="4" width="8.69921875" customWidth="1"/>
    <col min="5" max="5" width="9.69921875" customWidth="1"/>
    <col min="6" max="6" width="30.09765625" customWidth="1"/>
    <col min="7" max="7" width="40.09765625" customWidth="1"/>
    <col min="8" max="25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1258</v>
      </c>
      <c r="B2" s="22" t="s">
        <v>1566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178</v>
      </c>
      <c r="B3" s="22" t="s">
        <v>1810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1274</v>
      </c>
      <c r="B4" s="22" t="s">
        <v>1569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1360</v>
      </c>
      <c r="B5" s="22" t="s">
        <v>1588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1423</v>
      </c>
      <c r="B6" s="22" t="s">
        <v>1424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193</v>
      </c>
      <c r="B7" s="22" t="s">
        <v>1448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195</v>
      </c>
      <c r="B8" s="22" t="s">
        <v>1479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1481</v>
      </c>
      <c r="B9" s="22" t="s">
        <v>1482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197</v>
      </c>
      <c r="B10" s="22" t="s">
        <v>1495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198</v>
      </c>
      <c r="B11" s="22" t="s">
        <v>1854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1502</v>
      </c>
      <c r="B12" s="22" t="s">
        <v>1503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1525</v>
      </c>
      <c r="B13" s="22" t="s">
        <v>1526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1528</v>
      </c>
      <c r="B14" s="22" t="s">
        <v>1529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1560</v>
      </c>
      <c r="B15" s="22" t="s">
        <v>1825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676</v>
      </c>
      <c r="B16" s="22" t="s">
        <v>1750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1223</v>
      </c>
      <c r="B17" s="22" t="s">
        <v>1867</v>
      </c>
      <c r="C17" s="144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879</v>
      </c>
      <c r="B18" s="22" t="s">
        <v>1596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210</v>
      </c>
      <c r="B19" s="22" t="s">
        <v>1599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901</v>
      </c>
      <c r="B20" s="22" t="s">
        <v>1869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1025</v>
      </c>
      <c r="B21" s="22" t="s">
        <v>1870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219</v>
      </c>
      <c r="B22" s="22" t="s">
        <v>1871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888</v>
      </c>
      <c r="B23" s="22" t="s">
        <v>1830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699</v>
      </c>
      <c r="B24" s="22" t="s">
        <v>1610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224</v>
      </c>
      <c r="B25" s="22" t="s">
        <v>1714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225</v>
      </c>
      <c r="B26" s="22" t="s">
        <v>1758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228</v>
      </c>
      <c r="B27" s="22" t="s">
        <v>1883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248</v>
      </c>
      <c r="B28" s="22" t="s">
        <v>1872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498</v>
      </c>
      <c r="B29" s="22" t="s">
        <v>1765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252</v>
      </c>
      <c r="B30" s="22" t="s">
        <v>1767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254</v>
      </c>
      <c r="B31" s="22" t="s">
        <v>1769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257</v>
      </c>
      <c r="B32" s="22" t="s">
        <v>1837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613</v>
      </c>
      <c r="B33" s="22" t="s">
        <v>1635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631</v>
      </c>
      <c r="B34" s="22" t="s">
        <v>1637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637</v>
      </c>
      <c r="B35" s="22" t="s">
        <v>1727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263</v>
      </c>
      <c r="B36" s="22" t="s">
        <v>1773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264</v>
      </c>
      <c r="B37" s="22" t="s">
        <v>1839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265</v>
      </c>
      <c r="B38" s="22" t="s">
        <v>555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735</v>
      </c>
      <c r="B39" s="22" t="s">
        <v>1875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741</v>
      </c>
      <c r="B40" s="22" t="s">
        <v>1775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720</v>
      </c>
      <c r="B41" s="22" t="s">
        <v>721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771</v>
      </c>
      <c r="B42" s="22" t="s">
        <v>1860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784</v>
      </c>
      <c r="B43" s="22" t="s">
        <v>1648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813</v>
      </c>
      <c r="B44" s="22" t="s">
        <v>1921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282</v>
      </c>
      <c r="B45" s="22" t="s">
        <v>1788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283</v>
      </c>
      <c r="B46" s="22" t="s">
        <v>1904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859</v>
      </c>
      <c r="B47" s="22" t="s">
        <v>1790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905</v>
      </c>
      <c r="B48" s="22" t="s">
        <v>1791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918</v>
      </c>
      <c r="B49" s="22" t="s">
        <v>1793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723</v>
      </c>
      <c r="B50" s="22" t="s">
        <v>724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286</v>
      </c>
      <c r="B51" s="22" t="s">
        <v>1794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289</v>
      </c>
      <c r="B52" s="22" t="s">
        <v>1876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291</v>
      </c>
      <c r="B53" s="22" t="s">
        <v>1663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968</v>
      </c>
      <c r="B54" s="22" t="s">
        <v>1862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298</v>
      </c>
      <c r="B55" s="22" t="s">
        <v>726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992</v>
      </c>
      <c r="B56" s="22" t="s">
        <v>1797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301</v>
      </c>
      <c r="B57" s="22" t="s">
        <v>1670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1002</v>
      </c>
      <c r="B58" s="22" t="s">
        <v>1798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1066</v>
      </c>
      <c r="B59" s="22" t="s">
        <v>1671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1072</v>
      </c>
      <c r="B60" s="22" t="s">
        <v>1802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304</v>
      </c>
      <c r="B61" s="22" t="s">
        <v>1942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306</v>
      </c>
      <c r="B62" s="22" t="s">
        <v>1679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1125</v>
      </c>
      <c r="B63" s="22" t="s">
        <v>1681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1138</v>
      </c>
      <c r="B64" s="22" t="s">
        <v>1684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311</v>
      </c>
      <c r="B65" s="22" t="s">
        <v>1940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1145</v>
      </c>
      <c r="B66" s="22" t="s">
        <v>1738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1148</v>
      </c>
      <c r="B67" s="22" t="s">
        <v>1895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1194</v>
      </c>
      <c r="B68" s="22" t="s">
        <v>1690</v>
      </c>
      <c r="C68" s="22" t="e">
        <f t="array" aca="1" ref="C68" ca="1">_xludf.XLOOKUP(A68,'Batch || Working'!$C$2:$C$438,'Batch || Working'!$E$2:$E$438)</f>
        <v>#NAME?</v>
      </c>
    </row>
    <row r="69" spans="1:3" ht="14.25" customHeight="1"/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000"/>
  <sheetViews>
    <sheetView workbookViewId="0"/>
  </sheetViews>
  <sheetFormatPr defaultColWidth="14.3984375" defaultRowHeight="15.75" customHeight="1"/>
  <cols>
    <col min="1" max="1" width="13.09765625" customWidth="1"/>
    <col min="2" max="2" width="31.3984375" customWidth="1"/>
    <col min="3" max="3" width="42.6992187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1261</v>
      </c>
      <c r="B2" s="22" t="s">
        <v>1567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1394</v>
      </c>
      <c r="B3" s="22" t="s">
        <v>1936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1264</v>
      </c>
      <c r="B4" s="22" t="s">
        <v>1911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1267</v>
      </c>
      <c r="B5" s="22" t="s">
        <v>1809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179</v>
      </c>
      <c r="B6" s="22" t="s">
        <v>1568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1286</v>
      </c>
      <c r="B7" s="22" t="s">
        <v>1812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1289</v>
      </c>
      <c r="B8" s="22" t="s">
        <v>1572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1292</v>
      </c>
      <c r="B9" s="22" t="s">
        <v>1912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1301</v>
      </c>
      <c r="B10" s="22" t="s">
        <v>1575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1304</v>
      </c>
      <c r="B11" s="22" t="s">
        <v>1930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1307</v>
      </c>
      <c r="B12" s="22" t="s">
        <v>1576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180</v>
      </c>
      <c r="B13" s="22" t="s">
        <v>1937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181</v>
      </c>
      <c r="B14" s="22" t="s">
        <v>1580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1323</v>
      </c>
      <c r="B15" s="22" t="s">
        <v>1581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1328</v>
      </c>
      <c r="B16" s="22" t="s">
        <v>1693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1334</v>
      </c>
      <c r="B17" s="22" t="s">
        <v>1584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183</v>
      </c>
      <c r="B18" s="22" t="s">
        <v>1913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1342</v>
      </c>
      <c r="B19" s="22" t="s">
        <v>1694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1348</v>
      </c>
      <c r="B20" s="22" t="s">
        <v>1815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1351</v>
      </c>
      <c r="B21" s="22" t="s">
        <v>1585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1354</v>
      </c>
      <c r="B22" s="22" t="s">
        <v>1586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1357</v>
      </c>
      <c r="B23" s="22" t="s">
        <v>1587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1366</v>
      </c>
      <c r="B24" s="22" t="s">
        <v>1590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184</v>
      </c>
      <c r="B25" s="22" t="s">
        <v>1816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1371</v>
      </c>
      <c r="B26" s="22" t="s">
        <v>1591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1376</v>
      </c>
      <c r="B27" s="22" t="s">
        <v>1879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186</v>
      </c>
      <c r="B28" s="22" t="s">
        <v>1743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1383</v>
      </c>
      <c r="B29" s="22" t="s">
        <v>1593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188</v>
      </c>
      <c r="B30" s="22" t="s">
        <v>1594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1391</v>
      </c>
      <c r="B31" s="22" t="s">
        <v>1595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1398</v>
      </c>
      <c r="B32" s="22" t="s">
        <v>1399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190</v>
      </c>
      <c r="B33" s="22" t="s">
        <v>1403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1408</v>
      </c>
      <c r="B34" s="22" t="s">
        <v>1409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191</v>
      </c>
      <c r="B35" s="22" t="s">
        <v>1866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1434</v>
      </c>
      <c r="B36" s="22" t="s">
        <v>1435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192</v>
      </c>
      <c r="B37" s="22" t="s">
        <v>1440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1450</v>
      </c>
      <c r="B38" s="22" t="s">
        <v>1451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1456</v>
      </c>
      <c r="B39" s="22" t="s">
        <v>1457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1476</v>
      </c>
      <c r="B40" s="22" t="s">
        <v>1477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196</v>
      </c>
      <c r="B41" s="22" t="s">
        <v>1487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199</v>
      </c>
      <c r="B42" s="22" t="s">
        <v>1505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200</v>
      </c>
      <c r="B43" s="22" t="s">
        <v>1821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1517</v>
      </c>
      <c r="B44" s="22" t="s">
        <v>1518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203</v>
      </c>
      <c r="B45" s="22" t="s">
        <v>1520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1522</v>
      </c>
      <c r="B46" s="22" t="s">
        <v>1523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206</v>
      </c>
      <c r="B47" s="22" t="s">
        <v>1544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1214</v>
      </c>
      <c r="B48" s="22" t="s">
        <v>1826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868</v>
      </c>
      <c r="B49" s="22" t="s">
        <v>1827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528</v>
      </c>
      <c r="B50" s="22" t="s">
        <v>1931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1028</v>
      </c>
      <c r="B51" s="22" t="s">
        <v>1597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534</v>
      </c>
      <c r="B52" s="22" t="s">
        <v>1698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1229</v>
      </c>
      <c r="B53" s="22" t="s">
        <v>1699</v>
      </c>
      <c r="C53" s="144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208</v>
      </c>
      <c r="B54" s="22" t="s">
        <v>1868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693</v>
      </c>
      <c r="B55" s="22" t="s">
        <v>1600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1232</v>
      </c>
      <c r="B56" s="22" t="s">
        <v>1938</v>
      </c>
      <c r="C56" s="144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1241</v>
      </c>
      <c r="B57" s="22" t="s">
        <v>1828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211</v>
      </c>
      <c r="B58" s="22" t="s">
        <v>1941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696</v>
      </c>
      <c r="B59" s="22" t="s">
        <v>1915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548</v>
      </c>
      <c r="B60" s="22" t="s">
        <v>1702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214</v>
      </c>
      <c r="B61" s="22" t="s">
        <v>1752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215</v>
      </c>
      <c r="B62" s="22" t="s">
        <v>1881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1052</v>
      </c>
      <c r="B63" s="22" t="s">
        <v>1602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1246</v>
      </c>
      <c r="B64" s="22" t="s">
        <v>1898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711</v>
      </c>
      <c r="B65" s="22" t="s">
        <v>1604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865</v>
      </c>
      <c r="B66" s="22" t="s">
        <v>1605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670</v>
      </c>
      <c r="B67" s="22" t="s">
        <v>1753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520</v>
      </c>
      <c r="B68" s="22" t="s">
        <v>1754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873</v>
      </c>
      <c r="B69" s="22" t="s">
        <v>1899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876</v>
      </c>
      <c r="B70" s="22" t="s">
        <v>1706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531</v>
      </c>
      <c r="B71" s="22" t="s">
        <v>1607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885</v>
      </c>
      <c r="B72" s="22" t="s">
        <v>1609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685</v>
      </c>
      <c r="B73" s="22" t="s">
        <v>1932</v>
      </c>
      <c r="C73" s="22" t="e">
        <f t="array" aca="1" ref="C73" ca="1">_xludf.XLOOKUP(A73,'Batch || Working'!$C$2:$C$438,'Batch || Working'!$E$2:$E$438)</f>
        <v>#NAME?</v>
      </c>
    </row>
    <row r="74" spans="1:3" ht="14.25" customHeight="1">
      <c r="A74" s="22" t="s">
        <v>1039</v>
      </c>
      <c r="B74" s="22" t="s">
        <v>1755</v>
      </c>
      <c r="C74" s="22" t="e">
        <f t="array" aca="1" ref="C74" ca="1">_xludf.XLOOKUP(A74,'Batch || Working'!$C$2:$C$438,'Batch || Working'!$E$2:$E$438)</f>
        <v>#NAME?</v>
      </c>
    </row>
    <row r="75" spans="1:3" ht="14.25" customHeight="1">
      <c r="A75" s="22" t="s">
        <v>1235</v>
      </c>
      <c r="B75" s="22" t="s">
        <v>1710</v>
      </c>
      <c r="C75" s="22" t="e">
        <f t="array" aca="1" ref="C75" ca="1">_xludf.XLOOKUP(A75,'Batch || Working'!$C$2:$C$438,'Batch || Working'!$E$2:$E$438)</f>
        <v>#NAME?</v>
      </c>
    </row>
    <row r="76" spans="1:3" ht="14.25" customHeight="1">
      <c r="A76" s="22" t="s">
        <v>543</v>
      </c>
      <c r="B76" s="22" t="s">
        <v>1711</v>
      </c>
      <c r="C76" s="22" t="e">
        <f t="array" aca="1" ref="C76" ca="1">_xludf.XLOOKUP(A76,'Batch || Working'!$C$2:$C$438,'Batch || Working'!$E$2:$E$438)</f>
        <v>#NAME?</v>
      </c>
    </row>
    <row r="77" spans="1:3" ht="14.25" customHeight="1">
      <c r="A77" s="22" t="s">
        <v>223</v>
      </c>
      <c r="B77" s="22" t="s">
        <v>1831</v>
      </c>
      <c r="C77" s="22" t="e">
        <f t="array" aca="1" ref="C77" ca="1">_xludf.XLOOKUP(A77,'Batch || Working'!$C$2:$C$438,'Batch || Working'!$E$2:$E$438)</f>
        <v>#NAME?</v>
      </c>
    </row>
    <row r="78" spans="1:3" ht="14.25" customHeight="1">
      <c r="A78" s="22" t="s">
        <v>1058</v>
      </c>
      <c r="B78" s="22" t="s">
        <v>1757</v>
      </c>
      <c r="C78" s="22" t="e">
        <f t="array" aca="1" ref="C78" ca="1">_xludf.XLOOKUP(A78,'Batch || Working'!$C$2:$C$438,'Batch || Working'!$E$2:$E$438)</f>
        <v>#NAME?</v>
      </c>
    </row>
    <row r="79" spans="1:3" ht="14.25" customHeight="1">
      <c r="A79" s="22" t="s">
        <v>1217</v>
      </c>
      <c r="B79" s="22" t="s">
        <v>1613</v>
      </c>
      <c r="C79" s="22" t="e">
        <f t="array" aca="1" ref="C79" ca="1">_xludf.XLOOKUP(A79,'Batch || Working'!$C$2:$C$438,'Batch || Working'!$E$2:$E$438)</f>
        <v>#NAME?</v>
      </c>
    </row>
    <row r="80" spans="1:3" ht="14.25" customHeight="1">
      <c r="A80" s="22" t="s">
        <v>380</v>
      </c>
      <c r="B80" s="22" t="s">
        <v>1916</v>
      </c>
      <c r="C80" s="22" t="e">
        <f t="array" aca="1" ref="C80" ca="1">_xludf.XLOOKUP(A80,'Batch || Working'!$C$2:$C$438,'Batch || Working'!$E$2:$E$438)</f>
        <v>#NAME?</v>
      </c>
    </row>
    <row r="81" spans="1:3" ht="14.25" customHeight="1">
      <c r="A81" s="22" t="s">
        <v>388</v>
      </c>
      <c r="B81" s="22" t="s">
        <v>1615</v>
      </c>
      <c r="C81" s="22" t="e">
        <f t="array" aca="1" ref="C81" ca="1">_xludf.XLOOKUP(A81,'Batch || Working'!$C$2:$C$438,'Batch || Working'!$E$2:$E$438)</f>
        <v>#NAME?</v>
      </c>
    </row>
    <row r="82" spans="1:3" ht="14.25" customHeight="1">
      <c r="A82" s="22" t="s">
        <v>232</v>
      </c>
      <c r="B82" s="22" t="s">
        <v>1716</v>
      </c>
      <c r="C82" s="22" t="e">
        <f t="array" aca="1" ref="C82" ca="1">_xludf.XLOOKUP(A82,'Batch || Working'!$C$2:$C$438,'Batch || Working'!$E$2:$E$438)</f>
        <v>#NAME?</v>
      </c>
    </row>
    <row r="83" spans="1:3" ht="14.25" customHeight="1">
      <c r="A83" s="22" t="s">
        <v>233</v>
      </c>
      <c r="B83" s="22" t="s">
        <v>1760</v>
      </c>
      <c r="C83" s="22" t="e">
        <f t="array" aca="1" ref="C83" ca="1">_xludf.XLOOKUP(A83,'Batch || Working'!$C$2:$C$438,'Batch || Working'!$E$2:$E$438)</f>
        <v>#NAME?</v>
      </c>
    </row>
    <row r="84" spans="1:3" ht="14.25" customHeight="1">
      <c r="A84" s="22" t="s">
        <v>234</v>
      </c>
      <c r="B84" s="22" t="s">
        <v>1616</v>
      </c>
      <c r="C84" s="22" t="e">
        <f t="array" aca="1" ref="C84" ca="1">_xludf.XLOOKUP(A84,'Batch || Working'!$C$2:$C$438,'Batch || Working'!$E$2:$E$438)</f>
        <v>#NAME?</v>
      </c>
    </row>
    <row r="85" spans="1:3" ht="14.25" customHeight="1">
      <c r="A85" s="22" t="s">
        <v>405</v>
      </c>
      <c r="B85" s="22" t="s">
        <v>1717</v>
      </c>
      <c r="C85" s="22" t="e">
        <f t="array" aca="1" ref="C85" ca="1">_xludf.XLOOKUP(A85,'Batch || Working'!$C$2:$C$438,'Batch || Working'!$E$2:$E$438)</f>
        <v>#NAME?</v>
      </c>
    </row>
    <row r="86" spans="1:3" ht="14.25" customHeight="1">
      <c r="A86" s="22" t="s">
        <v>237</v>
      </c>
      <c r="B86" s="22" t="s">
        <v>1833</v>
      </c>
      <c r="C86" s="22" t="e">
        <f t="array" aca="1" ref="C86" ca="1">_xludf.XLOOKUP(A86,'Batch || Working'!$C$2:$C$438,'Batch || Working'!$E$2:$E$438)</f>
        <v>#NAME?</v>
      </c>
    </row>
    <row r="87" spans="1:3" ht="14.25" customHeight="1">
      <c r="A87" s="22" t="s">
        <v>238</v>
      </c>
      <c r="B87" s="22" t="s">
        <v>1939</v>
      </c>
      <c r="C87" s="22" t="e">
        <f t="array" aca="1" ref="C87" ca="1">_xludf.XLOOKUP(A87,'Batch || Working'!$C$2:$C$438,'Batch || Working'!$E$2:$E$438)</f>
        <v>#NAME?</v>
      </c>
    </row>
    <row r="88" spans="1:3" ht="14.25" customHeight="1">
      <c r="A88" s="22" t="s">
        <v>437</v>
      </c>
      <c r="B88" s="22" t="s">
        <v>1719</v>
      </c>
      <c r="C88" s="22" t="e">
        <f t="array" aca="1" ref="C88" ca="1">_xludf.XLOOKUP(A88,'Batch || Working'!$C$2:$C$438,'Batch || Working'!$E$2:$E$438)</f>
        <v>#NAME?</v>
      </c>
    </row>
    <row r="89" spans="1:3" ht="14.25" customHeight="1">
      <c r="A89" s="22" t="s">
        <v>239</v>
      </c>
      <c r="B89" s="22" t="s">
        <v>1923</v>
      </c>
      <c r="C89" s="22" t="e">
        <f t="array" aca="1" ref="C89" ca="1">_xludf.XLOOKUP(A89,'Batch || Working'!$C$2:$C$438,'Batch || Working'!$E$2:$E$438)</f>
        <v>#NAME?</v>
      </c>
    </row>
    <row r="90" spans="1:3" ht="14.25" customHeight="1">
      <c r="A90" s="22" t="s">
        <v>241</v>
      </c>
      <c r="B90" s="22" t="s">
        <v>1620</v>
      </c>
      <c r="C90" s="22" t="e">
        <f t="array" aca="1" ref="C90" ca="1">_xludf.XLOOKUP(A90,'Batch || Working'!$C$2:$C$438,'Batch || Working'!$E$2:$E$438)</f>
        <v>#NAME?</v>
      </c>
    </row>
    <row r="91" spans="1:3" ht="14.25" customHeight="1">
      <c r="A91" s="22" t="s">
        <v>457</v>
      </c>
      <c r="B91" s="22" t="s">
        <v>1721</v>
      </c>
      <c r="C91" s="22" t="e">
        <f t="array" aca="1" ref="C91" ca="1">_xludf.XLOOKUP(A91,'Batch || Working'!$C$2:$C$438,'Batch || Working'!$E$2:$E$438)</f>
        <v>#NAME?</v>
      </c>
    </row>
    <row r="92" spans="1:3" ht="14.25" customHeight="1">
      <c r="A92" s="22" t="s">
        <v>714</v>
      </c>
      <c r="B92" s="22" t="s">
        <v>715</v>
      </c>
      <c r="C92" s="22" t="e">
        <f t="array" aca="1" ref="C92" ca="1">_xludf.XLOOKUP(A92,'Batch || Working'!$C$2:$C$438,'Batch || Working'!$E$2:$E$438)</f>
        <v>#NAME?</v>
      </c>
    </row>
    <row r="93" spans="1:3" ht="14.25" customHeight="1">
      <c r="A93" s="22" t="s">
        <v>480</v>
      </c>
      <c r="B93" s="22" t="s">
        <v>1763</v>
      </c>
      <c r="C93" s="22" t="e">
        <f t="array" aca="1" ref="C93" ca="1">_xludf.XLOOKUP(A93,'Batch || Working'!$C$2:$C$438,'Batch || Working'!$E$2:$E$438)</f>
        <v>#NAME?</v>
      </c>
    </row>
    <row r="94" spans="1:3" ht="14.25" customHeight="1">
      <c r="A94" s="22" t="s">
        <v>493</v>
      </c>
      <c r="B94" s="22" t="s">
        <v>1836</v>
      </c>
      <c r="C94" s="22" t="e">
        <f t="array" aca="1" ref="C94" ca="1">_xludf.XLOOKUP(A94,'Batch || Working'!$C$2:$C$438,'Batch || Working'!$E$2:$E$438)</f>
        <v>#NAME?</v>
      </c>
    </row>
    <row r="95" spans="1:3" ht="14.25" customHeight="1">
      <c r="A95" s="22" t="s">
        <v>503</v>
      </c>
      <c r="B95" s="22" t="s">
        <v>1766</v>
      </c>
      <c r="C95" s="22" t="e">
        <f t="array" aca="1" ref="C95" ca="1">_xludf.XLOOKUP(A95,'Batch || Working'!$C$2:$C$438,'Batch || Working'!$E$2:$E$438)</f>
        <v>#NAME?</v>
      </c>
    </row>
    <row r="96" spans="1:3" ht="14.25" customHeight="1">
      <c r="A96" s="22" t="s">
        <v>512</v>
      </c>
      <c r="B96" s="22" t="s">
        <v>1918</v>
      </c>
      <c r="C96" s="22" t="e">
        <f t="array" aca="1" ref="C96" ca="1">_xludf.XLOOKUP(A96,'Batch || Working'!$C$2:$C$438,'Batch || Working'!$E$2:$E$438)</f>
        <v>#NAME?</v>
      </c>
    </row>
    <row r="97" spans="1:3" ht="14.25" customHeight="1">
      <c r="A97" s="22" t="s">
        <v>558</v>
      </c>
      <c r="B97" s="22" t="s">
        <v>1626</v>
      </c>
      <c r="C97" s="22" t="e">
        <f t="array" aca="1" ref="C97" ca="1">_xludf.XLOOKUP(A97,'Batch || Working'!$C$2:$C$438,'Batch || Working'!$E$2:$E$438)</f>
        <v>#NAME?</v>
      </c>
    </row>
    <row r="98" spans="1:3" ht="14.25" customHeight="1">
      <c r="A98" s="22" t="s">
        <v>570</v>
      </c>
      <c r="B98" s="22" t="s">
        <v>1628</v>
      </c>
      <c r="C98" s="22" t="e">
        <f t="array" aca="1" ref="C98" ca="1">_xludf.XLOOKUP(A98,'Batch || Working'!$C$2:$C$438,'Batch || Working'!$E$2:$E$438)</f>
        <v>#NAME?</v>
      </c>
    </row>
    <row r="99" spans="1:3" ht="14.25" customHeight="1">
      <c r="A99" s="22" t="s">
        <v>598</v>
      </c>
      <c r="B99" s="22" t="s">
        <v>1632</v>
      </c>
      <c r="C99" s="22" t="e">
        <f t="array" aca="1" ref="C99" ca="1">_xludf.XLOOKUP(A99,'Batch || Working'!$C$2:$C$438,'Batch || Working'!$E$2:$E$438)</f>
        <v>#NAME?</v>
      </c>
    </row>
    <row r="100" spans="1:3" ht="14.25" customHeight="1">
      <c r="A100" s="22" t="s">
        <v>259</v>
      </c>
      <c r="B100" s="22" t="s">
        <v>1771</v>
      </c>
      <c r="C100" s="22" t="e">
        <f t="array" aca="1" ref="C100" ca="1">_xludf.XLOOKUP(A100,'Batch || Working'!$C$2:$C$438,'Batch || Working'!$E$2:$E$438)</f>
        <v>#NAME?</v>
      </c>
    </row>
    <row r="101" spans="1:3" ht="14.25" customHeight="1">
      <c r="A101" s="22" t="s">
        <v>261</v>
      </c>
      <c r="B101" s="22" t="s">
        <v>1920</v>
      </c>
      <c r="C101" s="22" t="e">
        <f t="array" aca="1" ref="C101" ca="1">_xludf.XLOOKUP(A101,'Batch || Working'!$C$2:$C$438,'Batch || Working'!$E$2:$E$438)</f>
        <v>#NAME?</v>
      </c>
    </row>
    <row r="102" spans="1:3" ht="14.25" customHeight="1">
      <c r="A102" s="22" t="s">
        <v>659</v>
      </c>
      <c r="B102" s="22" t="s">
        <v>1639</v>
      </c>
      <c r="C102" s="22" t="e">
        <f t="array" aca="1" ref="C102" ca="1">_xludf.XLOOKUP(A102,'Batch || Working'!$C$2:$C$438,'Batch || Working'!$E$2:$E$438)</f>
        <v>#NAME?</v>
      </c>
    </row>
    <row r="103" spans="1:3" ht="14.25" customHeight="1">
      <c r="A103" s="22" t="s">
        <v>662</v>
      </c>
      <c r="B103" s="22" t="s">
        <v>1774</v>
      </c>
      <c r="C103" s="22" t="e">
        <f t="array" aca="1" ref="C103" ca="1">_xludf.XLOOKUP(A103,'Batch || Working'!$C$2:$C$438,'Batch || Working'!$E$2:$E$438)</f>
        <v>#NAME?</v>
      </c>
    </row>
    <row r="104" spans="1:3" ht="14.25" customHeight="1">
      <c r="A104" s="22" t="s">
        <v>747</v>
      </c>
      <c r="B104" s="22" t="s">
        <v>1776</v>
      </c>
      <c r="C104" s="22" t="e">
        <f t="array" aca="1" ref="C104" ca="1">_xludf.XLOOKUP(A104,'Batch || Working'!$C$2:$C$438,'Batch || Working'!$E$2:$E$438)</f>
        <v>#NAME?</v>
      </c>
    </row>
    <row r="105" spans="1:3" ht="14.25" customHeight="1">
      <c r="A105" s="22" t="s">
        <v>267</v>
      </c>
      <c r="B105" s="22" t="s">
        <v>1642</v>
      </c>
      <c r="C105" s="22" t="e">
        <f t="array" aca="1" ref="C105" ca="1">_xludf.XLOOKUP(A105,'Batch || Working'!$C$2:$C$438,'Batch || Working'!$E$2:$E$438)</f>
        <v>#NAME?</v>
      </c>
    </row>
    <row r="106" spans="1:3" ht="14.25" customHeight="1">
      <c r="A106" s="22" t="s">
        <v>752</v>
      </c>
      <c r="B106" s="22" t="s">
        <v>1777</v>
      </c>
      <c r="C106" s="22" t="e">
        <f t="array" aca="1" ref="C106" ca="1">_xludf.XLOOKUP(A106,'Batch || Working'!$C$2:$C$438,'Batch || Working'!$E$2:$E$438)</f>
        <v>#NAME?</v>
      </c>
    </row>
    <row r="107" spans="1:3" ht="14.25" customHeight="1">
      <c r="A107" s="22" t="s">
        <v>763</v>
      </c>
      <c r="B107" s="22" t="s">
        <v>1778</v>
      </c>
      <c r="C107" s="22" t="e">
        <f t="array" aca="1" ref="C107" ca="1">_xludf.XLOOKUP(A107,'Batch || Working'!$C$2:$C$438,'Batch || Working'!$E$2:$E$438)</f>
        <v>#NAME?</v>
      </c>
    </row>
    <row r="108" spans="1:3" ht="14.25" customHeight="1">
      <c r="A108" s="22" t="s">
        <v>269</v>
      </c>
      <c r="B108" s="22" t="s">
        <v>1779</v>
      </c>
      <c r="C108" s="22" t="e">
        <f t="array" aca="1" ref="C108" ca="1">_xludf.XLOOKUP(A108,'Batch || Working'!$C$2:$C$438,'Batch || Working'!$E$2:$E$438)</f>
        <v>#NAME?</v>
      </c>
    </row>
    <row r="109" spans="1:3" ht="14.25" customHeight="1">
      <c r="A109" s="22" t="s">
        <v>787</v>
      </c>
      <c r="B109" s="22" t="s">
        <v>1782</v>
      </c>
      <c r="C109" s="22" t="e">
        <f t="array" aca="1" ref="C109" ca="1">_xludf.XLOOKUP(A109,'Batch || Working'!$C$2:$C$438,'Batch || Working'!$E$2:$E$438)</f>
        <v>#NAME?</v>
      </c>
    </row>
    <row r="110" spans="1:3" ht="14.25" customHeight="1">
      <c r="A110" s="22" t="s">
        <v>790</v>
      </c>
      <c r="B110" s="22" t="s">
        <v>1783</v>
      </c>
      <c r="C110" s="22" t="e">
        <f t="array" aca="1" ref="C110" ca="1">_xludf.XLOOKUP(A110,'Batch || Working'!$C$2:$C$438,'Batch || Working'!$E$2:$E$438)</f>
        <v>#NAME?</v>
      </c>
    </row>
    <row r="111" spans="1:3" ht="14.25" customHeight="1">
      <c r="A111" s="22" t="s">
        <v>275</v>
      </c>
      <c r="B111" s="22" t="s">
        <v>1784</v>
      </c>
      <c r="C111" s="22" t="e">
        <f t="array" aca="1" ref="C111" ca="1">_xludf.XLOOKUP(A111,'Batch || Working'!$C$2:$C$438,'Batch || Working'!$E$2:$E$438)</f>
        <v>#NAME?</v>
      </c>
    </row>
    <row r="112" spans="1:3" ht="14.25" customHeight="1">
      <c r="A112" s="22" t="s">
        <v>280</v>
      </c>
      <c r="B112" s="22" t="s">
        <v>1653</v>
      </c>
      <c r="C112" s="22" t="e">
        <f t="array" aca="1" ref="C112" ca="1">_xludf.XLOOKUP(A112,'Batch || Working'!$C$2:$C$438,'Batch || Working'!$E$2:$E$438)</f>
        <v>#NAME?</v>
      </c>
    </row>
    <row r="113" spans="1:3" ht="14.25" customHeight="1">
      <c r="A113" s="22" t="s">
        <v>281</v>
      </c>
      <c r="B113" s="22" t="s">
        <v>1210</v>
      </c>
      <c r="C113" s="22" t="e">
        <f t="array" aca="1" ref="C113" ca="1">_xludf.XLOOKUP(A113,'Batch || Working'!$C$2:$C$438,'Batch || Working'!$E$2:$E$438)</f>
        <v>#NAME?</v>
      </c>
    </row>
    <row r="114" spans="1:3" ht="14.25" customHeight="1">
      <c r="A114" s="22" t="s">
        <v>836</v>
      </c>
      <c r="B114" s="22" t="s">
        <v>1655</v>
      </c>
      <c r="C114" s="22" t="e">
        <f t="array" aca="1" ref="C114" ca="1">_xludf.XLOOKUP(A114,'Batch || Working'!$C$2:$C$438,'Batch || Working'!$E$2:$E$438)</f>
        <v>#NAME?</v>
      </c>
    </row>
    <row r="115" spans="1:3" ht="14.25" customHeight="1">
      <c r="A115" s="22" t="s">
        <v>842</v>
      </c>
      <c r="B115" s="22" t="s">
        <v>1732</v>
      </c>
      <c r="C115" s="22" t="e">
        <f t="array" aca="1" ref="C115" ca="1">_xludf.XLOOKUP(A115,'Batch || Working'!$C$2:$C$438,'Batch || Working'!$E$2:$E$438)</f>
        <v>#NAME?</v>
      </c>
    </row>
    <row r="116" spans="1:3" ht="14.25" customHeight="1">
      <c r="A116" s="22" t="s">
        <v>845</v>
      </c>
      <c r="B116" s="22" t="s">
        <v>1657</v>
      </c>
      <c r="C116" s="22" t="e">
        <f t="array" aca="1" ref="C116" ca="1">_xludf.XLOOKUP(A116,'Batch || Working'!$C$2:$C$438,'Batch || Working'!$E$2:$E$438)</f>
        <v>#NAME?</v>
      </c>
    </row>
    <row r="117" spans="1:3" ht="14.25" customHeight="1">
      <c r="A117" s="22" t="s">
        <v>848</v>
      </c>
      <c r="B117" s="22" t="s">
        <v>1658</v>
      </c>
      <c r="C117" s="22" t="e">
        <f t="array" aca="1" ref="C117" ca="1">_xludf.XLOOKUP(A117,'Batch || Working'!$C$2:$C$438,'Batch || Working'!$E$2:$E$438)</f>
        <v>#NAME?</v>
      </c>
    </row>
    <row r="118" spans="1:3" ht="14.25" customHeight="1">
      <c r="A118" s="22" t="s">
        <v>856</v>
      </c>
      <c r="B118" s="22" t="s">
        <v>1905</v>
      </c>
      <c r="C118" s="22" t="e">
        <f t="array" aca="1" ref="C118" ca="1">_xludf.XLOOKUP(A118,'Batch || Working'!$C$2:$C$438,'Batch || Working'!$E$2:$E$438)</f>
        <v>#NAME?</v>
      </c>
    </row>
    <row r="119" spans="1:3" ht="14.25" customHeight="1">
      <c r="A119" s="22" t="s">
        <v>908</v>
      </c>
      <c r="B119" s="22" t="s">
        <v>1792</v>
      </c>
      <c r="C119" s="22" t="e">
        <f t="array" aca="1" ref="C119" ca="1">_xludf.XLOOKUP(A119,'Batch || Working'!$C$2:$C$438,'Batch || Working'!$E$2:$E$438)</f>
        <v>#NAME?</v>
      </c>
    </row>
    <row r="120" spans="1:3" ht="14.25" customHeight="1">
      <c r="A120" s="22" t="s">
        <v>911</v>
      </c>
      <c r="B120" s="22" t="s">
        <v>1906</v>
      </c>
      <c r="C120" s="22" t="e">
        <f t="array" aca="1" ref="C120" ca="1">_xludf.XLOOKUP(A120,'Batch || Working'!$C$2:$C$438,'Batch || Working'!$E$2:$E$438)</f>
        <v>#NAME?</v>
      </c>
    </row>
    <row r="121" spans="1:3" ht="14.25" customHeight="1">
      <c r="A121" s="22" t="s">
        <v>284</v>
      </c>
      <c r="B121" s="22" t="s">
        <v>1892</v>
      </c>
      <c r="C121" s="22" t="e">
        <f t="array" aca="1" ref="C121" ca="1">_xludf.XLOOKUP(A121,'Batch || Working'!$C$2:$C$438,'Batch || Working'!$E$2:$E$438)</f>
        <v>#NAME?</v>
      </c>
    </row>
    <row r="122" spans="1:3" ht="14.25" customHeight="1">
      <c r="A122" s="22" t="s">
        <v>285</v>
      </c>
      <c r="B122" s="22" t="s">
        <v>1843</v>
      </c>
      <c r="C122" s="22" t="e">
        <f t="array" aca="1" ref="C122" ca="1">_xludf.XLOOKUP(A122,'Batch || Working'!$C$2:$C$438,'Batch || Working'!$E$2:$E$438)</f>
        <v>#NAME?</v>
      </c>
    </row>
    <row r="123" spans="1:3" ht="14.25" customHeight="1">
      <c r="A123" s="22" t="s">
        <v>923</v>
      </c>
      <c r="B123" s="22" t="s">
        <v>1844</v>
      </c>
      <c r="C123" s="22" t="e">
        <f t="array" aca="1" ref="C123" ca="1">_xludf.XLOOKUP(A123,'Batch || Working'!$C$2:$C$438,'Batch || Working'!$E$2:$E$438)</f>
        <v>#NAME?</v>
      </c>
    </row>
    <row r="124" spans="1:3" ht="14.25" customHeight="1">
      <c r="A124" s="22" t="s">
        <v>928</v>
      </c>
      <c r="B124" s="22" t="s">
        <v>1659</v>
      </c>
      <c r="C124" s="22" t="e">
        <f t="array" aca="1" ref="C124" ca="1">_xludf.XLOOKUP(A124,'Batch || Working'!$C$2:$C$438,'Batch || Working'!$E$2:$E$438)</f>
        <v>#NAME?</v>
      </c>
    </row>
    <row r="125" spans="1:3" ht="14.25" customHeight="1">
      <c r="A125" s="22" t="s">
        <v>940</v>
      </c>
      <c r="B125" s="22" t="s">
        <v>1927</v>
      </c>
      <c r="C125" s="22" t="e">
        <f t="array" aca="1" ref="C125" ca="1">_xludf.XLOOKUP(A125,'Batch || Working'!$C$2:$C$438,'Batch || Working'!$E$2:$E$438)</f>
        <v>#NAME?</v>
      </c>
    </row>
    <row r="126" spans="1:3" ht="14.25" customHeight="1">
      <c r="A126" s="22" t="s">
        <v>515</v>
      </c>
      <c r="B126" s="22" t="s">
        <v>516</v>
      </c>
      <c r="C126" s="22" t="e">
        <f t="array" aca="1" ref="C126" ca="1">_xludf.XLOOKUP(A126,'Batch || Working'!$C$2:$C$438,'Batch || Working'!$E$2:$E$438)</f>
        <v>#NAME?</v>
      </c>
    </row>
    <row r="127" spans="1:3" ht="14.25" customHeight="1">
      <c r="A127" s="22" t="s">
        <v>293</v>
      </c>
      <c r="B127" s="22" t="s">
        <v>1845</v>
      </c>
      <c r="C127" s="22" t="e">
        <f t="array" aca="1" ref="C127" ca="1">_xludf.XLOOKUP(A127,'Batch || Working'!$C$2:$C$438,'Batch || Working'!$E$2:$E$438)</f>
        <v>#NAME?</v>
      </c>
    </row>
    <row r="128" spans="1:3" ht="14.25" customHeight="1">
      <c r="A128" s="22" t="s">
        <v>973</v>
      </c>
      <c r="B128" s="22" t="s">
        <v>1877</v>
      </c>
      <c r="C128" s="22" t="e">
        <f t="array" aca="1" ref="C128" ca="1">_xludf.XLOOKUP(A128,'Batch || Working'!$C$2:$C$438,'Batch || Working'!$E$2:$E$438)</f>
        <v>#NAME?</v>
      </c>
    </row>
    <row r="129" spans="1:3" ht="14.25" customHeight="1">
      <c r="A129" s="22" t="s">
        <v>297</v>
      </c>
      <c r="B129" s="22" t="s">
        <v>1934</v>
      </c>
      <c r="C129" s="22" t="e">
        <f t="array" aca="1" ref="C129" ca="1">_xludf.XLOOKUP(A129,'Batch || Working'!$C$2:$C$438,'Batch || Working'!$E$2:$E$438)</f>
        <v>#NAME?</v>
      </c>
    </row>
    <row r="130" spans="1:3" ht="14.25" customHeight="1">
      <c r="A130" s="22" t="s">
        <v>299</v>
      </c>
      <c r="B130" s="22" t="s">
        <v>1863</v>
      </c>
      <c r="C130" s="22" t="e">
        <f t="array" aca="1" ref="C130" ca="1">_xludf.XLOOKUP(A130,'Batch || Working'!$C$2:$C$438,'Batch || Working'!$E$2:$E$438)</f>
        <v>#NAME?</v>
      </c>
    </row>
    <row r="131" spans="1:3" ht="14.25" customHeight="1">
      <c r="A131" s="22" t="s">
        <v>997</v>
      </c>
      <c r="B131" s="22" t="s">
        <v>1894</v>
      </c>
      <c r="C131" s="22" t="e">
        <f t="array" aca="1" ref="C131" ca="1">_xludf.XLOOKUP(A131,'Batch || Working'!$C$2:$C$438,'Batch || Working'!$E$2:$E$438)</f>
        <v>#NAME?</v>
      </c>
    </row>
    <row r="132" spans="1:3" ht="14.25" customHeight="1">
      <c r="A132" s="22" t="s">
        <v>728</v>
      </c>
      <c r="B132" s="22" t="s">
        <v>729</v>
      </c>
      <c r="C132" s="22" t="e">
        <f t="array" aca="1" ref="C132" ca="1">_xludf.XLOOKUP(A132,'Batch || Working'!$C$2:$C$438,'Batch || Working'!$E$2:$E$438)</f>
        <v>#NAME?</v>
      </c>
    </row>
    <row r="133" spans="1:3" ht="14.25" customHeight="1">
      <c r="A133" s="22" t="s">
        <v>303</v>
      </c>
      <c r="B133" s="22" t="s">
        <v>1850</v>
      </c>
      <c r="C133" s="22" t="e">
        <f t="array" aca="1" ref="C133" ca="1">_xludf.XLOOKUP(A133,'Batch || Working'!$C$2:$C$438,'Batch || Working'!$E$2:$E$438)</f>
        <v>#NAME?</v>
      </c>
    </row>
    <row r="134" spans="1:3" ht="14.25" customHeight="1">
      <c r="A134" s="22" t="s">
        <v>1075</v>
      </c>
      <c r="B134" s="22" t="s">
        <v>1672</v>
      </c>
      <c r="C134" s="22" t="e">
        <f t="array" aca="1" ref="C134" ca="1">_xludf.XLOOKUP(A134,'Batch || Working'!$C$2:$C$438,'Batch || Working'!$E$2:$E$438)</f>
        <v>#NAME?</v>
      </c>
    </row>
    <row r="135" spans="1:3" ht="14.25" customHeight="1">
      <c r="A135" s="22" t="s">
        <v>1081</v>
      </c>
      <c r="B135" s="22" t="s">
        <v>1674</v>
      </c>
      <c r="C135" s="22" t="e">
        <f t="array" aca="1" ref="C135" ca="1">_xludf.XLOOKUP(A135,'Batch || Working'!$C$2:$C$438,'Batch || Working'!$E$2:$E$438)</f>
        <v>#NAME?</v>
      </c>
    </row>
    <row r="136" spans="1:3" ht="14.25" customHeight="1">
      <c r="A136" s="22" t="s">
        <v>1115</v>
      </c>
      <c r="B136" s="22" t="s">
        <v>1804</v>
      </c>
      <c r="C136" s="22" t="e">
        <f t="array" aca="1" ref="C136" ca="1">_xludf.XLOOKUP(A136,'Batch || Working'!$C$2:$C$438,'Batch || Working'!$E$2:$E$438)</f>
        <v>#NAME?</v>
      </c>
    </row>
    <row r="137" spans="1:3" ht="14.25" customHeight="1">
      <c r="A137" s="22" t="s">
        <v>309</v>
      </c>
      <c r="B137" s="22" t="s">
        <v>1851</v>
      </c>
      <c r="C137" s="22" t="e">
        <f t="array" aca="1" ref="C137" ca="1">_xludf.XLOOKUP(A137,'Batch || Working'!$C$2:$C$438,'Batch || Working'!$E$2:$E$438)</f>
        <v>#NAME?</v>
      </c>
    </row>
    <row r="138" spans="1:3" ht="14.25" customHeight="1">
      <c r="A138" s="22" t="s">
        <v>731</v>
      </c>
      <c r="B138" s="22" t="s">
        <v>732</v>
      </c>
      <c r="C138" s="22" t="e">
        <f t="array" aca="1" ref="C138" ca="1">_xludf.XLOOKUP(A138,'Batch || Working'!$C$2:$C$438,'Batch || Working'!$E$2:$E$438)</f>
        <v>#NAME?</v>
      </c>
    </row>
    <row r="139" spans="1:3" ht="14.25" customHeight="1">
      <c r="A139" s="22" t="s">
        <v>314</v>
      </c>
      <c r="B139" s="22" t="s">
        <v>1806</v>
      </c>
      <c r="C139" s="22" t="e">
        <f t="array" aca="1" ref="C139" ca="1">_xludf.XLOOKUP(A139,'Batch || Working'!$C$2:$C$438,'Batch || Working'!$E$2:$E$438)</f>
        <v>#NAME?</v>
      </c>
    </row>
    <row r="140" spans="1:3" ht="14.25" customHeight="1">
      <c r="A140" s="22" t="s">
        <v>317</v>
      </c>
      <c r="B140" s="22" t="s">
        <v>1943</v>
      </c>
      <c r="C140" s="22" t="e">
        <f t="array" aca="1" ref="C140" ca="1">_xludf.XLOOKUP(A140,'Batch || Working'!$C$2:$C$438,'Batch || Working'!$E$2:$E$438)</f>
        <v>#NAME?</v>
      </c>
    </row>
    <row r="141" spans="1:3" ht="14.25" customHeight="1">
      <c r="A141" s="22" t="s">
        <v>1188</v>
      </c>
      <c r="B141" s="22" t="s">
        <v>1935</v>
      </c>
      <c r="C141" s="22" t="e">
        <f t="array" aca="1" ref="C141" ca="1">_xludf.XLOOKUP(A141,'Batch || Working'!$C$2:$C$438,'Batch || Working'!$E$2:$E$438)</f>
        <v>#NAME?</v>
      </c>
    </row>
    <row r="142" spans="1:3" ht="14.25" customHeight="1"/>
    <row r="143" spans="1:3" ht="14.25" customHeight="1"/>
    <row r="144" spans="1: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991"/>
  <sheetViews>
    <sheetView workbookViewId="0"/>
  </sheetViews>
  <sheetFormatPr defaultColWidth="14.3984375" defaultRowHeight="15.75" customHeight="1"/>
  <cols>
    <col min="1" max="1" width="13.09765625" customWidth="1"/>
    <col min="2" max="2" width="31.3984375" customWidth="1"/>
    <col min="3" max="3" width="42.69921875" customWidth="1"/>
    <col min="4" max="26" width="8.69921875" customWidth="1"/>
  </cols>
  <sheetData>
    <row r="1" spans="1:3" ht="14.25" customHeight="1">
      <c r="A1" s="148" t="s">
        <v>176</v>
      </c>
      <c r="B1" s="104" t="s">
        <v>177</v>
      </c>
      <c r="C1" s="104" t="s">
        <v>364</v>
      </c>
    </row>
    <row r="2" spans="1:3" ht="14.25" customHeight="1">
      <c r="A2" s="22" t="s">
        <v>1394</v>
      </c>
      <c r="B2" s="22" t="s">
        <v>1936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1264</v>
      </c>
      <c r="B3" s="22" t="s">
        <v>1911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179</v>
      </c>
      <c r="B4" s="22" t="s">
        <v>1568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1292</v>
      </c>
      <c r="B5" s="22" t="s">
        <v>1912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1307</v>
      </c>
      <c r="B6" s="22" t="s">
        <v>1576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181</v>
      </c>
      <c r="B7" s="22" t="s">
        <v>1580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1328</v>
      </c>
      <c r="B8" s="22" t="s">
        <v>1693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1334</v>
      </c>
      <c r="B9" s="22" t="s">
        <v>1584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1342</v>
      </c>
      <c r="B10" s="22" t="s">
        <v>1694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1348</v>
      </c>
      <c r="B11" s="22" t="s">
        <v>1815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1376</v>
      </c>
      <c r="B12" s="22" t="s">
        <v>1879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186</v>
      </c>
      <c r="B13" s="22" t="s">
        <v>1743</v>
      </c>
      <c r="C13" s="22" t="e">
        <f t="array" aca="1" ref="C13" ca="1">_xludf.XLOOKUP(A13,'Batch || Working'!$C$2:$C$438,'Batch || Working'!$E$2:$E$438)</f>
        <v>#NAME?</v>
      </c>
    </row>
    <row r="14" spans="1:3" ht="13">
      <c r="A14" s="22" t="s">
        <v>1383</v>
      </c>
      <c r="B14" s="22" t="s">
        <v>1593</v>
      </c>
      <c r="C14" s="22" t="e">
        <f t="array" aca="1" ref="C14" ca="1">_xludf.XLOOKUP(A14,'Batch || Working'!$C$2:$C$438,'Batch || Working'!$E$2:$E$438)</f>
        <v>#NAME?</v>
      </c>
    </row>
    <row r="15" spans="1:3" ht="13">
      <c r="A15" s="22" t="s">
        <v>188</v>
      </c>
      <c r="B15" s="22" t="s">
        <v>1594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1391</v>
      </c>
      <c r="B16" s="22" t="s">
        <v>1595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190</v>
      </c>
      <c r="B17" s="22" t="s">
        <v>1403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1408</v>
      </c>
      <c r="B18" s="22" t="s">
        <v>1409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191</v>
      </c>
      <c r="B19" s="22" t="s">
        <v>1866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192</v>
      </c>
      <c r="B20" s="22" t="s">
        <v>1440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1450</v>
      </c>
      <c r="B21" s="22" t="s">
        <v>1451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196</v>
      </c>
      <c r="B22" s="22" t="s">
        <v>1487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199</v>
      </c>
      <c r="B23" s="22" t="s">
        <v>1505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200</v>
      </c>
      <c r="B24" s="22" t="s">
        <v>1821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203</v>
      </c>
      <c r="B25" s="22" t="s">
        <v>1520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206</v>
      </c>
      <c r="B26" s="22" t="s">
        <v>1544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208</v>
      </c>
      <c r="B27" s="22" t="s">
        <v>1868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1232</v>
      </c>
      <c r="B28" s="22" t="s">
        <v>1938</v>
      </c>
      <c r="C28" s="144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214</v>
      </c>
      <c r="B29" s="22" t="s">
        <v>1752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865</v>
      </c>
      <c r="B30" s="22" t="s">
        <v>1605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876</v>
      </c>
      <c r="B31" s="22" t="s">
        <v>1706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531</v>
      </c>
      <c r="B32" s="22" t="s">
        <v>1607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885</v>
      </c>
      <c r="B33" s="22" t="s">
        <v>1609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1235</v>
      </c>
      <c r="B34" s="22" t="s">
        <v>1710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543</v>
      </c>
      <c r="B35" s="22" t="s">
        <v>1711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1217</v>
      </c>
      <c r="B36" s="22" t="s">
        <v>1613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380</v>
      </c>
      <c r="B37" s="22" t="s">
        <v>1916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388</v>
      </c>
      <c r="B38" s="22" t="s">
        <v>1615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232</v>
      </c>
      <c r="B39" s="22" t="s">
        <v>1716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233</v>
      </c>
      <c r="B40" s="22" t="s">
        <v>1760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237</v>
      </c>
      <c r="B41" s="22" t="s">
        <v>1833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238</v>
      </c>
      <c r="B42" s="22" t="s">
        <v>1939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239</v>
      </c>
      <c r="B43" s="22" t="s">
        <v>1923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241</v>
      </c>
      <c r="B44" s="22" t="s">
        <v>1620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457</v>
      </c>
      <c r="B45" s="22" t="s">
        <v>1721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714</v>
      </c>
      <c r="B46" s="22" t="s">
        <v>715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493</v>
      </c>
      <c r="B47" s="22" t="s">
        <v>1836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558</v>
      </c>
      <c r="B48" s="22" t="s">
        <v>1626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570</v>
      </c>
      <c r="B49" s="22" t="s">
        <v>1628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662</v>
      </c>
      <c r="B50" s="22" t="s">
        <v>1774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747</v>
      </c>
      <c r="B51" s="22" t="s">
        <v>1776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267</v>
      </c>
      <c r="B52" s="22" t="s">
        <v>1642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752</v>
      </c>
      <c r="B53" s="22" t="s">
        <v>1777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763</v>
      </c>
      <c r="B54" s="22" t="s">
        <v>1778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787</v>
      </c>
      <c r="B55" s="22" t="s">
        <v>1782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281</v>
      </c>
      <c r="B56" s="22" t="s">
        <v>1210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836</v>
      </c>
      <c r="B57" s="22" t="s">
        <v>1655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842</v>
      </c>
      <c r="B58" s="22" t="s">
        <v>1732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845</v>
      </c>
      <c r="B59" s="22" t="s">
        <v>1657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856</v>
      </c>
      <c r="B60" s="22" t="s">
        <v>1905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908</v>
      </c>
      <c r="B61" s="22" t="s">
        <v>1792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911</v>
      </c>
      <c r="B62" s="22" t="s">
        <v>1906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284</v>
      </c>
      <c r="B63" s="22" t="s">
        <v>1892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285</v>
      </c>
      <c r="B64" s="22" t="s">
        <v>1843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923</v>
      </c>
      <c r="B65" s="22" t="s">
        <v>1844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515</v>
      </c>
      <c r="B66" s="22" t="s">
        <v>516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293</v>
      </c>
      <c r="B67" s="22" t="s">
        <v>1845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997</v>
      </c>
      <c r="B68" s="22" t="s">
        <v>1894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728</v>
      </c>
      <c r="B69" s="22" t="s">
        <v>729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1075</v>
      </c>
      <c r="B70" s="22" t="s">
        <v>1672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1081</v>
      </c>
      <c r="B71" s="22" t="s">
        <v>1674</v>
      </c>
      <c r="C71" s="22" t="e">
        <f t="array" aca="1" ref="C71" ca="1">_xludf.XLOOKUP(A71,'Batch || Working'!$C$2:$C$438,'Batch || Working'!$E$2:$E$438)</f>
        <v>#NAME?</v>
      </c>
    </row>
    <row r="72" spans="1:3" ht="14.25" customHeight="1">
      <c r="A72" s="22" t="s">
        <v>309</v>
      </c>
      <c r="B72" s="22" t="s">
        <v>1851</v>
      </c>
      <c r="C72" s="22" t="e">
        <f t="array" aca="1" ref="C72" ca="1">_xludf.XLOOKUP(A72,'Batch || Working'!$C$2:$C$438,'Batch || Working'!$E$2:$E$438)</f>
        <v>#NAME?</v>
      </c>
    </row>
    <row r="73" spans="1:3" ht="14.25" customHeight="1">
      <c r="A73" s="22" t="s">
        <v>731</v>
      </c>
      <c r="B73" s="22" t="s">
        <v>732</v>
      </c>
      <c r="C73" s="22" t="e">
        <f t="array" aca="1" ref="C73" ca="1">_xludf.XLOOKUP(A73,'Batch || Working'!$C$2:$C$438,'Batch || Working'!$E$2:$E$438)</f>
        <v>#NAME?</v>
      </c>
    </row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998"/>
  <sheetViews>
    <sheetView workbookViewId="0"/>
  </sheetViews>
  <sheetFormatPr defaultColWidth="14.3984375" defaultRowHeight="15.75" customHeight="1"/>
  <cols>
    <col min="1" max="1" width="13.09765625" customWidth="1"/>
    <col min="2" max="2" width="31.3984375" customWidth="1"/>
    <col min="3" max="3" width="42.69921875" customWidth="1"/>
    <col min="4" max="26" width="8.69921875" customWidth="1"/>
  </cols>
  <sheetData>
    <row r="1" spans="1:3" ht="14.25" customHeight="1">
      <c r="A1" s="148" t="s">
        <v>176</v>
      </c>
      <c r="B1" s="104" t="s">
        <v>177</v>
      </c>
      <c r="C1" s="104" t="s">
        <v>364</v>
      </c>
    </row>
    <row r="2" spans="1:3" ht="14.25" customHeight="1">
      <c r="A2" s="22" t="s">
        <v>1261</v>
      </c>
      <c r="B2" s="22" t="s">
        <v>1567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145" t="s">
        <v>1267</v>
      </c>
      <c r="B3" s="145" t="s">
        <v>1809</v>
      </c>
      <c r="C3" s="145" t="s">
        <v>1269</v>
      </c>
    </row>
    <row r="4" spans="1:3" ht="14.25" customHeight="1">
      <c r="A4" s="22" t="s">
        <v>1286</v>
      </c>
      <c r="B4" s="22" t="s">
        <v>1812</v>
      </c>
      <c r="C4" s="22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1289</v>
      </c>
      <c r="B5" s="22" t="s">
        <v>1572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1301</v>
      </c>
      <c r="B6" s="22" t="s">
        <v>1575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145" t="s">
        <v>1304</v>
      </c>
      <c r="B7" s="145" t="s">
        <v>1930</v>
      </c>
      <c r="C7" s="145" t="s">
        <v>1306</v>
      </c>
    </row>
    <row r="8" spans="1:3" ht="14.25" customHeight="1">
      <c r="A8" s="145" t="s">
        <v>180</v>
      </c>
      <c r="B8" s="145" t="s">
        <v>1937</v>
      </c>
      <c r="C8" s="145" t="s">
        <v>1311</v>
      </c>
    </row>
    <row r="9" spans="1:3" ht="14.25" customHeight="1">
      <c r="A9" s="22" t="s">
        <v>1323</v>
      </c>
      <c r="B9" s="22" t="s">
        <v>1581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183</v>
      </c>
      <c r="B10" s="22" t="s">
        <v>1913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1351</v>
      </c>
      <c r="B11" s="22" t="s">
        <v>1585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1354</v>
      </c>
      <c r="B12" s="22" t="s">
        <v>1586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1357</v>
      </c>
      <c r="B13" s="22" t="s">
        <v>1587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1366</v>
      </c>
      <c r="B14" s="22" t="s">
        <v>1590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184</v>
      </c>
      <c r="B15" s="22" t="s">
        <v>1816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1371</v>
      </c>
      <c r="B16" s="22" t="s">
        <v>1591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1398</v>
      </c>
      <c r="B17" s="22" t="s">
        <v>1399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1434</v>
      </c>
      <c r="B18" s="22" t="s">
        <v>1435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1456</v>
      </c>
      <c r="B19" s="22" t="s">
        <v>1457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1476</v>
      </c>
      <c r="B20" s="22" t="s">
        <v>1477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1517</v>
      </c>
      <c r="B21" s="22" t="s">
        <v>1518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1522</v>
      </c>
      <c r="B22" s="22" t="s">
        <v>1523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1214</v>
      </c>
      <c r="B23" s="22" t="s">
        <v>1826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145" t="s">
        <v>868</v>
      </c>
      <c r="B24" s="145" t="s">
        <v>1827</v>
      </c>
      <c r="C24" s="145" t="s">
        <v>870</v>
      </c>
    </row>
    <row r="25" spans="1:3" ht="14.25" customHeight="1">
      <c r="A25" s="145" t="s">
        <v>528</v>
      </c>
      <c r="B25" s="145" t="s">
        <v>1931</v>
      </c>
      <c r="C25" s="145" t="s">
        <v>530</v>
      </c>
    </row>
    <row r="26" spans="1:3" ht="14.25" customHeight="1">
      <c r="A26" s="22" t="s">
        <v>1028</v>
      </c>
      <c r="B26" s="22" t="s">
        <v>1597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534</v>
      </c>
      <c r="B27" s="22" t="s">
        <v>1698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1229</v>
      </c>
      <c r="B28" s="22" t="s">
        <v>1699</v>
      </c>
      <c r="C28" s="144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693</v>
      </c>
      <c r="B29" s="22" t="s">
        <v>1600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1241</v>
      </c>
      <c r="B30" s="22" t="s">
        <v>1828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145" t="s">
        <v>211</v>
      </c>
      <c r="B31" s="145" t="s">
        <v>1941</v>
      </c>
      <c r="C31" s="145" t="s">
        <v>547</v>
      </c>
    </row>
    <row r="32" spans="1:3" ht="14.25" customHeight="1">
      <c r="A32" s="145" t="s">
        <v>696</v>
      </c>
      <c r="B32" s="145" t="s">
        <v>1915</v>
      </c>
      <c r="C32" s="145" t="s">
        <v>698</v>
      </c>
    </row>
    <row r="33" spans="1:3" ht="14.25" customHeight="1">
      <c r="A33" s="22" t="s">
        <v>548</v>
      </c>
      <c r="B33" s="22" t="s">
        <v>1702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145" t="s">
        <v>215</v>
      </c>
      <c r="B34" s="145" t="s">
        <v>1881</v>
      </c>
      <c r="C34" s="145" t="s">
        <v>896</v>
      </c>
    </row>
    <row r="35" spans="1:3" ht="14.25" customHeight="1">
      <c r="A35" s="22" t="s">
        <v>1052</v>
      </c>
      <c r="B35" s="22" t="s">
        <v>1602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1246</v>
      </c>
      <c r="B36" s="22" t="s">
        <v>1898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145" t="s">
        <v>711</v>
      </c>
      <c r="B37" s="145" t="s">
        <v>1604</v>
      </c>
      <c r="C37" s="145" t="s">
        <v>713</v>
      </c>
    </row>
    <row r="38" spans="1:3" ht="14.25" customHeight="1">
      <c r="A38" s="22" t="s">
        <v>670</v>
      </c>
      <c r="B38" s="22" t="s">
        <v>1753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520</v>
      </c>
      <c r="B39" s="22" t="s">
        <v>1754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873</v>
      </c>
      <c r="B40" s="22" t="s">
        <v>1899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685</v>
      </c>
      <c r="B41" s="22" t="s">
        <v>1932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1039</v>
      </c>
      <c r="B42" s="22" t="s">
        <v>1755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223</v>
      </c>
      <c r="B43" s="22" t="s">
        <v>1831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1058</v>
      </c>
      <c r="B44" s="22" t="s">
        <v>1757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145" t="s">
        <v>234</v>
      </c>
      <c r="B45" s="145" t="s">
        <v>1616</v>
      </c>
      <c r="C45" s="145" t="s">
        <v>403</v>
      </c>
    </row>
    <row r="46" spans="1:3" ht="14.25" customHeight="1">
      <c r="A46" s="22" t="s">
        <v>405</v>
      </c>
      <c r="B46" s="22" t="s">
        <v>1717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437</v>
      </c>
      <c r="B47" s="22" t="s">
        <v>1719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145" t="s">
        <v>480</v>
      </c>
      <c r="B48" s="145" t="s">
        <v>1763</v>
      </c>
      <c r="C48" s="145" t="s">
        <v>482</v>
      </c>
    </row>
    <row r="49" spans="1:3" ht="14.25" customHeight="1">
      <c r="A49" s="145" t="s">
        <v>503</v>
      </c>
      <c r="B49" s="145" t="s">
        <v>1766</v>
      </c>
      <c r="C49" s="145" t="s">
        <v>505</v>
      </c>
    </row>
    <row r="50" spans="1:3" ht="14.25" customHeight="1">
      <c r="A50" s="145" t="s">
        <v>512</v>
      </c>
      <c r="B50" s="145" t="s">
        <v>1918</v>
      </c>
      <c r="C50" s="145" t="s">
        <v>514</v>
      </c>
    </row>
    <row r="51" spans="1:3" ht="14.25" customHeight="1">
      <c r="A51" s="22" t="s">
        <v>598</v>
      </c>
      <c r="B51" s="22" t="s">
        <v>1632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145" t="s">
        <v>259</v>
      </c>
      <c r="B52" s="145" t="s">
        <v>1771</v>
      </c>
      <c r="C52" s="145" t="s">
        <v>612</v>
      </c>
    </row>
    <row r="53" spans="1:3" ht="14.25" customHeight="1">
      <c r="A53" s="22" t="s">
        <v>261</v>
      </c>
      <c r="B53" s="22" t="s">
        <v>1920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145" t="s">
        <v>659</v>
      </c>
      <c r="B54" s="145" t="s">
        <v>1639</v>
      </c>
      <c r="C54" s="145" t="s">
        <v>661</v>
      </c>
    </row>
    <row r="55" spans="1:3" ht="14.25" customHeight="1">
      <c r="A55" s="145" t="s">
        <v>269</v>
      </c>
      <c r="B55" s="145" t="s">
        <v>1779</v>
      </c>
      <c r="C55" s="145" t="s">
        <v>767</v>
      </c>
    </row>
    <row r="56" spans="1:3" ht="14.25" customHeight="1">
      <c r="A56" s="145" t="s">
        <v>790</v>
      </c>
      <c r="B56" s="145" t="s">
        <v>1783</v>
      </c>
      <c r="C56" s="145" t="s">
        <v>792</v>
      </c>
    </row>
    <row r="57" spans="1:3" ht="14.25" customHeight="1">
      <c r="A57" s="145" t="s">
        <v>275</v>
      </c>
      <c r="B57" s="145" t="s">
        <v>1784</v>
      </c>
      <c r="C57" s="145" t="s">
        <v>799</v>
      </c>
    </row>
    <row r="58" spans="1:3" ht="14.25" customHeight="1">
      <c r="A58" s="22" t="s">
        <v>280</v>
      </c>
      <c r="B58" s="22" t="s">
        <v>1653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848</v>
      </c>
      <c r="B59" s="22" t="s">
        <v>1658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145" t="s">
        <v>928</v>
      </c>
      <c r="B60" s="145" t="s">
        <v>1659</v>
      </c>
      <c r="C60" s="145" t="s">
        <v>930</v>
      </c>
    </row>
    <row r="61" spans="1:3" ht="14.25" customHeight="1">
      <c r="A61" s="145" t="s">
        <v>940</v>
      </c>
      <c r="B61" s="145" t="s">
        <v>1927</v>
      </c>
      <c r="C61" s="145" t="s">
        <v>942</v>
      </c>
    </row>
    <row r="62" spans="1:3" ht="14.25" customHeight="1">
      <c r="A62" s="145" t="s">
        <v>973</v>
      </c>
      <c r="B62" s="145" t="s">
        <v>1877</v>
      </c>
      <c r="C62" s="145" t="s">
        <v>975</v>
      </c>
    </row>
    <row r="63" spans="1:3" ht="14.25" customHeight="1">
      <c r="A63" s="22" t="s">
        <v>297</v>
      </c>
      <c r="B63" s="22" t="s">
        <v>1934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299</v>
      </c>
      <c r="B64" s="22" t="s">
        <v>1863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145" t="s">
        <v>303</v>
      </c>
      <c r="B65" s="145" t="s">
        <v>1850</v>
      </c>
      <c r="C65" s="145" t="s">
        <v>1065</v>
      </c>
    </row>
    <row r="66" spans="1:3" ht="14.25" customHeight="1">
      <c r="A66" s="22" t="s">
        <v>1115</v>
      </c>
      <c r="B66" s="22" t="s">
        <v>1804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314</v>
      </c>
      <c r="B67" s="22" t="s">
        <v>1806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145" t="s">
        <v>317</v>
      </c>
      <c r="B68" s="145" t="s">
        <v>1943</v>
      </c>
      <c r="C68" s="145" t="s">
        <v>1181</v>
      </c>
    </row>
    <row r="69" spans="1:3" ht="14.25" customHeight="1">
      <c r="A69" s="145" t="s">
        <v>1188</v>
      </c>
      <c r="B69" s="145" t="s">
        <v>1935</v>
      </c>
      <c r="C69" s="145" t="s">
        <v>1190</v>
      </c>
    </row>
    <row r="70" spans="1:3" ht="14.25" customHeight="1"/>
    <row r="71" spans="1:3" ht="14.25" customHeight="1"/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000"/>
  <sheetViews>
    <sheetView workbookViewId="0"/>
  </sheetViews>
  <sheetFormatPr defaultColWidth="14.3984375" defaultRowHeight="15.75" customHeight="1"/>
  <cols>
    <col min="1" max="1" width="10.296875" customWidth="1"/>
    <col min="2" max="2" width="31.3984375" customWidth="1"/>
    <col min="3" max="3" width="42.69921875" customWidth="1"/>
    <col min="4" max="24" width="8.69921875" customWidth="1"/>
  </cols>
  <sheetData>
    <row r="1" spans="1:5" ht="14.25" customHeight="1">
      <c r="A1" s="104" t="s">
        <v>176</v>
      </c>
      <c r="B1" s="104" t="s">
        <v>177</v>
      </c>
      <c r="C1" s="104" t="s">
        <v>364</v>
      </c>
    </row>
    <row r="2" spans="1:5" ht="14.25" customHeight="1">
      <c r="A2" s="22" t="s">
        <v>1394</v>
      </c>
      <c r="B2" s="22" t="s">
        <v>1936</v>
      </c>
      <c r="C2" s="22" t="e">
        <f t="array" aca="1" ref="C2" ca="1">_xludf.XLOOKUP(A2,'Batch || Working'!$C$2:$C$438,'Batch || Working'!$E$2:$E$438)</f>
        <v>#NAME?</v>
      </c>
    </row>
    <row r="3" spans="1:5" ht="14.25" customHeight="1">
      <c r="A3" s="22" t="s">
        <v>1295</v>
      </c>
      <c r="B3" s="22" t="s">
        <v>1573</v>
      </c>
      <c r="C3" s="22" t="e">
        <f t="array" aca="1" ref="C3" ca="1">_xludf.XLOOKUP(A3,'Batch || Working'!$C$2:$C$438,'Batch || Working'!$E$2:$E$438)</f>
        <v>#NAME?</v>
      </c>
      <c r="D3" s="103"/>
      <c r="E3" s="103"/>
    </row>
    <row r="4" spans="1:5" ht="14.25" customHeight="1">
      <c r="A4" s="22" t="s">
        <v>1312</v>
      </c>
      <c r="B4" s="22" t="s">
        <v>1577</v>
      </c>
      <c r="C4" s="22" t="e">
        <f t="array" aca="1" ref="C4" ca="1">_xludf.XLOOKUP(A4,'Batch || Working'!$C$2:$C$438,'Batch || Working'!$E$2:$E$438)</f>
        <v>#NAME?</v>
      </c>
      <c r="D4" s="103"/>
      <c r="E4" s="103"/>
    </row>
    <row r="5" spans="1:5" ht="14.25" customHeight="1">
      <c r="A5" s="22" t="s">
        <v>1345</v>
      </c>
      <c r="B5" s="22" t="s">
        <v>1814</v>
      </c>
      <c r="C5" s="22" t="e">
        <f t="array" aca="1" ref="C5" ca="1">_xludf.XLOOKUP(A5,'Batch || Working'!$C$2:$C$438,'Batch || Working'!$E$2:$E$438)</f>
        <v>#NAME?</v>
      </c>
      <c r="D5" s="103"/>
      <c r="E5" s="103"/>
    </row>
    <row r="6" spans="1:5" ht="14.25" customHeight="1">
      <c r="A6" s="22" t="s">
        <v>1360</v>
      </c>
      <c r="B6" s="22" t="s">
        <v>1588</v>
      </c>
      <c r="C6" s="22" t="e">
        <f t="array" aca="1" ref="C6" ca="1">_xludf.XLOOKUP(A6,'Batch || Working'!$C$2:$C$438,'Batch || Working'!$E$2:$E$438)</f>
        <v>#NAME?</v>
      </c>
      <c r="D6" s="103"/>
      <c r="E6" s="103"/>
    </row>
    <row r="7" spans="1:5" ht="14.25" customHeight="1">
      <c r="A7" s="22" t="s">
        <v>1371</v>
      </c>
      <c r="B7" s="22" t="s">
        <v>1591</v>
      </c>
      <c r="C7" s="22" t="e">
        <f t="array" aca="1" ref="C7" ca="1">_xludf.XLOOKUP(A7,'Batch || Working'!$C$2:$C$438,'Batch || Working'!$E$2:$E$438)</f>
        <v>#NAME?</v>
      </c>
    </row>
    <row r="8" spans="1:5" ht="14.25" customHeight="1">
      <c r="A8" s="22" t="s">
        <v>185</v>
      </c>
      <c r="B8" s="22" t="s">
        <v>1896</v>
      </c>
      <c r="C8" s="22" t="e">
        <f t="array" aca="1" ref="C8" ca="1">_xludf.XLOOKUP(A8,'Batch || Working'!$C$2:$C$438,'Batch || Working'!$E$2:$E$438)</f>
        <v>#NAME?</v>
      </c>
    </row>
    <row r="9" spans="1:5" ht="14.25" customHeight="1">
      <c r="A9" s="22" t="s">
        <v>187</v>
      </c>
      <c r="B9" s="22" t="s">
        <v>1592</v>
      </c>
      <c r="C9" s="22" t="e">
        <f t="array" aca="1" ref="C9" ca="1">_xludf.XLOOKUP(A9,'Batch || Working'!$C$2:$C$438,'Batch || Working'!$E$2:$E$438)</f>
        <v>#NAME?</v>
      </c>
    </row>
    <row r="10" spans="1:5" ht="14.25" customHeight="1">
      <c r="A10" s="22" t="s">
        <v>1473</v>
      </c>
      <c r="B10" s="22" t="s">
        <v>1695</v>
      </c>
      <c r="C10" s="22" t="e">
        <f t="array" aca="1" ref="C10" ca="1">_xludf.XLOOKUP(A10,'Batch || Working'!$C$2:$C$438,'Batch || Working'!$E$2:$E$438)</f>
        <v>#NAME?</v>
      </c>
    </row>
    <row r="11" spans="1:5" ht="14.25" customHeight="1">
      <c r="A11" s="22" t="s">
        <v>673</v>
      </c>
      <c r="B11" s="22" t="s">
        <v>1697</v>
      </c>
      <c r="C11" s="22" t="e">
        <f t="array" aca="1" ref="C11" ca="1">_xludf.XLOOKUP(A11,'Batch || Working'!$C$2:$C$438,'Batch || Working'!$E$2:$E$438)</f>
        <v>#NAME?</v>
      </c>
    </row>
    <row r="12" spans="1:5" ht="14.25" customHeight="1">
      <c r="A12" s="22" t="s">
        <v>1028</v>
      </c>
      <c r="B12" s="22" t="s">
        <v>1597</v>
      </c>
      <c r="C12" s="22" t="e">
        <f t="array" aca="1" ref="C12" ca="1">_xludf.XLOOKUP(A12,'Batch || Working'!$C$2:$C$438,'Batch || Working'!$E$2:$E$438)</f>
        <v>#NAME?</v>
      </c>
    </row>
    <row r="13" spans="1:5" ht="14.25" customHeight="1">
      <c r="A13" s="22" t="s">
        <v>1229</v>
      </c>
      <c r="B13" s="22" t="s">
        <v>1699</v>
      </c>
      <c r="C13" s="144" t="e">
        <f t="array" aca="1" ref="C13" ca="1">_xludf.XLOOKUP(A13,'Batch || Working'!$C$2:$C$438,'Batch || Working'!$E$2:$E$438)</f>
        <v>#NAME?</v>
      </c>
    </row>
    <row r="14" spans="1:5" ht="14.25" customHeight="1">
      <c r="A14" s="22" t="s">
        <v>209</v>
      </c>
      <c r="B14" s="22" t="s">
        <v>1598</v>
      </c>
      <c r="C14" s="22" t="e">
        <f t="array" aca="1" ref="C14" ca="1">_xludf.XLOOKUP(A14,'Batch || Working'!$C$2:$C$438,'Batch || Working'!$E$2:$E$438)</f>
        <v>#NAME?</v>
      </c>
    </row>
    <row r="15" spans="1:5" ht="14.25" customHeight="1">
      <c r="A15" s="22" t="s">
        <v>1232</v>
      </c>
      <c r="B15" s="22" t="s">
        <v>1938</v>
      </c>
      <c r="C15" s="144" t="e">
        <f t="array" aca="1" ref="C15" ca="1">_xludf.XLOOKUP(A15,'Batch || Working'!$C$2:$C$438,'Batch || Working'!$E$2:$E$438)</f>
        <v>#NAME?</v>
      </c>
    </row>
    <row r="16" spans="1:5" ht="14.25" customHeight="1">
      <c r="A16" s="22" t="s">
        <v>1246</v>
      </c>
      <c r="B16" s="22" t="s">
        <v>1898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711</v>
      </c>
      <c r="B17" s="22" t="s">
        <v>1604</v>
      </c>
      <c r="C17" s="22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873</v>
      </c>
      <c r="B18" s="22" t="s">
        <v>1899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679</v>
      </c>
      <c r="B19" s="22" t="s">
        <v>1606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876</v>
      </c>
      <c r="B20" s="22" t="s">
        <v>1706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220</v>
      </c>
      <c r="B21" s="22" t="s">
        <v>1882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685</v>
      </c>
      <c r="B22" s="22" t="s">
        <v>1932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221</v>
      </c>
      <c r="B23" s="22" t="s">
        <v>1900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222</v>
      </c>
      <c r="B24" s="22" t="s">
        <v>1712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380</v>
      </c>
      <c r="B25" s="22" t="s">
        <v>1916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398</v>
      </c>
      <c r="B26" s="22" t="s">
        <v>1884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235</v>
      </c>
      <c r="B27" s="22" t="s">
        <v>1885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424</v>
      </c>
      <c r="B28" s="22" t="s">
        <v>1761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238</v>
      </c>
      <c r="B29" s="22" t="s">
        <v>1939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243</v>
      </c>
      <c r="B30" s="22" t="s">
        <v>1887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467</v>
      </c>
      <c r="B31" s="22" t="s">
        <v>1924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245</v>
      </c>
      <c r="B32" s="22" t="s">
        <v>1622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247</v>
      </c>
      <c r="B33" s="22" t="s">
        <v>1888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249</v>
      </c>
      <c r="B34" s="22" t="s">
        <v>1901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570</v>
      </c>
      <c r="B35" s="22" t="s">
        <v>1628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598</v>
      </c>
      <c r="B36" s="22" t="s">
        <v>1632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606</v>
      </c>
      <c r="B37" s="22" t="s">
        <v>1633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628</v>
      </c>
      <c r="B38" s="22" t="s">
        <v>1902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640</v>
      </c>
      <c r="B39" s="22" t="s">
        <v>1925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264</v>
      </c>
      <c r="B40" s="22" t="s">
        <v>1839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265</v>
      </c>
      <c r="B41" s="22" t="s">
        <v>555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735</v>
      </c>
      <c r="B42" s="22" t="s">
        <v>1875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744</v>
      </c>
      <c r="B43" s="22" t="s">
        <v>1641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268</v>
      </c>
      <c r="B44" s="22" t="s">
        <v>1645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763</v>
      </c>
      <c r="B45" s="22" t="s">
        <v>1778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771</v>
      </c>
      <c r="B46" s="22" t="s">
        <v>1860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270</v>
      </c>
      <c r="B47" s="22" t="s">
        <v>1646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776</v>
      </c>
      <c r="B48" s="22" t="s">
        <v>1781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271</v>
      </c>
      <c r="B49" s="22" t="s">
        <v>1647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808</v>
      </c>
      <c r="B50" s="22" t="s">
        <v>1730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813</v>
      </c>
      <c r="B51" s="22" t="s">
        <v>1921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839</v>
      </c>
      <c r="B52" s="22" t="s">
        <v>1656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289</v>
      </c>
      <c r="B53" s="22" t="s">
        <v>1876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291</v>
      </c>
      <c r="B54" s="22" t="s">
        <v>1663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956</v>
      </c>
      <c r="B55" s="22" t="s">
        <v>1734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294</v>
      </c>
      <c r="B56" s="22" t="s">
        <v>1665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976</v>
      </c>
      <c r="B57" s="22" t="s">
        <v>1928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297</v>
      </c>
      <c r="B58" s="22" t="s">
        <v>1934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301</v>
      </c>
      <c r="B59" s="22" t="s">
        <v>1670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1002</v>
      </c>
      <c r="B60" s="22" t="s">
        <v>1798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1078</v>
      </c>
      <c r="B61" s="22" t="s">
        <v>1673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304</v>
      </c>
      <c r="B62" s="22" t="s">
        <v>1942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305</v>
      </c>
      <c r="B63" s="22" t="s">
        <v>1735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308</v>
      </c>
      <c r="B64" s="22" t="s">
        <v>1805</v>
      </c>
      <c r="C64" s="144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1159</v>
      </c>
      <c r="B65" s="22" t="s">
        <v>1739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1164</v>
      </c>
      <c r="B66" s="22" t="s">
        <v>1807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316</v>
      </c>
      <c r="B67" s="22" t="s">
        <v>1865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317</v>
      </c>
      <c r="B68" s="22" t="s">
        <v>1943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1197</v>
      </c>
      <c r="B69" s="22" t="s">
        <v>1742</v>
      </c>
      <c r="C69" s="144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667</v>
      </c>
      <c r="B70" s="22" t="s">
        <v>1808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862</v>
      </c>
      <c r="B71" s="22" t="s">
        <v>1692</v>
      </c>
      <c r="C71" s="22" t="e">
        <f t="array" aca="1" ref="C71" ca="1">_xludf.XLOOKUP(A71,'Batch || Working'!$C$2:$C$438,'Batch || Working'!$E$2:$E$438)</f>
        <v>#NAME?</v>
      </c>
    </row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000"/>
  <sheetViews>
    <sheetView workbookViewId="0"/>
  </sheetViews>
  <sheetFormatPr defaultColWidth="14.3984375" defaultRowHeight="15.75" customHeight="1"/>
  <cols>
    <col min="1" max="1" width="10.296875" customWidth="1"/>
    <col min="2" max="2" width="23.59765625" customWidth="1"/>
    <col min="3" max="3" width="36.3984375" customWidth="1"/>
    <col min="4" max="26" width="8.69921875" customWidth="1"/>
  </cols>
  <sheetData>
    <row r="1" spans="1:3" ht="14.25" customHeight="1">
      <c r="A1" s="104" t="s">
        <v>176</v>
      </c>
      <c r="B1" s="104" t="s">
        <v>177</v>
      </c>
      <c r="C1" s="104" t="s">
        <v>364</v>
      </c>
    </row>
    <row r="2" spans="1:3" ht="14.25" customHeight="1">
      <c r="A2" s="22" t="s">
        <v>1318</v>
      </c>
      <c r="B2" s="22" t="s">
        <v>1579</v>
      </c>
      <c r="C2" s="22" t="e">
        <f t="array" aca="1" ref="C2" ca="1">_xludf.XLOOKUP(A2,'Batch || Working'!$C$2:$C$438,'Batch || Working'!$E$2:$E$438)</f>
        <v>#NAME?</v>
      </c>
    </row>
    <row r="3" spans="1:3" ht="14.25" customHeight="1">
      <c r="A3" s="22" t="s">
        <v>1557</v>
      </c>
      <c r="B3" s="22" t="s">
        <v>1747</v>
      </c>
      <c r="C3" s="22" t="e">
        <f t="array" aca="1" ref="C3" ca="1">_xludf.XLOOKUP(A3,'Batch || Working'!$C$2:$C$438,'Batch || Working'!$E$2:$E$438)</f>
        <v>#NAME?</v>
      </c>
    </row>
    <row r="4" spans="1:3" ht="14.25" customHeight="1">
      <c r="A4" s="22" t="s">
        <v>1220</v>
      </c>
      <c r="B4" s="22" t="s">
        <v>1749</v>
      </c>
      <c r="C4" s="144" t="e">
        <f t="array" aca="1" ref="C4" ca="1">_xludf.XLOOKUP(A4,'Batch || Working'!$C$2:$C$438,'Batch || Working'!$E$2:$E$438)</f>
        <v>#NAME?</v>
      </c>
    </row>
    <row r="5" spans="1:3" ht="14.25" customHeight="1">
      <c r="A5" s="22" t="s">
        <v>1226</v>
      </c>
      <c r="B5" s="22" t="s">
        <v>1897</v>
      </c>
      <c r="C5" s="22" t="e">
        <f t="array" aca="1" ref="C5" ca="1">_xludf.XLOOKUP(A5,'Batch || Working'!$C$2:$C$438,'Batch || Working'!$E$2:$E$438)</f>
        <v>#NAME?</v>
      </c>
    </row>
    <row r="6" spans="1:3" ht="14.25" customHeight="1">
      <c r="A6" s="22" t="s">
        <v>525</v>
      </c>
      <c r="B6" s="22" t="s">
        <v>1880</v>
      </c>
      <c r="C6" s="22" t="e">
        <f t="array" aca="1" ref="C6" ca="1">_xludf.XLOOKUP(A6,'Batch || Working'!$C$2:$C$438,'Batch || Working'!$E$2:$E$438)</f>
        <v>#NAME?</v>
      </c>
    </row>
    <row r="7" spans="1:3" ht="14.25" customHeight="1">
      <c r="A7" s="22" t="s">
        <v>879</v>
      </c>
      <c r="B7" s="22" t="s">
        <v>1596</v>
      </c>
      <c r="C7" s="22" t="e">
        <f t="array" aca="1" ref="C7" ca="1">_xludf.XLOOKUP(A7,'Batch || Working'!$C$2:$C$438,'Batch || Working'!$E$2:$E$438)</f>
        <v>#NAME?</v>
      </c>
    </row>
    <row r="8" spans="1:3" ht="14.25" customHeight="1">
      <c r="A8" s="22" t="s">
        <v>211</v>
      </c>
      <c r="B8" s="22" t="s">
        <v>1941</v>
      </c>
      <c r="C8" s="22" t="e">
        <f t="array" aca="1" ref="C8" ca="1">_xludf.XLOOKUP(A8,'Batch || Working'!$C$2:$C$438,'Batch || Working'!$E$2:$E$438)</f>
        <v>#NAME?</v>
      </c>
    </row>
    <row r="9" spans="1:3" ht="14.25" customHeight="1">
      <c r="A9" s="22" t="s">
        <v>216</v>
      </c>
      <c r="B9" s="22" t="s">
        <v>1703</v>
      </c>
      <c r="C9" s="22" t="e">
        <f t="array" aca="1" ref="C9" ca="1">_xludf.XLOOKUP(A9,'Batch || Working'!$C$2:$C$438,'Batch || Working'!$E$2:$E$438)</f>
        <v>#NAME?</v>
      </c>
    </row>
    <row r="10" spans="1:3" ht="14.25" customHeight="1">
      <c r="A10" s="22" t="s">
        <v>901</v>
      </c>
      <c r="B10" s="22" t="s">
        <v>1869</v>
      </c>
      <c r="C10" s="22" t="e">
        <f t="array" aca="1" ref="C10" ca="1">_xludf.XLOOKUP(A10,'Batch || Working'!$C$2:$C$438,'Batch || Working'!$E$2:$E$438)</f>
        <v>#NAME?</v>
      </c>
    </row>
    <row r="11" spans="1:3" ht="14.25" customHeight="1">
      <c r="A11" s="22" t="s">
        <v>218</v>
      </c>
      <c r="B11" s="22" t="s">
        <v>1603</v>
      </c>
      <c r="C11" s="22" t="e">
        <f t="array" aca="1" ref="C11" ca="1">_xludf.XLOOKUP(A11,'Batch || Working'!$C$2:$C$438,'Batch || Working'!$E$2:$E$438)</f>
        <v>#NAME?</v>
      </c>
    </row>
    <row r="12" spans="1:3" ht="14.25" customHeight="1">
      <c r="A12" s="22" t="s">
        <v>682</v>
      </c>
      <c r="B12" s="22" t="s">
        <v>1707</v>
      </c>
      <c r="C12" s="22" t="e">
        <f t="array" aca="1" ref="C12" ca="1">_xludf.XLOOKUP(A12,'Batch || Working'!$C$2:$C$438,'Batch || Working'!$E$2:$E$438)</f>
        <v>#NAME?</v>
      </c>
    </row>
    <row r="13" spans="1:3" ht="14.25" customHeight="1">
      <c r="A13" s="22" t="s">
        <v>1033</v>
      </c>
      <c r="B13" s="22" t="s">
        <v>1708</v>
      </c>
      <c r="C13" s="22" t="e">
        <f t="array" aca="1" ref="C13" ca="1">_xludf.XLOOKUP(A13,'Batch || Working'!$C$2:$C$438,'Batch || Working'!$E$2:$E$438)</f>
        <v>#NAME?</v>
      </c>
    </row>
    <row r="14" spans="1:3" ht="14.25" customHeight="1">
      <c r="A14" s="22" t="s">
        <v>1049</v>
      </c>
      <c r="B14" s="22" t="s">
        <v>1756</v>
      </c>
      <c r="C14" s="22" t="e">
        <f t="array" aca="1" ref="C14" ca="1">_xludf.XLOOKUP(A14,'Batch || Working'!$C$2:$C$438,'Batch || Working'!$E$2:$E$438)</f>
        <v>#NAME?</v>
      </c>
    </row>
    <row r="15" spans="1:3" ht="14.25" customHeight="1">
      <c r="A15" s="22" t="s">
        <v>1055</v>
      </c>
      <c r="B15" s="22" t="s">
        <v>1713</v>
      </c>
      <c r="C15" s="22" t="e">
        <f t="array" aca="1" ref="C15" ca="1">_xludf.XLOOKUP(A15,'Batch || Working'!$C$2:$C$438,'Batch || Working'!$E$2:$E$438)</f>
        <v>#NAME?</v>
      </c>
    </row>
    <row r="16" spans="1:3" ht="14.25" customHeight="1">
      <c r="A16" s="22" t="s">
        <v>224</v>
      </c>
      <c r="B16" s="22" t="s">
        <v>1714</v>
      </c>
      <c r="C16" s="22" t="e">
        <f t="array" aca="1" ref="C16" ca="1">_xludf.XLOOKUP(A16,'Batch || Working'!$C$2:$C$438,'Batch || Working'!$E$2:$E$438)</f>
        <v>#NAME?</v>
      </c>
    </row>
    <row r="17" spans="1:3" ht="14.25" customHeight="1">
      <c r="A17" s="22" t="s">
        <v>1238</v>
      </c>
      <c r="B17" s="22" t="s">
        <v>1715</v>
      </c>
      <c r="C17" s="144" t="e">
        <f t="array" aca="1" ref="C17" ca="1">_xludf.XLOOKUP(A17,'Batch || Working'!$C$2:$C$438,'Batch || Working'!$E$2:$E$438)</f>
        <v>#NAME?</v>
      </c>
    </row>
    <row r="18" spans="1:3" ht="14.25" customHeight="1">
      <c r="A18" s="22" t="s">
        <v>228</v>
      </c>
      <c r="B18" s="22" t="s">
        <v>1883</v>
      </c>
      <c r="C18" s="22" t="e">
        <f t="array" aca="1" ref="C18" ca="1">_xludf.XLOOKUP(A18,'Batch || Working'!$C$2:$C$438,'Batch || Working'!$E$2:$E$438)</f>
        <v>#NAME?</v>
      </c>
    </row>
    <row r="19" spans="1:3" ht="14.25" customHeight="1">
      <c r="A19" s="22" t="s">
        <v>229</v>
      </c>
      <c r="B19" s="22" t="s">
        <v>1614</v>
      </c>
      <c r="C19" s="22" t="e">
        <f t="array" aca="1" ref="C19" ca="1">_xludf.XLOOKUP(A19,'Batch || Working'!$C$2:$C$438,'Batch || Working'!$E$2:$E$438)</f>
        <v>#NAME?</v>
      </c>
    </row>
    <row r="20" spans="1:3" ht="14.25" customHeight="1">
      <c r="A20" s="22" t="s">
        <v>380</v>
      </c>
      <c r="B20" s="22" t="s">
        <v>1916</v>
      </c>
      <c r="C20" s="22" t="e">
        <f t="array" aca="1" ref="C20" ca="1">_xludf.XLOOKUP(A20,'Batch || Working'!$C$2:$C$438,'Batch || Working'!$E$2:$E$438)</f>
        <v>#NAME?</v>
      </c>
    </row>
    <row r="21" spans="1:3" ht="14.25" customHeight="1">
      <c r="A21" s="22" t="s">
        <v>233</v>
      </c>
      <c r="B21" s="22" t="s">
        <v>1760</v>
      </c>
      <c r="C21" s="22" t="e">
        <f t="array" aca="1" ref="C21" ca="1">_xludf.XLOOKUP(A21,'Batch || Working'!$C$2:$C$438,'Batch || Working'!$E$2:$E$438)</f>
        <v>#NAME?</v>
      </c>
    </row>
    <row r="22" spans="1:3" ht="14.25" customHeight="1">
      <c r="A22" s="22" t="s">
        <v>413</v>
      </c>
      <c r="B22" s="22" t="s">
        <v>1618</v>
      </c>
      <c r="C22" s="22" t="e">
        <f t="array" aca="1" ref="C22" ca="1">_xludf.XLOOKUP(A22,'Batch || Working'!$C$2:$C$438,'Batch || Working'!$E$2:$E$438)</f>
        <v>#NAME?</v>
      </c>
    </row>
    <row r="23" spans="1:3" ht="14.25" customHeight="1">
      <c r="A23" s="22" t="s">
        <v>243</v>
      </c>
      <c r="B23" s="22" t="s">
        <v>1887</v>
      </c>
      <c r="C23" s="22" t="e">
        <f t="array" aca="1" ref="C23" ca="1">_xludf.XLOOKUP(A23,'Batch || Working'!$C$2:$C$438,'Batch || Working'!$E$2:$E$438)</f>
        <v>#NAME?</v>
      </c>
    </row>
    <row r="24" spans="1:3" ht="14.25" customHeight="1">
      <c r="A24" s="22" t="s">
        <v>467</v>
      </c>
      <c r="B24" s="22" t="s">
        <v>1924</v>
      </c>
      <c r="C24" s="22" t="e">
        <f t="array" aca="1" ref="C24" ca="1">_xludf.XLOOKUP(A24,'Batch || Working'!$C$2:$C$438,'Batch || Working'!$E$2:$E$438)</f>
        <v>#NAME?</v>
      </c>
    </row>
    <row r="25" spans="1:3" ht="14.25" customHeight="1">
      <c r="A25" s="22" t="s">
        <v>244</v>
      </c>
      <c r="B25" s="22" t="s">
        <v>1621</v>
      </c>
      <c r="C25" s="22" t="e">
        <f t="array" aca="1" ref="C25" ca="1">_xludf.XLOOKUP(A25,'Batch || Working'!$C$2:$C$438,'Batch || Working'!$E$2:$E$438)</f>
        <v>#NAME?</v>
      </c>
    </row>
    <row r="26" spans="1:3" ht="14.25" customHeight="1">
      <c r="A26" s="22" t="s">
        <v>472</v>
      </c>
      <c r="B26" s="22" t="s">
        <v>1835</v>
      </c>
      <c r="C26" s="22" t="e">
        <f t="array" aca="1" ref="C26" ca="1">_xludf.XLOOKUP(A26,'Batch || Working'!$C$2:$C$438,'Batch || Working'!$E$2:$E$438)</f>
        <v>#NAME?</v>
      </c>
    </row>
    <row r="27" spans="1:3" ht="14.25" customHeight="1">
      <c r="A27" s="22" t="s">
        <v>245</v>
      </c>
      <c r="B27" s="22" t="s">
        <v>1622</v>
      </c>
      <c r="C27" s="22" t="e">
        <f t="array" aca="1" ref="C27" ca="1">_xludf.XLOOKUP(A27,'Batch || Working'!$C$2:$C$438,'Batch || Working'!$E$2:$E$438)</f>
        <v>#NAME?</v>
      </c>
    </row>
    <row r="28" spans="1:3" ht="14.25" customHeight="1">
      <c r="A28" s="22" t="s">
        <v>477</v>
      </c>
      <c r="B28" s="22" t="s">
        <v>1623</v>
      </c>
      <c r="C28" s="22" t="e">
        <f t="array" aca="1" ref="C28" ca="1">_xludf.XLOOKUP(A28,'Batch || Working'!$C$2:$C$438,'Batch || Working'!$E$2:$E$438)</f>
        <v>#NAME?</v>
      </c>
    </row>
    <row r="29" spans="1:3" ht="14.25" customHeight="1">
      <c r="A29" s="22" t="s">
        <v>247</v>
      </c>
      <c r="B29" s="22" t="s">
        <v>1888</v>
      </c>
      <c r="C29" s="22" t="e">
        <f t="array" aca="1" ref="C29" ca="1">_xludf.XLOOKUP(A29,'Batch || Working'!$C$2:$C$438,'Batch || Working'!$E$2:$E$438)</f>
        <v>#NAME?</v>
      </c>
    </row>
    <row r="30" spans="1:3" ht="14.25" customHeight="1">
      <c r="A30" s="22" t="s">
        <v>251</v>
      </c>
      <c r="B30" s="22" t="s">
        <v>1889</v>
      </c>
      <c r="C30" s="22" t="e">
        <f t="array" aca="1" ref="C30" ca="1">_xludf.XLOOKUP(A30,'Batch || Working'!$C$2:$C$438,'Batch || Working'!$E$2:$E$438)</f>
        <v>#NAME?</v>
      </c>
    </row>
    <row r="31" spans="1:3" ht="14.25" customHeight="1">
      <c r="A31" s="22" t="s">
        <v>255</v>
      </c>
      <c r="B31" s="22" t="s">
        <v>1629</v>
      </c>
      <c r="C31" s="22" t="e">
        <f t="array" aca="1" ref="C31" ca="1">_xludf.XLOOKUP(A31,'Batch || Working'!$C$2:$C$438,'Batch || Working'!$E$2:$E$438)</f>
        <v>#NAME?</v>
      </c>
    </row>
    <row r="32" spans="1:3" ht="14.25" customHeight="1">
      <c r="A32" s="22" t="s">
        <v>589</v>
      </c>
      <c r="B32" s="22" t="s">
        <v>1725</v>
      </c>
      <c r="C32" s="22" t="e">
        <f t="array" aca="1" ref="C32" ca="1">_xludf.XLOOKUP(A32,'Batch || Working'!$C$2:$C$438,'Batch || Working'!$E$2:$E$438)</f>
        <v>#NAME?</v>
      </c>
    </row>
    <row r="33" spans="1:3" ht="14.25" customHeight="1">
      <c r="A33" s="22" t="s">
        <v>623</v>
      </c>
      <c r="B33" s="22" t="s">
        <v>1636</v>
      </c>
      <c r="C33" s="22" t="e">
        <f t="array" aca="1" ref="C33" ca="1">_xludf.XLOOKUP(A33,'Batch || Working'!$C$2:$C$438,'Batch || Working'!$E$2:$E$438)</f>
        <v>#NAME?</v>
      </c>
    </row>
    <row r="34" spans="1:3" ht="14.25" customHeight="1">
      <c r="A34" s="22" t="s">
        <v>628</v>
      </c>
      <c r="B34" s="22" t="s">
        <v>1902</v>
      </c>
      <c r="C34" s="22" t="e">
        <f t="array" aca="1" ref="C34" ca="1">_xludf.XLOOKUP(A34,'Batch || Working'!$C$2:$C$438,'Batch || Working'!$E$2:$E$438)</f>
        <v>#NAME?</v>
      </c>
    </row>
    <row r="35" spans="1:3" ht="14.25" customHeight="1">
      <c r="A35" s="22" t="s">
        <v>634</v>
      </c>
      <c r="B35" s="22" t="s">
        <v>1838</v>
      </c>
      <c r="C35" s="22" t="e">
        <f t="array" aca="1" ref="C35" ca="1">_xludf.XLOOKUP(A35,'Batch || Working'!$C$2:$C$438,'Batch || Working'!$E$2:$E$438)</f>
        <v>#NAME?</v>
      </c>
    </row>
    <row r="36" spans="1:3" ht="14.25" customHeight="1">
      <c r="A36" s="22" t="s">
        <v>264</v>
      </c>
      <c r="B36" s="22" t="s">
        <v>1839</v>
      </c>
      <c r="C36" s="22" t="e">
        <f t="array" aca="1" ref="C36" ca="1">_xludf.XLOOKUP(A36,'Batch || Working'!$C$2:$C$438,'Batch || Working'!$E$2:$E$438)</f>
        <v>#NAME?</v>
      </c>
    </row>
    <row r="37" spans="1:3" ht="14.25" customHeight="1">
      <c r="A37" s="22" t="s">
        <v>265</v>
      </c>
      <c r="B37" s="22" t="s">
        <v>555</v>
      </c>
      <c r="C37" s="22" t="e">
        <f t="array" aca="1" ref="C37" ca="1">_xludf.XLOOKUP(A37,'Batch || Working'!$C$2:$C$438,'Batch || Working'!$E$2:$E$438)</f>
        <v>#NAME?</v>
      </c>
    </row>
    <row r="38" spans="1:3" ht="14.25" customHeight="1">
      <c r="A38" s="22" t="s">
        <v>738</v>
      </c>
      <c r="B38" s="22" t="s">
        <v>1729</v>
      </c>
      <c r="C38" s="22" t="e">
        <f t="array" aca="1" ref="C38" ca="1">_xludf.XLOOKUP(A38,'Batch || Working'!$C$2:$C$438,'Batch || Working'!$E$2:$E$438)</f>
        <v>#NAME?</v>
      </c>
    </row>
    <row r="39" spans="1:3" ht="14.25" customHeight="1">
      <c r="A39" s="22" t="s">
        <v>755</v>
      </c>
      <c r="B39" s="22" t="s">
        <v>1643</v>
      </c>
      <c r="C39" s="22" t="e">
        <f t="array" aca="1" ref="C39" ca="1">_xludf.XLOOKUP(A39,'Batch || Working'!$C$2:$C$438,'Batch || Working'!$E$2:$E$438)</f>
        <v>#NAME?</v>
      </c>
    </row>
    <row r="40" spans="1:3" ht="14.25" customHeight="1">
      <c r="A40" s="22" t="s">
        <v>758</v>
      </c>
      <c r="B40" s="22" t="s">
        <v>1644</v>
      </c>
      <c r="C40" s="22" t="e">
        <f t="array" aca="1" ref="C40" ca="1">_xludf.XLOOKUP(A40,'Batch || Working'!$C$2:$C$438,'Batch || Working'!$E$2:$E$438)</f>
        <v>#NAME?</v>
      </c>
    </row>
    <row r="41" spans="1:3" ht="14.25" customHeight="1">
      <c r="A41" s="22" t="s">
        <v>276</v>
      </c>
      <c r="B41" s="22" t="s">
        <v>1650</v>
      </c>
      <c r="C41" s="22" t="e">
        <f t="array" aca="1" ref="C41" ca="1">_xludf.XLOOKUP(A41,'Batch || Working'!$C$2:$C$438,'Batch || Working'!$E$2:$E$438)</f>
        <v>#NAME?</v>
      </c>
    </row>
    <row r="42" spans="1:3" ht="14.25" customHeight="1">
      <c r="A42" s="22" t="s">
        <v>279</v>
      </c>
      <c r="B42" s="22" t="s">
        <v>1787</v>
      </c>
      <c r="C42" s="22" t="e">
        <f t="array" aca="1" ref="C42" ca="1">_xludf.XLOOKUP(A42,'Batch || Working'!$C$2:$C$438,'Batch || Working'!$E$2:$E$438)</f>
        <v>#NAME?</v>
      </c>
    </row>
    <row r="43" spans="1:3" ht="14.25" customHeight="1">
      <c r="A43" s="22" t="s">
        <v>839</v>
      </c>
      <c r="B43" s="22" t="s">
        <v>1656</v>
      </c>
      <c r="C43" s="22" t="e">
        <f t="array" aca="1" ref="C43" ca="1">_xludf.XLOOKUP(A43,'Batch || Working'!$C$2:$C$438,'Batch || Working'!$E$2:$E$438)</f>
        <v>#NAME?</v>
      </c>
    </row>
    <row r="44" spans="1:3" ht="14.25" customHeight="1">
      <c r="A44" s="22" t="s">
        <v>842</v>
      </c>
      <c r="B44" s="22" t="s">
        <v>1732</v>
      </c>
      <c r="C44" s="22" t="e">
        <f t="array" aca="1" ref="C44" ca="1">_xludf.XLOOKUP(A44,'Batch || Working'!$C$2:$C$438,'Batch || Working'!$E$2:$E$438)</f>
        <v>#NAME?</v>
      </c>
    </row>
    <row r="45" spans="1:3" ht="14.25" customHeight="1">
      <c r="A45" s="22" t="s">
        <v>918</v>
      </c>
      <c r="B45" s="22" t="s">
        <v>1793</v>
      </c>
      <c r="C45" s="22" t="e">
        <f t="array" aca="1" ref="C45" ca="1">_xludf.XLOOKUP(A45,'Batch || Working'!$C$2:$C$438,'Batch || Working'!$E$2:$E$438)</f>
        <v>#NAME?</v>
      </c>
    </row>
    <row r="46" spans="1:3" ht="14.25" customHeight="1">
      <c r="A46" s="22" t="s">
        <v>288</v>
      </c>
      <c r="B46" s="22" t="s">
        <v>1660</v>
      </c>
      <c r="C46" s="22" t="e">
        <f t="array" aca="1" ref="C46" ca="1">_xludf.XLOOKUP(A46,'Batch || Working'!$C$2:$C$438,'Batch || Working'!$E$2:$E$438)</f>
        <v>#NAME?</v>
      </c>
    </row>
    <row r="47" spans="1:3" ht="14.25" customHeight="1">
      <c r="A47" s="22" t="s">
        <v>290</v>
      </c>
      <c r="B47" s="22" t="s">
        <v>1926</v>
      </c>
      <c r="C47" s="22" t="e">
        <f t="array" aca="1" ref="C47" ca="1">_xludf.XLOOKUP(A47,'Batch || Working'!$C$2:$C$438,'Batch || Working'!$E$2:$E$438)</f>
        <v>#NAME?</v>
      </c>
    </row>
    <row r="48" spans="1:3" ht="14.25" customHeight="1">
      <c r="A48" s="22" t="s">
        <v>940</v>
      </c>
      <c r="B48" s="22" t="s">
        <v>1927</v>
      </c>
      <c r="C48" s="22" t="e">
        <f t="array" aca="1" ref="C48" ca="1">_xludf.XLOOKUP(A48,'Batch || Working'!$C$2:$C$438,'Batch || Working'!$E$2:$E$438)</f>
        <v>#NAME?</v>
      </c>
    </row>
    <row r="49" spans="1:3" ht="14.25" customHeight="1">
      <c r="A49" s="22" t="s">
        <v>943</v>
      </c>
      <c r="B49" s="22" t="s">
        <v>1795</v>
      </c>
      <c r="C49" s="22" t="e">
        <f t="array" aca="1" ref="C49" ca="1">_xludf.XLOOKUP(A49,'Batch || Working'!$C$2:$C$438,'Batch || Working'!$E$2:$E$438)</f>
        <v>#NAME?</v>
      </c>
    </row>
    <row r="50" spans="1:3" ht="14.25" customHeight="1">
      <c r="A50" s="22" t="s">
        <v>291</v>
      </c>
      <c r="B50" s="22" t="s">
        <v>1663</v>
      </c>
      <c r="C50" s="22" t="e">
        <f t="array" aca="1" ref="C50" ca="1">_xludf.XLOOKUP(A50,'Batch || Working'!$C$2:$C$438,'Batch || Working'!$E$2:$E$438)</f>
        <v>#NAME?</v>
      </c>
    </row>
    <row r="51" spans="1:3" ht="14.25" customHeight="1">
      <c r="A51" s="22" t="s">
        <v>973</v>
      </c>
      <c r="B51" s="22" t="s">
        <v>1877</v>
      </c>
      <c r="C51" s="22" t="e">
        <f t="array" aca="1" ref="C51" ca="1">_xludf.XLOOKUP(A51,'Batch || Working'!$C$2:$C$438,'Batch || Working'!$E$2:$E$438)</f>
        <v>#NAME?</v>
      </c>
    </row>
    <row r="52" spans="1:3" ht="14.25" customHeight="1">
      <c r="A52" s="22" t="s">
        <v>299</v>
      </c>
      <c r="B52" s="22" t="s">
        <v>1863</v>
      </c>
      <c r="C52" s="22" t="e">
        <f t="array" aca="1" ref="C52" ca="1">_xludf.XLOOKUP(A52,'Batch || Working'!$C$2:$C$438,'Batch || Working'!$E$2:$E$438)</f>
        <v>#NAME?</v>
      </c>
    </row>
    <row r="53" spans="1:3" ht="14.25" customHeight="1">
      <c r="A53" s="22" t="s">
        <v>301</v>
      </c>
      <c r="B53" s="22" t="s">
        <v>1670</v>
      </c>
      <c r="C53" s="22" t="e">
        <f t="array" aca="1" ref="C53" ca="1">_xludf.XLOOKUP(A53,'Batch || Working'!$C$2:$C$438,'Batch || Working'!$E$2:$E$438)</f>
        <v>#NAME?</v>
      </c>
    </row>
    <row r="54" spans="1:3" ht="14.25" customHeight="1">
      <c r="A54" s="22" t="s">
        <v>1002</v>
      </c>
      <c r="B54" s="22" t="s">
        <v>1798</v>
      </c>
      <c r="C54" s="22" t="e">
        <f t="array" aca="1" ref="C54" ca="1">_xludf.XLOOKUP(A54,'Batch || Working'!$C$2:$C$438,'Batch || Working'!$E$2:$E$438)</f>
        <v>#NAME?</v>
      </c>
    </row>
    <row r="55" spans="1:3" ht="14.25" customHeight="1">
      <c r="A55" s="22" t="s">
        <v>1005</v>
      </c>
      <c r="B55" s="22" t="s">
        <v>1846</v>
      </c>
      <c r="C55" s="22" t="e">
        <f t="array" aca="1" ref="C55" ca="1">_xludf.XLOOKUP(A55,'Batch || Working'!$C$2:$C$438,'Batch || Working'!$E$2:$E$438)</f>
        <v>#NAME?</v>
      </c>
    </row>
    <row r="56" spans="1:3" ht="14.25" customHeight="1">
      <c r="A56" s="22" t="s">
        <v>302</v>
      </c>
      <c r="B56" s="22" t="s">
        <v>1799</v>
      </c>
      <c r="C56" s="22" t="e">
        <f t="array" aca="1" ref="C56" ca="1">_xludf.XLOOKUP(A56,'Batch || Working'!$C$2:$C$438,'Batch || Working'!$E$2:$E$438)</f>
        <v>#NAME?</v>
      </c>
    </row>
    <row r="57" spans="1:3" ht="14.25" customHeight="1">
      <c r="A57" s="22" t="s">
        <v>1013</v>
      </c>
      <c r="B57" s="22" t="s">
        <v>1848</v>
      </c>
      <c r="C57" s="22" t="e">
        <f t="array" aca="1" ref="C57" ca="1">_xludf.XLOOKUP(A57,'Batch || Working'!$C$2:$C$438,'Batch || Working'!$E$2:$E$438)</f>
        <v>#NAME?</v>
      </c>
    </row>
    <row r="58" spans="1:3" ht="14.25" customHeight="1">
      <c r="A58" s="22" t="s">
        <v>1016</v>
      </c>
      <c r="B58" s="22" t="s">
        <v>1849</v>
      </c>
      <c r="C58" s="22" t="e">
        <f t="array" aca="1" ref="C58" ca="1">_xludf.XLOOKUP(A58,'Batch || Working'!$C$2:$C$438,'Batch || Working'!$E$2:$E$438)</f>
        <v>#NAME?</v>
      </c>
    </row>
    <row r="59" spans="1:3" ht="14.25" customHeight="1">
      <c r="A59" s="22" t="s">
        <v>1087</v>
      </c>
      <c r="B59" s="22" t="s">
        <v>1676</v>
      </c>
      <c r="C59" s="22" t="e">
        <f t="array" aca="1" ref="C59" ca="1">_xludf.XLOOKUP(A59,'Batch || Working'!$C$2:$C$438,'Batch || Working'!$E$2:$E$438)</f>
        <v>#NAME?</v>
      </c>
    </row>
    <row r="60" spans="1:3" ht="14.25" customHeight="1">
      <c r="A60" s="22" t="s">
        <v>1093</v>
      </c>
      <c r="B60" s="22" t="s">
        <v>1677</v>
      </c>
      <c r="C60" s="22" t="e">
        <f t="array" aca="1" ref="C60" ca="1">_xludf.XLOOKUP(A60,'Batch || Working'!$C$2:$C$438,'Batch || Working'!$E$2:$E$438)</f>
        <v>#NAME?</v>
      </c>
    </row>
    <row r="61" spans="1:3" ht="14.25" customHeight="1">
      <c r="A61" s="22" t="s">
        <v>304</v>
      </c>
      <c r="B61" s="22" t="s">
        <v>1942</v>
      </c>
      <c r="C61" s="22" t="e">
        <f t="array" aca="1" ref="C61" ca="1">_xludf.XLOOKUP(A61,'Batch || Working'!$C$2:$C$438,'Batch || Working'!$E$2:$E$438)</f>
        <v>#NAME?</v>
      </c>
    </row>
    <row r="62" spans="1:3" ht="14.25" customHeight="1">
      <c r="A62" s="22" t="s">
        <v>1098</v>
      </c>
      <c r="B62" s="22" t="s">
        <v>1678</v>
      </c>
      <c r="C62" s="22" t="e">
        <f t="array" aca="1" ref="C62" ca="1">_xludf.XLOOKUP(A62,'Batch || Working'!$C$2:$C$438,'Batch || Working'!$E$2:$E$438)</f>
        <v>#NAME?</v>
      </c>
    </row>
    <row r="63" spans="1:3" ht="14.25" customHeight="1">
      <c r="A63" s="22" t="s">
        <v>1128</v>
      </c>
      <c r="B63" s="22" t="s">
        <v>1682</v>
      </c>
      <c r="C63" s="22" t="e">
        <f t="array" aca="1" ref="C63" ca="1">_xludf.XLOOKUP(A63,'Batch || Working'!$C$2:$C$438,'Batch || Working'!$E$2:$E$438)</f>
        <v>#NAME?</v>
      </c>
    </row>
    <row r="64" spans="1:3" ht="14.25" customHeight="1">
      <c r="A64" s="22" t="s">
        <v>1138</v>
      </c>
      <c r="B64" s="22" t="s">
        <v>1684</v>
      </c>
      <c r="C64" s="22" t="e">
        <f t="array" aca="1" ref="C64" ca="1">_xludf.XLOOKUP(A64,'Batch || Working'!$C$2:$C$438,'Batch || Working'!$E$2:$E$438)</f>
        <v>#NAME?</v>
      </c>
    </row>
    <row r="65" spans="1:3" ht="14.25" customHeight="1">
      <c r="A65" s="22" t="s">
        <v>311</v>
      </c>
      <c r="B65" s="22" t="s">
        <v>1940</v>
      </c>
      <c r="C65" s="22" t="e">
        <f t="array" aca="1" ref="C65" ca="1">_xludf.XLOOKUP(A65,'Batch || Working'!$C$2:$C$438,'Batch || Working'!$E$2:$E$438)</f>
        <v>#NAME?</v>
      </c>
    </row>
    <row r="66" spans="1:3" ht="14.25" customHeight="1">
      <c r="A66" s="22" t="s">
        <v>1145</v>
      </c>
      <c r="B66" s="22" t="s">
        <v>1738</v>
      </c>
      <c r="C66" s="22" t="e">
        <f t="array" aca="1" ref="C66" ca="1">_xludf.XLOOKUP(A66,'Batch || Working'!$C$2:$C$438,'Batch || Working'!$E$2:$E$438)</f>
        <v>#NAME?</v>
      </c>
    </row>
    <row r="67" spans="1:3" ht="14.25" customHeight="1">
      <c r="A67" s="22" t="s">
        <v>1153</v>
      </c>
      <c r="B67" s="22" t="s">
        <v>1878</v>
      </c>
      <c r="C67" s="22" t="e">
        <f t="array" aca="1" ref="C67" ca="1">_xludf.XLOOKUP(A67,'Batch || Working'!$C$2:$C$438,'Batch || Working'!$E$2:$E$438)</f>
        <v>#NAME?</v>
      </c>
    </row>
    <row r="68" spans="1:3" ht="14.25" customHeight="1">
      <c r="A68" s="22" t="s">
        <v>1156</v>
      </c>
      <c r="B68" s="22" t="s">
        <v>1852</v>
      </c>
      <c r="C68" s="22" t="e">
        <f t="array" aca="1" ref="C68" ca="1">_xludf.XLOOKUP(A68,'Batch || Working'!$C$2:$C$438,'Batch || Working'!$E$2:$E$438)</f>
        <v>#NAME?</v>
      </c>
    </row>
    <row r="69" spans="1:3" ht="14.25" customHeight="1">
      <c r="A69" s="22" t="s">
        <v>1167</v>
      </c>
      <c r="B69" s="22" t="s">
        <v>1740</v>
      </c>
      <c r="C69" s="22" t="e">
        <f t="array" aca="1" ref="C69" ca="1">_xludf.XLOOKUP(A69,'Batch || Working'!$C$2:$C$438,'Batch || Working'!$E$2:$E$438)</f>
        <v>#NAME?</v>
      </c>
    </row>
    <row r="70" spans="1:3" ht="14.25" customHeight="1">
      <c r="A70" s="22" t="s">
        <v>1194</v>
      </c>
      <c r="B70" s="22" t="s">
        <v>1690</v>
      </c>
      <c r="C70" s="22" t="e">
        <f t="array" aca="1" ref="C70" ca="1">_xludf.XLOOKUP(A70,'Batch || Working'!$C$2:$C$438,'Batch || Working'!$E$2:$E$438)</f>
        <v>#NAME?</v>
      </c>
    </row>
    <row r="71" spans="1:3" ht="14.25" customHeight="1">
      <c r="A71" s="22" t="s">
        <v>862</v>
      </c>
      <c r="B71" s="22" t="s">
        <v>1692</v>
      </c>
      <c r="C71" s="22" t="e">
        <f t="array" aca="1" ref="C71" ca="1">_xludf.XLOOKUP(A71,'Batch || Working'!$C$2:$C$438,'Batch || Working'!$E$2:$E$438)</f>
        <v>#NAME?</v>
      </c>
    </row>
    <row r="72" spans="1:3" ht="14.25" customHeight="1"/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E438"/>
  <sheetViews>
    <sheetView workbookViewId="0"/>
  </sheetViews>
  <sheetFormatPr defaultColWidth="14.3984375" defaultRowHeight="15.75" customHeight="1"/>
  <cols>
    <col min="1" max="1" width="10.69921875" customWidth="1"/>
    <col min="2" max="2" width="31.09765625" customWidth="1"/>
  </cols>
  <sheetData>
    <row r="1" spans="1:5" ht="15.75" customHeight="1">
      <c r="A1" s="150" t="s">
        <v>176</v>
      </c>
      <c r="B1" s="150" t="s">
        <v>177</v>
      </c>
    </row>
    <row r="2" spans="1:5" ht="15.75" customHeight="1">
      <c r="A2" s="151" t="s">
        <v>227</v>
      </c>
      <c r="B2" s="152" t="s">
        <v>372</v>
      </c>
      <c r="E2" s="103"/>
    </row>
    <row r="3" spans="1:5" ht="15.75" customHeight="1">
      <c r="A3" s="131" t="s">
        <v>228</v>
      </c>
      <c r="B3" s="106" t="s">
        <v>374</v>
      </c>
      <c r="E3" s="103"/>
    </row>
    <row r="4" spans="1:5" ht="15.75" customHeight="1">
      <c r="A4" s="131" t="s">
        <v>229</v>
      </c>
      <c r="B4" s="106" t="s">
        <v>376</v>
      </c>
      <c r="E4" s="103"/>
    </row>
    <row r="5" spans="1:5" ht="15.75" customHeight="1">
      <c r="A5" s="131" t="s">
        <v>230</v>
      </c>
      <c r="B5" s="106" t="s">
        <v>378</v>
      </c>
      <c r="E5" s="103"/>
    </row>
    <row r="6" spans="1:5" ht="15.75" customHeight="1">
      <c r="A6" s="131" t="s">
        <v>380</v>
      </c>
      <c r="B6" s="106" t="s">
        <v>381</v>
      </c>
      <c r="E6" s="103"/>
    </row>
    <row r="7" spans="1:5" ht="15.75" customHeight="1">
      <c r="A7" s="131" t="s">
        <v>384</v>
      </c>
      <c r="B7" s="106" t="s">
        <v>385</v>
      </c>
      <c r="E7" s="103"/>
    </row>
    <row r="8" spans="1:5" ht="15.75" customHeight="1">
      <c r="A8" s="131" t="s">
        <v>388</v>
      </c>
      <c r="B8" s="106" t="s">
        <v>389</v>
      </c>
      <c r="E8" s="103"/>
    </row>
    <row r="9" spans="1:5" ht="15.75" customHeight="1">
      <c r="A9" s="131" t="s">
        <v>232</v>
      </c>
      <c r="B9" s="106" t="s">
        <v>392</v>
      </c>
      <c r="E9" s="103"/>
    </row>
    <row r="10" spans="1:5" ht="15.75" customHeight="1">
      <c r="A10" s="131" t="s">
        <v>233</v>
      </c>
      <c r="B10" s="106" t="s">
        <v>395</v>
      </c>
      <c r="E10" s="103"/>
    </row>
    <row r="11" spans="1:5" ht="15.75" customHeight="1">
      <c r="A11" s="131" t="s">
        <v>398</v>
      </c>
      <c r="B11" s="106" t="s">
        <v>399</v>
      </c>
      <c r="E11" s="103"/>
    </row>
    <row r="12" spans="1:5" ht="15.75" customHeight="1">
      <c r="A12" s="131" t="s">
        <v>234</v>
      </c>
      <c r="B12" s="106" t="s">
        <v>402</v>
      </c>
      <c r="E12" s="103"/>
    </row>
    <row r="13" spans="1:5" ht="15.75" customHeight="1">
      <c r="A13" s="131" t="s">
        <v>405</v>
      </c>
      <c r="B13" s="106" t="s">
        <v>406</v>
      </c>
      <c r="E13" s="103"/>
    </row>
    <row r="14" spans="1:5" ht="15.75" customHeight="1">
      <c r="A14" s="131" t="s">
        <v>409</v>
      </c>
      <c r="B14" s="106" t="s">
        <v>410</v>
      </c>
      <c r="E14" s="103"/>
    </row>
    <row r="15" spans="1:5" ht="15.75" customHeight="1">
      <c r="A15" s="131" t="s">
        <v>413</v>
      </c>
      <c r="B15" s="106" t="s">
        <v>414</v>
      </c>
      <c r="E15" s="103"/>
    </row>
    <row r="16" spans="1:5" ht="15.75" customHeight="1">
      <c r="A16" s="131" t="s">
        <v>235</v>
      </c>
      <c r="B16" s="106" t="s">
        <v>417</v>
      </c>
      <c r="E16" s="103"/>
    </row>
    <row r="17" spans="1:5" ht="15.75" customHeight="1">
      <c r="A17" s="131" t="s">
        <v>420</v>
      </c>
      <c r="B17" s="106" t="s">
        <v>421</v>
      </c>
      <c r="E17" s="103"/>
    </row>
    <row r="18" spans="1:5" ht="15.75" customHeight="1">
      <c r="A18" s="131" t="s">
        <v>424</v>
      </c>
      <c r="B18" s="106" t="s">
        <v>425</v>
      </c>
      <c r="E18" s="103"/>
    </row>
    <row r="19" spans="1:5" ht="15.75" customHeight="1">
      <c r="A19" s="131" t="s">
        <v>236</v>
      </c>
      <c r="B19" s="106" t="s">
        <v>428</v>
      </c>
      <c r="E19" s="103"/>
    </row>
    <row r="20" spans="1:5" ht="15.75" customHeight="1">
      <c r="A20" s="131" t="s">
        <v>237</v>
      </c>
      <c r="B20" s="106" t="s">
        <v>431</v>
      </c>
      <c r="E20" s="103"/>
    </row>
    <row r="21" spans="1:5" ht="15.75" customHeight="1">
      <c r="A21" s="131" t="s">
        <v>238</v>
      </c>
      <c r="B21" s="106" t="s">
        <v>434</v>
      </c>
      <c r="E21" s="103"/>
    </row>
    <row r="22" spans="1:5" ht="15.75" customHeight="1">
      <c r="A22" s="131" t="s">
        <v>437</v>
      </c>
      <c r="B22" s="106" t="s">
        <v>438</v>
      </c>
      <c r="E22" s="103"/>
    </row>
    <row r="23" spans="1:5" ht="15.75" customHeight="1">
      <c r="A23" s="131" t="s">
        <v>239</v>
      </c>
      <c r="B23" s="106" t="s">
        <v>441</v>
      </c>
      <c r="E23" s="103"/>
    </row>
    <row r="24" spans="1:5" ht="15.75" customHeight="1">
      <c r="A24" s="131" t="s">
        <v>444</v>
      </c>
      <c r="B24" s="106" t="s">
        <v>445</v>
      </c>
      <c r="E24" s="103"/>
    </row>
    <row r="25" spans="1:5" ht="15.75" customHeight="1">
      <c r="A25" s="131" t="s">
        <v>447</v>
      </c>
      <c r="B25" s="106" t="s">
        <v>448</v>
      </c>
      <c r="E25" s="103"/>
    </row>
    <row r="26" spans="1:5" ht="15.75" customHeight="1">
      <c r="A26" s="131" t="s">
        <v>240</v>
      </c>
      <c r="B26" s="106" t="s">
        <v>450</v>
      </c>
      <c r="E26" s="103"/>
    </row>
    <row r="27" spans="1:5" ht="15.75" customHeight="1">
      <c r="A27" s="131" t="s">
        <v>241</v>
      </c>
      <c r="B27" s="106" t="s">
        <v>452</v>
      </c>
      <c r="E27" s="103"/>
    </row>
    <row r="28" spans="1:5" ht="15.75" customHeight="1">
      <c r="A28" s="131" t="s">
        <v>454</v>
      </c>
      <c r="B28" s="106" t="s">
        <v>455</v>
      </c>
      <c r="E28" s="103"/>
    </row>
    <row r="29" spans="1:5" ht="15.75" customHeight="1">
      <c r="A29" s="131" t="s">
        <v>457</v>
      </c>
      <c r="B29" s="106" t="s">
        <v>458</v>
      </c>
      <c r="E29" s="103"/>
    </row>
    <row r="30" spans="1:5" ht="15.75" customHeight="1">
      <c r="A30" s="131" t="s">
        <v>242</v>
      </c>
      <c r="B30" s="106" t="s">
        <v>460</v>
      </c>
      <c r="E30" s="103"/>
    </row>
    <row r="31" spans="1:5" ht="15.75" customHeight="1">
      <c r="A31" s="131" t="s">
        <v>243</v>
      </c>
      <c r="B31" s="106" t="s">
        <v>462</v>
      </c>
      <c r="E31" s="103"/>
    </row>
    <row r="32" spans="1:5" ht="15.75" customHeight="1">
      <c r="A32" s="131" t="s">
        <v>464</v>
      </c>
      <c r="B32" s="106" t="s">
        <v>465</v>
      </c>
      <c r="E32" s="103"/>
    </row>
    <row r="33" spans="1:5" ht="15.75" customHeight="1">
      <c r="A33" s="131" t="s">
        <v>467</v>
      </c>
      <c r="B33" s="106" t="s">
        <v>468</v>
      </c>
      <c r="E33" s="103"/>
    </row>
    <row r="34" spans="1:5" ht="15.75" customHeight="1">
      <c r="A34" s="131" t="s">
        <v>244</v>
      </c>
      <c r="B34" s="106" t="s">
        <v>470</v>
      </c>
      <c r="E34" s="103"/>
    </row>
    <row r="35" spans="1:5" ht="15.75" customHeight="1">
      <c r="A35" s="131" t="s">
        <v>472</v>
      </c>
      <c r="B35" s="106" t="s">
        <v>473</v>
      </c>
      <c r="E35" s="103"/>
    </row>
    <row r="36" spans="1:5" ht="15.75" customHeight="1">
      <c r="A36" s="131" t="s">
        <v>245</v>
      </c>
      <c r="B36" s="106" t="s">
        <v>475</v>
      </c>
      <c r="E36" s="103"/>
    </row>
    <row r="37" spans="1:5" ht="13">
      <c r="A37" s="131" t="s">
        <v>477</v>
      </c>
      <c r="B37" s="106" t="s">
        <v>478</v>
      </c>
      <c r="E37" s="103"/>
    </row>
    <row r="38" spans="1:5" ht="13">
      <c r="A38" s="131" t="s">
        <v>480</v>
      </c>
      <c r="B38" s="106" t="s">
        <v>481</v>
      </c>
      <c r="E38" s="103"/>
    </row>
    <row r="39" spans="1:5" ht="13">
      <c r="A39" s="131" t="s">
        <v>247</v>
      </c>
      <c r="B39" s="106" t="s">
        <v>483</v>
      </c>
      <c r="E39" s="103"/>
    </row>
    <row r="40" spans="1:5" ht="13">
      <c r="A40" s="131" t="s">
        <v>485</v>
      </c>
      <c r="B40" s="106" t="s">
        <v>486</v>
      </c>
      <c r="E40" s="103"/>
    </row>
    <row r="41" spans="1:5" ht="13">
      <c r="A41" s="131" t="s">
        <v>248</v>
      </c>
      <c r="B41" s="106" t="s">
        <v>488</v>
      </c>
      <c r="E41" s="103"/>
    </row>
    <row r="42" spans="1:5" ht="13">
      <c r="A42" s="131" t="s">
        <v>490</v>
      </c>
      <c r="B42" s="106" t="s">
        <v>491</v>
      </c>
      <c r="E42" s="103"/>
    </row>
    <row r="43" spans="1:5" ht="13">
      <c r="A43" s="131" t="s">
        <v>493</v>
      </c>
      <c r="B43" s="106" t="s">
        <v>494</v>
      </c>
      <c r="E43" s="103"/>
    </row>
    <row r="44" spans="1:5" ht="13">
      <c r="A44" s="131" t="s">
        <v>249</v>
      </c>
      <c r="B44" s="106" t="s">
        <v>496</v>
      </c>
      <c r="E44" s="103"/>
    </row>
    <row r="45" spans="1:5" ht="13">
      <c r="A45" s="131" t="s">
        <v>498</v>
      </c>
      <c r="B45" s="106" t="s">
        <v>499</v>
      </c>
      <c r="E45" s="103"/>
    </row>
    <row r="46" spans="1:5" ht="13">
      <c r="A46" s="131" t="s">
        <v>251</v>
      </c>
      <c r="B46" s="106" t="s">
        <v>501</v>
      </c>
      <c r="E46" s="103"/>
    </row>
    <row r="47" spans="1:5" ht="13">
      <c r="A47" s="131" t="s">
        <v>503</v>
      </c>
      <c r="B47" s="106" t="s">
        <v>504</v>
      </c>
      <c r="E47" s="103"/>
    </row>
    <row r="48" spans="1:5" ht="13">
      <c r="A48" s="131" t="s">
        <v>506</v>
      </c>
      <c r="B48" s="106" t="s">
        <v>507</v>
      </c>
      <c r="E48" s="103"/>
    </row>
    <row r="49" spans="1:5" ht="13">
      <c r="A49" s="131" t="s">
        <v>509</v>
      </c>
      <c r="B49" s="106" t="s">
        <v>510</v>
      </c>
      <c r="E49" s="103"/>
    </row>
    <row r="50" spans="1:5" ht="13">
      <c r="A50" s="131" t="s">
        <v>512</v>
      </c>
      <c r="B50" s="106" t="s">
        <v>513</v>
      </c>
      <c r="E50" s="103"/>
    </row>
    <row r="51" spans="1:5" ht="13">
      <c r="A51" s="131" t="s">
        <v>515</v>
      </c>
      <c r="B51" s="106" t="s">
        <v>516</v>
      </c>
      <c r="E51" s="103"/>
    </row>
    <row r="52" spans="1:5" ht="13">
      <c r="A52" s="131" t="s">
        <v>207</v>
      </c>
      <c r="B52" s="106" t="s">
        <v>518</v>
      </c>
      <c r="E52" s="103"/>
    </row>
    <row r="53" spans="1:5" ht="13">
      <c r="A53" s="131" t="s">
        <v>520</v>
      </c>
      <c r="B53" s="106" t="s">
        <v>521</v>
      </c>
      <c r="E53" s="103"/>
    </row>
    <row r="54" spans="1:5" ht="13">
      <c r="A54" s="131" t="s">
        <v>226</v>
      </c>
      <c r="B54" s="106" t="s">
        <v>523</v>
      </c>
      <c r="E54" s="103"/>
    </row>
    <row r="55" spans="1:5" ht="13">
      <c r="A55" s="131" t="s">
        <v>525</v>
      </c>
      <c r="B55" s="106" t="s">
        <v>526</v>
      </c>
      <c r="E55" s="103"/>
    </row>
    <row r="56" spans="1:5" ht="13">
      <c r="A56" s="131" t="s">
        <v>528</v>
      </c>
      <c r="B56" s="106" t="s">
        <v>529</v>
      </c>
      <c r="E56" s="103"/>
    </row>
    <row r="57" spans="1:5" ht="13">
      <c r="A57" s="131" t="s">
        <v>531</v>
      </c>
      <c r="B57" s="106" t="s">
        <v>532</v>
      </c>
      <c r="E57" s="103"/>
    </row>
    <row r="58" spans="1:5" ht="13">
      <c r="A58" s="131" t="s">
        <v>534</v>
      </c>
      <c r="B58" s="106" t="s">
        <v>535</v>
      </c>
      <c r="E58" s="103"/>
    </row>
    <row r="59" spans="1:5" ht="13">
      <c r="A59" s="131" t="s">
        <v>220</v>
      </c>
      <c r="B59" s="106" t="s">
        <v>537</v>
      </c>
      <c r="E59" s="103"/>
    </row>
    <row r="60" spans="1:5" ht="13">
      <c r="A60" s="131" t="s">
        <v>210</v>
      </c>
      <c r="B60" s="106" t="s">
        <v>539</v>
      </c>
      <c r="E60" s="103"/>
    </row>
    <row r="61" spans="1:5" ht="13">
      <c r="A61" s="131" t="s">
        <v>221</v>
      </c>
      <c r="B61" s="106" t="s">
        <v>541</v>
      </c>
      <c r="E61" s="103"/>
    </row>
    <row r="62" spans="1:5" ht="13">
      <c r="A62" s="131" t="s">
        <v>543</v>
      </c>
      <c r="B62" s="106" t="s">
        <v>544</v>
      </c>
      <c r="E62" s="103"/>
    </row>
    <row r="63" spans="1:5" ht="13">
      <c r="A63" s="131" t="s">
        <v>211</v>
      </c>
      <c r="B63" s="106" t="s">
        <v>546</v>
      </c>
      <c r="E63" s="103"/>
    </row>
    <row r="64" spans="1:5" ht="13">
      <c r="A64" s="131" t="s">
        <v>548</v>
      </c>
      <c r="B64" s="106" t="s">
        <v>549</v>
      </c>
      <c r="E64" s="103"/>
    </row>
    <row r="65" spans="1:5" ht="13">
      <c r="A65" s="131" t="s">
        <v>217</v>
      </c>
      <c r="B65" s="106" t="s">
        <v>551</v>
      </c>
      <c r="E65" s="103"/>
    </row>
    <row r="66" spans="1:5" ht="13">
      <c r="A66" s="153" t="s">
        <v>231</v>
      </c>
      <c r="B66" s="154" t="s">
        <v>553</v>
      </c>
      <c r="E66" s="103"/>
    </row>
    <row r="67" spans="1:5" ht="13">
      <c r="A67" s="153" t="s">
        <v>265</v>
      </c>
      <c r="B67" s="154" t="s">
        <v>555</v>
      </c>
      <c r="E67" s="103"/>
    </row>
    <row r="68" spans="1:5" ht="13">
      <c r="A68" s="134" t="s">
        <v>558</v>
      </c>
      <c r="B68" s="135" t="s">
        <v>559</v>
      </c>
      <c r="E68" s="103"/>
    </row>
    <row r="69" spans="1:5" ht="13">
      <c r="A69" s="134" t="s">
        <v>252</v>
      </c>
      <c r="B69" s="135" t="s">
        <v>561</v>
      </c>
      <c r="E69" s="103"/>
    </row>
    <row r="70" spans="1:5" ht="13">
      <c r="A70" s="134" t="s">
        <v>253</v>
      </c>
      <c r="B70" s="135" t="s">
        <v>563</v>
      </c>
      <c r="E70" s="103"/>
    </row>
    <row r="71" spans="1:5" ht="13">
      <c r="A71" s="134" t="s">
        <v>565</v>
      </c>
      <c r="B71" s="135" t="s">
        <v>566</v>
      </c>
      <c r="E71" s="103"/>
    </row>
    <row r="72" spans="1:5" ht="13">
      <c r="A72" s="134" t="s">
        <v>254</v>
      </c>
      <c r="B72" s="135" t="s">
        <v>568</v>
      </c>
      <c r="E72" s="103"/>
    </row>
    <row r="73" spans="1:5" ht="13">
      <c r="A73" s="134" t="s">
        <v>570</v>
      </c>
      <c r="B73" s="135" t="s">
        <v>571</v>
      </c>
      <c r="E73" s="103"/>
    </row>
    <row r="74" spans="1:5" ht="13">
      <c r="A74" s="134" t="s">
        <v>255</v>
      </c>
      <c r="B74" s="135" t="s">
        <v>573</v>
      </c>
      <c r="E74" s="103"/>
    </row>
    <row r="75" spans="1:5" ht="13">
      <c r="A75" s="134" t="s">
        <v>575</v>
      </c>
      <c r="B75" s="135" t="s">
        <v>576</v>
      </c>
      <c r="E75" s="103"/>
    </row>
    <row r="76" spans="1:5" ht="13">
      <c r="A76" s="134" t="s">
        <v>578</v>
      </c>
      <c r="B76" s="135" t="s">
        <v>579</v>
      </c>
      <c r="E76" s="103"/>
    </row>
    <row r="77" spans="1:5" ht="13">
      <c r="A77" s="134" t="s">
        <v>256</v>
      </c>
      <c r="B77" s="135" t="s">
        <v>581</v>
      </c>
      <c r="E77" s="103"/>
    </row>
    <row r="78" spans="1:5" ht="13">
      <c r="A78" s="134" t="s">
        <v>583</v>
      </c>
      <c r="B78" s="135" t="s">
        <v>584</v>
      </c>
      <c r="E78" s="103"/>
    </row>
    <row r="79" spans="1:5" ht="13">
      <c r="A79" s="134" t="s">
        <v>586</v>
      </c>
      <c r="B79" s="135" t="s">
        <v>587</v>
      </c>
      <c r="E79" s="103"/>
    </row>
    <row r="80" spans="1:5" ht="13">
      <c r="A80" s="134" t="s">
        <v>589</v>
      </c>
      <c r="B80" s="135" t="s">
        <v>590</v>
      </c>
      <c r="E80" s="103"/>
    </row>
    <row r="81" spans="1:5" ht="13">
      <c r="A81" s="134" t="s">
        <v>592</v>
      </c>
      <c r="B81" s="135" t="s">
        <v>593</v>
      </c>
      <c r="E81" s="103"/>
    </row>
    <row r="82" spans="1:5" ht="13">
      <c r="A82" s="134" t="s">
        <v>595</v>
      </c>
      <c r="B82" s="135" t="s">
        <v>596</v>
      </c>
      <c r="E82" s="103"/>
    </row>
    <row r="83" spans="1:5" ht="13">
      <c r="A83" s="134" t="s">
        <v>598</v>
      </c>
      <c r="B83" s="135" t="s">
        <v>599</v>
      </c>
      <c r="E83" s="103"/>
    </row>
    <row r="84" spans="1:5" ht="13">
      <c r="A84" s="134" t="s">
        <v>257</v>
      </c>
      <c r="B84" s="135" t="s">
        <v>601</v>
      </c>
      <c r="E84" s="103"/>
    </row>
    <row r="85" spans="1:5" ht="13">
      <c r="A85" s="134" t="s">
        <v>603</v>
      </c>
      <c r="B85" s="135" t="s">
        <v>604</v>
      </c>
      <c r="E85" s="103"/>
    </row>
    <row r="86" spans="1:5" ht="13">
      <c r="A86" s="134" t="s">
        <v>606</v>
      </c>
      <c r="B86" s="135" t="s">
        <v>607</v>
      </c>
      <c r="E86" s="103"/>
    </row>
    <row r="87" spans="1:5" ht="13">
      <c r="A87" s="134" t="s">
        <v>258</v>
      </c>
      <c r="B87" s="135" t="s">
        <v>609</v>
      </c>
      <c r="E87" s="103"/>
    </row>
    <row r="88" spans="1:5" ht="13">
      <c r="A88" s="134" t="s">
        <v>259</v>
      </c>
      <c r="B88" s="135" t="s">
        <v>611</v>
      </c>
      <c r="E88" s="103"/>
    </row>
    <row r="89" spans="1:5" ht="13">
      <c r="A89" s="134" t="s">
        <v>613</v>
      </c>
      <c r="B89" s="135" t="s">
        <v>614</v>
      </c>
      <c r="E89" s="103"/>
    </row>
    <row r="90" spans="1:5" ht="13">
      <c r="A90" s="134" t="s">
        <v>616</v>
      </c>
      <c r="B90" s="135" t="s">
        <v>617</v>
      </c>
      <c r="E90" s="103"/>
    </row>
    <row r="91" spans="1:5" ht="13">
      <c r="A91" s="134" t="s">
        <v>260</v>
      </c>
      <c r="B91" s="135" t="s">
        <v>619</v>
      </c>
      <c r="E91" s="103"/>
    </row>
    <row r="92" spans="1:5" ht="13">
      <c r="A92" s="134" t="s">
        <v>261</v>
      </c>
      <c r="B92" s="135" t="s">
        <v>621</v>
      </c>
      <c r="E92" s="103"/>
    </row>
    <row r="93" spans="1:5" ht="13">
      <c r="A93" s="134" t="s">
        <v>623</v>
      </c>
      <c r="B93" s="135" t="s">
        <v>624</v>
      </c>
      <c r="E93" s="103"/>
    </row>
    <row r="94" spans="1:5" ht="13">
      <c r="A94" s="134" t="s">
        <v>262</v>
      </c>
      <c r="B94" s="135" t="s">
        <v>626</v>
      </c>
      <c r="E94" s="103"/>
    </row>
    <row r="95" spans="1:5" ht="13">
      <c r="A95" s="134" t="s">
        <v>628</v>
      </c>
      <c r="B95" s="107" t="s">
        <v>629</v>
      </c>
      <c r="E95" s="103"/>
    </row>
    <row r="96" spans="1:5" ht="13">
      <c r="A96" s="134" t="s">
        <v>631</v>
      </c>
      <c r="B96" s="135" t="s">
        <v>632</v>
      </c>
      <c r="E96" s="103"/>
    </row>
    <row r="97" spans="1:5" ht="13">
      <c r="A97" s="134" t="s">
        <v>634</v>
      </c>
      <c r="B97" s="135" t="s">
        <v>635</v>
      </c>
      <c r="E97" s="103"/>
    </row>
    <row r="98" spans="1:5" ht="13">
      <c r="A98" s="134" t="s">
        <v>637</v>
      </c>
      <c r="B98" s="135" t="s">
        <v>638</v>
      </c>
      <c r="E98" s="103"/>
    </row>
    <row r="99" spans="1:5" ht="13">
      <c r="A99" s="134" t="s">
        <v>640</v>
      </c>
      <c r="B99" s="135" t="s">
        <v>641</v>
      </c>
      <c r="E99" s="103"/>
    </row>
    <row r="100" spans="1:5" ht="13">
      <c r="A100" s="134" t="s">
        <v>263</v>
      </c>
      <c r="B100" s="135" t="s">
        <v>643</v>
      </c>
      <c r="E100" s="103"/>
    </row>
    <row r="101" spans="1:5" ht="13">
      <c r="A101" s="134" t="s">
        <v>645</v>
      </c>
      <c r="B101" s="135" t="s">
        <v>646</v>
      </c>
      <c r="C101" s="103"/>
      <c r="E101" s="103"/>
    </row>
    <row r="102" spans="1:5" ht="13">
      <c r="A102" s="134" t="s">
        <v>648</v>
      </c>
      <c r="B102" s="135" t="s">
        <v>649</v>
      </c>
      <c r="C102" s="103"/>
      <c r="E102" s="103"/>
    </row>
    <row r="103" spans="1:5" ht="13">
      <c r="A103" s="134" t="s">
        <v>264</v>
      </c>
      <c r="B103" s="135" t="s">
        <v>651</v>
      </c>
      <c r="C103" s="103"/>
      <c r="E103" s="103"/>
    </row>
    <row r="104" spans="1:5" ht="13">
      <c r="A104" s="134" t="s">
        <v>653</v>
      </c>
      <c r="B104" s="135" t="s">
        <v>654</v>
      </c>
      <c r="C104" s="103"/>
      <c r="E104" s="103"/>
    </row>
    <row r="105" spans="1:5" ht="13">
      <c r="A105" s="134" t="s">
        <v>656</v>
      </c>
      <c r="B105" s="135" t="s">
        <v>657</v>
      </c>
      <c r="C105" s="103"/>
      <c r="E105" s="103"/>
    </row>
    <row r="106" spans="1:5" ht="13">
      <c r="A106" s="134" t="s">
        <v>659</v>
      </c>
      <c r="B106" s="135" t="s">
        <v>660</v>
      </c>
      <c r="C106" s="103"/>
      <c r="E106" s="103"/>
    </row>
    <row r="107" spans="1:5" ht="13">
      <c r="A107" s="134" t="s">
        <v>662</v>
      </c>
      <c r="B107" s="135" t="s">
        <v>663</v>
      </c>
      <c r="C107" s="103"/>
      <c r="E107" s="103"/>
    </row>
    <row r="108" spans="1:5" ht="13">
      <c r="A108" s="134" t="s">
        <v>266</v>
      </c>
      <c r="B108" s="135" t="s">
        <v>665</v>
      </c>
      <c r="C108" s="103"/>
      <c r="E108" s="103"/>
    </row>
    <row r="109" spans="1:5" ht="13">
      <c r="A109" s="134" t="s">
        <v>667</v>
      </c>
      <c r="B109" s="135" t="s">
        <v>668</v>
      </c>
      <c r="C109" s="103"/>
      <c r="E109" s="103"/>
    </row>
    <row r="110" spans="1:5" ht="13">
      <c r="A110" s="134" t="s">
        <v>670</v>
      </c>
      <c r="B110" s="135" t="s">
        <v>671</v>
      </c>
      <c r="C110" s="103"/>
      <c r="E110" s="103"/>
    </row>
    <row r="111" spans="1:5" ht="13">
      <c r="A111" s="134" t="s">
        <v>673</v>
      </c>
      <c r="B111" s="135" t="s">
        <v>674</v>
      </c>
      <c r="C111" s="103"/>
      <c r="E111" s="103"/>
    </row>
    <row r="112" spans="1:5" ht="13">
      <c r="A112" s="134" t="s">
        <v>676</v>
      </c>
      <c r="B112" s="135" t="s">
        <v>677</v>
      </c>
      <c r="C112" s="103"/>
      <c r="E112" s="103"/>
    </row>
    <row r="113" spans="1:5" ht="13">
      <c r="A113" s="134" t="s">
        <v>679</v>
      </c>
      <c r="B113" s="135" t="s">
        <v>680</v>
      </c>
      <c r="C113" s="103"/>
      <c r="E113" s="103"/>
    </row>
    <row r="114" spans="1:5" ht="13">
      <c r="A114" s="134" t="s">
        <v>682</v>
      </c>
      <c r="B114" s="135" t="s">
        <v>683</v>
      </c>
      <c r="C114" s="103"/>
      <c r="E114" s="103"/>
    </row>
    <row r="115" spans="1:5" ht="13">
      <c r="A115" s="134" t="s">
        <v>685</v>
      </c>
      <c r="B115" s="135" t="s">
        <v>686</v>
      </c>
      <c r="C115" s="103"/>
      <c r="E115" s="103"/>
    </row>
    <row r="116" spans="1:5" ht="13">
      <c r="A116" s="134" t="s">
        <v>209</v>
      </c>
      <c r="B116" s="135" t="s">
        <v>688</v>
      </c>
      <c r="C116" s="103"/>
      <c r="E116" s="103"/>
    </row>
    <row r="117" spans="1:5" ht="13">
      <c r="A117" s="134" t="s">
        <v>690</v>
      </c>
      <c r="B117" s="135" t="s">
        <v>691</v>
      </c>
      <c r="C117" s="103"/>
      <c r="E117" s="103"/>
    </row>
    <row r="118" spans="1:5" ht="13">
      <c r="A118" s="134" t="s">
        <v>693</v>
      </c>
      <c r="B118" s="135" t="s">
        <v>694</v>
      </c>
      <c r="C118" s="103"/>
      <c r="E118" s="103"/>
    </row>
    <row r="119" spans="1:5" ht="13">
      <c r="A119" s="134" t="s">
        <v>696</v>
      </c>
      <c r="B119" s="135" t="s">
        <v>697</v>
      </c>
      <c r="C119" s="103"/>
      <c r="E119" s="103"/>
    </row>
    <row r="120" spans="1:5" ht="13">
      <c r="A120" s="134" t="s">
        <v>699</v>
      </c>
      <c r="B120" s="135" t="s">
        <v>700</v>
      </c>
      <c r="C120" s="103"/>
      <c r="E120" s="103"/>
    </row>
    <row r="121" spans="1:5" ht="13">
      <c r="A121" s="134" t="s">
        <v>702</v>
      </c>
      <c r="B121" s="135" t="s">
        <v>703</v>
      </c>
      <c r="C121" s="103"/>
      <c r="E121" s="103"/>
    </row>
    <row r="122" spans="1:5" ht="13">
      <c r="A122" s="134" t="s">
        <v>705</v>
      </c>
      <c r="B122" s="135" t="s">
        <v>706</v>
      </c>
      <c r="C122" s="103"/>
      <c r="E122" s="103"/>
    </row>
    <row r="123" spans="1:5" ht="13">
      <c r="A123" s="134" t="s">
        <v>708</v>
      </c>
      <c r="B123" s="135" t="s">
        <v>709</v>
      </c>
      <c r="C123" s="103"/>
      <c r="E123" s="103"/>
    </row>
    <row r="124" spans="1:5" ht="13">
      <c r="A124" s="134" t="s">
        <v>711</v>
      </c>
      <c r="B124" s="135" t="s">
        <v>712</v>
      </c>
      <c r="C124" s="103"/>
      <c r="E124" s="103"/>
    </row>
    <row r="125" spans="1:5" ht="13">
      <c r="A125" s="155" t="s">
        <v>714</v>
      </c>
      <c r="B125" s="156" t="s">
        <v>715</v>
      </c>
      <c r="E125" s="103"/>
    </row>
    <row r="126" spans="1:5" ht="13">
      <c r="A126" s="155" t="s">
        <v>717</v>
      </c>
      <c r="B126" s="156" t="s">
        <v>718</v>
      </c>
      <c r="E126" s="103"/>
    </row>
    <row r="127" spans="1:5" ht="13">
      <c r="A127" s="155" t="s">
        <v>720</v>
      </c>
      <c r="B127" s="156" t="s">
        <v>721</v>
      </c>
      <c r="E127" s="103"/>
    </row>
    <row r="128" spans="1:5" ht="13">
      <c r="A128" s="155" t="s">
        <v>723</v>
      </c>
      <c r="B128" s="156" t="s">
        <v>724</v>
      </c>
      <c r="E128" s="103"/>
    </row>
    <row r="129" spans="1:5" ht="13">
      <c r="A129" s="155" t="s">
        <v>298</v>
      </c>
      <c r="B129" s="156" t="s">
        <v>726</v>
      </c>
      <c r="E129" s="103"/>
    </row>
    <row r="130" spans="1:5" ht="13">
      <c r="A130" s="155" t="s">
        <v>728</v>
      </c>
      <c r="B130" s="156" t="s">
        <v>729</v>
      </c>
      <c r="E130" s="103"/>
    </row>
    <row r="131" spans="1:5" ht="13">
      <c r="A131" s="155" t="s">
        <v>731</v>
      </c>
      <c r="B131" s="156" t="s">
        <v>732</v>
      </c>
      <c r="E131" s="103"/>
    </row>
    <row r="132" spans="1:5" ht="13">
      <c r="A132" s="131" t="s">
        <v>735</v>
      </c>
      <c r="B132" s="106" t="s">
        <v>736</v>
      </c>
      <c r="E132" s="103"/>
    </row>
    <row r="133" spans="1:5" ht="13">
      <c r="A133" s="131" t="s">
        <v>738</v>
      </c>
      <c r="B133" s="106" t="s">
        <v>739</v>
      </c>
      <c r="E133" s="103"/>
    </row>
    <row r="134" spans="1:5" ht="13">
      <c r="A134" s="131" t="s">
        <v>741</v>
      </c>
      <c r="B134" s="106" t="s">
        <v>742</v>
      </c>
      <c r="E134" s="103"/>
    </row>
    <row r="135" spans="1:5" ht="13">
      <c r="A135" s="131" t="s">
        <v>744</v>
      </c>
      <c r="B135" s="106" t="s">
        <v>745</v>
      </c>
      <c r="E135" s="103"/>
    </row>
    <row r="136" spans="1:5" ht="13">
      <c r="A136" s="131" t="s">
        <v>747</v>
      </c>
      <c r="B136" s="106" t="s">
        <v>748</v>
      </c>
      <c r="E136" s="103"/>
    </row>
    <row r="137" spans="1:5" ht="13">
      <c r="A137" s="131" t="s">
        <v>267</v>
      </c>
      <c r="B137" s="106" t="s">
        <v>750</v>
      </c>
      <c r="E137" s="103"/>
    </row>
    <row r="138" spans="1:5" ht="13">
      <c r="A138" s="131" t="s">
        <v>752</v>
      </c>
      <c r="B138" s="106" t="s">
        <v>753</v>
      </c>
      <c r="E138" s="103"/>
    </row>
    <row r="139" spans="1:5" ht="13">
      <c r="A139" s="131" t="s">
        <v>755</v>
      </c>
      <c r="B139" s="106" t="s">
        <v>756</v>
      </c>
      <c r="E139" s="103"/>
    </row>
    <row r="140" spans="1:5" ht="13">
      <c r="A140" s="131" t="s">
        <v>758</v>
      </c>
      <c r="B140" s="106" t="s">
        <v>759</v>
      </c>
      <c r="E140" s="103"/>
    </row>
    <row r="141" spans="1:5" ht="13">
      <c r="A141" s="131" t="s">
        <v>268</v>
      </c>
      <c r="B141" s="106" t="s">
        <v>761</v>
      </c>
      <c r="E141" s="103"/>
    </row>
    <row r="142" spans="1:5" ht="13">
      <c r="A142" s="131" t="s">
        <v>763</v>
      </c>
      <c r="B142" s="106" t="s">
        <v>764</v>
      </c>
      <c r="E142" s="103"/>
    </row>
    <row r="143" spans="1:5" ht="13">
      <c r="A143" s="131" t="s">
        <v>269</v>
      </c>
      <c r="B143" s="106" t="s">
        <v>766</v>
      </c>
      <c r="E143" s="103"/>
    </row>
    <row r="144" spans="1:5" ht="13">
      <c r="A144" s="131" t="s">
        <v>768</v>
      </c>
      <c r="B144" s="106" t="s">
        <v>769</v>
      </c>
      <c r="E144" s="103"/>
    </row>
    <row r="145" spans="1:5" ht="13">
      <c r="A145" s="131" t="s">
        <v>771</v>
      </c>
      <c r="B145" s="106" t="s">
        <v>772</v>
      </c>
      <c r="E145" s="103"/>
    </row>
    <row r="146" spans="1:5" ht="13">
      <c r="A146" s="131" t="s">
        <v>270</v>
      </c>
      <c r="B146" s="106" t="s">
        <v>774</v>
      </c>
      <c r="E146" s="103"/>
    </row>
    <row r="147" spans="1:5" ht="13">
      <c r="A147" s="131" t="s">
        <v>776</v>
      </c>
      <c r="B147" s="106" t="s">
        <v>777</v>
      </c>
      <c r="E147" s="103"/>
    </row>
    <row r="148" spans="1:5" ht="13">
      <c r="A148" s="131" t="s">
        <v>271</v>
      </c>
      <c r="B148" s="106" t="s">
        <v>779</v>
      </c>
      <c r="E148" s="103"/>
    </row>
    <row r="149" spans="1:5" ht="13">
      <c r="A149" s="131" t="s">
        <v>272</v>
      </c>
      <c r="B149" s="106" t="s">
        <v>779</v>
      </c>
      <c r="E149" s="103"/>
    </row>
    <row r="150" spans="1:5" ht="13">
      <c r="A150" s="131" t="s">
        <v>273</v>
      </c>
      <c r="B150" s="106" t="s">
        <v>782</v>
      </c>
      <c r="E150" s="103"/>
    </row>
    <row r="151" spans="1:5" ht="13">
      <c r="A151" s="131" t="s">
        <v>784</v>
      </c>
      <c r="B151" s="106" t="s">
        <v>785</v>
      </c>
      <c r="E151" s="103"/>
    </row>
    <row r="152" spans="1:5" ht="13">
      <c r="A152" s="131" t="s">
        <v>787</v>
      </c>
      <c r="B152" s="106" t="s">
        <v>788</v>
      </c>
      <c r="E152" s="103"/>
    </row>
    <row r="153" spans="1:5" ht="13">
      <c r="A153" s="131" t="s">
        <v>790</v>
      </c>
      <c r="B153" s="106" t="s">
        <v>791</v>
      </c>
      <c r="E153" s="103"/>
    </row>
    <row r="154" spans="1:5" ht="13">
      <c r="A154" s="131" t="s">
        <v>793</v>
      </c>
      <c r="B154" s="106" t="s">
        <v>794</v>
      </c>
      <c r="E154" s="103"/>
    </row>
    <row r="155" spans="1:5" ht="13">
      <c r="A155" s="131" t="s">
        <v>274</v>
      </c>
      <c r="B155" s="106" t="s">
        <v>796</v>
      </c>
      <c r="E155" s="103"/>
    </row>
    <row r="156" spans="1:5" ht="13">
      <c r="A156" s="131" t="s">
        <v>275</v>
      </c>
      <c r="B156" s="106" t="s">
        <v>798</v>
      </c>
      <c r="E156" s="103"/>
    </row>
    <row r="157" spans="1:5" ht="13">
      <c r="A157" s="131" t="s">
        <v>276</v>
      </c>
      <c r="B157" s="106" t="s">
        <v>800</v>
      </c>
      <c r="E157" s="103"/>
    </row>
    <row r="158" spans="1:5" ht="13">
      <c r="A158" s="131" t="s">
        <v>802</v>
      </c>
      <c r="B158" s="106" t="s">
        <v>803</v>
      </c>
      <c r="C158" s="103"/>
      <c r="E158" s="103"/>
    </row>
    <row r="159" spans="1:5" ht="13">
      <c r="A159" s="131" t="s">
        <v>805</v>
      </c>
      <c r="B159" s="106" t="s">
        <v>806</v>
      </c>
      <c r="C159" s="103"/>
      <c r="E159" s="103"/>
    </row>
    <row r="160" spans="1:5" ht="13">
      <c r="A160" s="131" t="s">
        <v>808</v>
      </c>
      <c r="B160" s="106" t="s">
        <v>809</v>
      </c>
      <c r="C160" s="103"/>
      <c r="E160" s="103"/>
    </row>
    <row r="161" spans="1:5" ht="13">
      <c r="A161" s="131" t="s">
        <v>277</v>
      </c>
      <c r="B161" s="106" t="s">
        <v>811</v>
      </c>
      <c r="C161" s="103"/>
      <c r="E161" s="103"/>
    </row>
    <row r="162" spans="1:5" ht="13">
      <c r="A162" s="131" t="s">
        <v>813</v>
      </c>
      <c r="B162" s="106" t="s">
        <v>814</v>
      </c>
      <c r="C162" s="103"/>
      <c r="E162" s="103"/>
    </row>
    <row r="163" spans="1:5" ht="13">
      <c r="A163" s="131" t="s">
        <v>816</v>
      </c>
      <c r="B163" s="106" t="s">
        <v>817</v>
      </c>
      <c r="C163" s="103"/>
      <c r="E163" s="103"/>
    </row>
    <row r="164" spans="1:5" ht="13">
      <c r="A164" s="131" t="s">
        <v>819</v>
      </c>
      <c r="B164" s="106" t="s">
        <v>820</v>
      </c>
      <c r="C164" s="103"/>
      <c r="E164" s="103"/>
    </row>
    <row r="165" spans="1:5" ht="13">
      <c r="A165" s="131" t="s">
        <v>278</v>
      </c>
      <c r="B165" s="106" t="s">
        <v>822</v>
      </c>
      <c r="C165" s="103"/>
      <c r="E165" s="103"/>
    </row>
    <row r="166" spans="1:5" ht="13">
      <c r="A166" s="131" t="s">
        <v>279</v>
      </c>
      <c r="B166" s="106" t="s">
        <v>824</v>
      </c>
      <c r="C166" s="103"/>
      <c r="E166" s="103"/>
    </row>
    <row r="167" spans="1:5" ht="13">
      <c r="A167" s="131" t="s">
        <v>280</v>
      </c>
      <c r="B167" s="106" t="s">
        <v>826</v>
      </c>
      <c r="C167" s="103"/>
      <c r="E167" s="103"/>
    </row>
    <row r="168" spans="1:5" ht="13">
      <c r="A168" s="131" t="s">
        <v>828</v>
      </c>
      <c r="B168" s="106" t="s">
        <v>829</v>
      </c>
      <c r="C168" s="103"/>
      <c r="E168" s="103"/>
    </row>
    <row r="169" spans="1:5" ht="13">
      <c r="A169" s="131" t="s">
        <v>831</v>
      </c>
      <c r="B169" s="106" t="s">
        <v>832</v>
      </c>
      <c r="C169" s="103"/>
      <c r="E169" s="103"/>
    </row>
    <row r="170" spans="1:5" ht="13">
      <c r="A170" s="131" t="s">
        <v>282</v>
      </c>
      <c r="B170" s="106" t="s">
        <v>834</v>
      </c>
      <c r="C170" s="103"/>
      <c r="E170" s="103"/>
    </row>
    <row r="171" spans="1:5" ht="13">
      <c r="A171" s="131" t="s">
        <v>836</v>
      </c>
      <c r="B171" s="106" t="s">
        <v>837</v>
      </c>
      <c r="C171" s="103"/>
      <c r="E171" s="103"/>
    </row>
    <row r="172" spans="1:5" ht="13">
      <c r="A172" s="131" t="s">
        <v>839</v>
      </c>
      <c r="B172" s="106" t="s">
        <v>840</v>
      </c>
      <c r="C172" s="103"/>
      <c r="E172" s="103"/>
    </row>
    <row r="173" spans="1:5" ht="13">
      <c r="A173" s="131" t="s">
        <v>842</v>
      </c>
      <c r="B173" s="106" t="s">
        <v>843</v>
      </c>
      <c r="C173" s="103"/>
      <c r="E173" s="103"/>
    </row>
    <row r="174" spans="1:5" ht="13">
      <c r="A174" s="131" t="s">
        <v>845</v>
      </c>
      <c r="B174" s="106" t="s">
        <v>846</v>
      </c>
      <c r="C174" s="103"/>
      <c r="E174" s="103"/>
    </row>
    <row r="175" spans="1:5" ht="13">
      <c r="A175" s="131" t="s">
        <v>848</v>
      </c>
      <c r="B175" s="106" t="s">
        <v>849</v>
      </c>
      <c r="C175" s="103"/>
      <c r="E175" s="103"/>
    </row>
    <row r="176" spans="1:5" ht="13">
      <c r="A176" s="131" t="s">
        <v>851</v>
      </c>
      <c r="B176" s="106" t="s">
        <v>852</v>
      </c>
      <c r="C176" s="103"/>
      <c r="E176" s="103"/>
    </row>
    <row r="177" spans="1:5" ht="13">
      <c r="A177" s="131" t="s">
        <v>283</v>
      </c>
      <c r="B177" s="106" t="s">
        <v>854</v>
      </c>
      <c r="C177" s="103"/>
      <c r="E177" s="103"/>
    </row>
    <row r="178" spans="1:5" ht="13">
      <c r="A178" s="131" t="s">
        <v>856</v>
      </c>
      <c r="B178" s="106" t="s">
        <v>857</v>
      </c>
      <c r="C178" s="103"/>
      <c r="E178" s="103"/>
    </row>
    <row r="179" spans="1:5" ht="13">
      <c r="A179" s="131" t="s">
        <v>859</v>
      </c>
      <c r="B179" s="106" t="s">
        <v>860</v>
      </c>
      <c r="C179" s="103"/>
      <c r="E179" s="103"/>
    </row>
    <row r="180" spans="1:5" ht="13">
      <c r="A180" s="131" t="s">
        <v>862</v>
      </c>
      <c r="B180" s="106" t="s">
        <v>863</v>
      </c>
      <c r="C180" s="103"/>
      <c r="E180" s="103"/>
    </row>
    <row r="181" spans="1:5" ht="13">
      <c r="A181" s="131" t="s">
        <v>865</v>
      </c>
      <c r="B181" s="106" t="s">
        <v>866</v>
      </c>
      <c r="C181" s="103"/>
      <c r="E181" s="103"/>
    </row>
    <row r="182" spans="1:5" ht="13">
      <c r="A182" s="131" t="s">
        <v>868</v>
      </c>
      <c r="B182" s="106" t="s">
        <v>869</v>
      </c>
      <c r="C182" s="103"/>
      <c r="E182" s="103"/>
    </row>
    <row r="183" spans="1:5" ht="13">
      <c r="A183" s="131" t="s">
        <v>219</v>
      </c>
      <c r="B183" s="106" t="s">
        <v>871</v>
      </c>
      <c r="C183" s="103"/>
      <c r="E183" s="103"/>
    </row>
    <row r="184" spans="1:5" ht="13">
      <c r="A184" s="131" t="s">
        <v>873</v>
      </c>
      <c r="B184" s="106" t="s">
        <v>874</v>
      </c>
      <c r="C184" s="103"/>
      <c r="E184" s="103"/>
    </row>
    <row r="185" spans="1:5" ht="13">
      <c r="A185" s="131" t="s">
        <v>876</v>
      </c>
      <c r="B185" s="106" t="s">
        <v>877</v>
      </c>
      <c r="C185" s="103"/>
      <c r="E185" s="103"/>
    </row>
    <row r="186" spans="1:5" ht="13">
      <c r="A186" s="131" t="s">
        <v>879</v>
      </c>
      <c r="B186" s="106" t="s">
        <v>880</v>
      </c>
      <c r="C186" s="103"/>
      <c r="E186" s="103"/>
    </row>
    <row r="187" spans="1:5" ht="13">
      <c r="A187" s="131" t="s">
        <v>882</v>
      </c>
      <c r="B187" s="106" t="s">
        <v>883</v>
      </c>
      <c r="C187" s="103"/>
      <c r="E187" s="103"/>
    </row>
    <row r="188" spans="1:5" ht="13">
      <c r="A188" s="131" t="s">
        <v>885</v>
      </c>
      <c r="B188" s="106" t="s">
        <v>886</v>
      </c>
      <c r="C188" s="103"/>
      <c r="E188" s="103"/>
    </row>
    <row r="189" spans="1:5" ht="13">
      <c r="A189" s="131" t="s">
        <v>888</v>
      </c>
      <c r="B189" s="106" t="s">
        <v>889</v>
      </c>
      <c r="C189" s="103"/>
      <c r="E189" s="103"/>
    </row>
    <row r="190" spans="1:5" ht="13">
      <c r="A190" s="131" t="s">
        <v>213</v>
      </c>
      <c r="B190" s="106" t="s">
        <v>891</v>
      </c>
      <c r="C190" s="103"/>
      <c r="E190" s="103"/>
    </row>
    <row r="191" spans="1:5" ht="13">
      <c r="A191" s="131" t="s">
        <v>214</v>
      </c>
      <c r="B191" s="106" t="s">
        <v>893</v>
      </c>
      <c r="C191" s="103"/>
      <c r="E191" s="103"/>
    </row>
    <row r="192" spans="1:5" ht="13">
      <c r="A192" s="131" t="s">
        <v>215</v>
      </c>
      <c r="B192" s="106" t="s">
        <v>895</v>
      </c>
      <c r="C192" s="103"/>
      <c r="E192" s="103"/>
    </row>
    <row r="193" spans="1:5" ht="13">
      <c r="A193" s="131" t="s">
        <v>224</v>
      </c>
      <c r="B193" s="106" t="s">
        <v>897</v>
      </c>
      <c r="C193" s="103"/>
      <c r="E193" s="103"/>
    </row>
    <row r="194" spans="1:5" ht="13">
      <c r="A194" s="131" t="s">
        <v>225</v>
      </c>
      <c r="B194" s="106" t="s">
        <v>899</v>
      </c>
      <c r="C194" s="103"/>
      <c r="E194" s="103"/>
    </row>
    <row r="195" spans="1:5" ht="13">
      <c r="A195" s="131" t="s">
        <v>901</v>
      </c>
      <c r="B195" s="106" t="s">
        <v>902</v>
      </c>
      <c r="C195" s="103"/>
      <c r="E195" s="103"/>
    </row>
    <row r="196" spans="1:5" ht="13">
      <c r="A196" s="131" t="s">
        <v>905</v>
      </c>
      <c r="B196" s="106" t="s">
        <v>906</v>
      </c>
      <c r="C196" s="103"/>
      <c r="E196" s="103"/>
    </row>
    <row r="197" spans="1:5" ht="13">
      <c r="A197" s="131" t="s">
        <v>908</v>
      </c>
      <c r="B197" s="106" t="s">
        <v>909</v>
      </c>
      <c r="C197" s="103"/>
      <c r="E197" s="103"/>
    </row>
    <row r="198" spans="1:5" ht="13">
      <c r="A198" s="131" t="s">
        <v>911</v>
      </c>
      <c r="B198" s="106" t="s">
        <v>912</v>
      </c>
      <c r="C198" s="103"/>
      <c r="E198" s="103"/>
    </row>
    <row r="199" spans="1:5" ht="13">
      <c r="A199" s="131" t="s">
        <v>284</v>
      </c>
      <c r="B199" s="106" t="s">
        <v>914</v>
      </c>
      <c r="C199" s="103"/>
      <c r="E199" s="103"/>
    </row>
    <row r="200" spans="1:5" ht="13">
      <c r="A200" s="131" t="s">
        <v>285</v>
      </c>
      <c r="B200" s="106" t="s">
        <v>916</v>
      </c>
      <c r="C200" s="103"/>
      <c r="E200" s="103"/>
    </row>
    <row r="201" spans="1:5" ht="13">
      <c r="A201" s="131" t="s">
        <v>918</v>
      </c>
      <c r="B201" s="106" t="s">
        <v>919</v>
      </c>
      <c r="C201" s="103"/>
      <c r="E201" s="103"/>
    </row>
    <row r="202" spans="1:5" ht="13">
      <c r="A202" s="131" t="s">
        <v>286</v>
      </c>
      <c r="B202" s="106" t="s">
        <v>921</v>
      </c>
      <c r="C202" s="103"/>
      <c r="E202" s="103"/>
    </row>
    <row r="203" spans="1:5" ht="13">
      <c r="A203" s="131" t="s">
        <v>923</v>
      </c>
      <c r="B203" s="106" t="s">
        <v>924</v>
      </c>
      <c r="C203" s="103"/>
      <c r="E203" s="103"/>
    </row>
    <row r="204" spans="1:5" ht="13">
      <c r="A204" s="131" t="s">
        <v>287</v>
      </c>
      <c r="B204" s="106" t="s">
        <v>926</v>
      </c>
      <c r="C204" s="103"/>
      <c r="E204" s="103"/>
    </row>
    <row r="205" spans="1:5" ht="13">
      <c r="A205" s="131" t="s">
        <v>928</v>
      </c>
      <c r="B205" s="106" t="s">
        <v>929</v>
      </c>
      <c r="C205" s="103"/>
      <c r="E205" s="103"/>
    </row>
    <row r="206" spans="1:5" ht="13">
      <c r="A206" s="131" t="s">
        <v>288</v>
      </c>
      <c r="B206" s="106" t="s">
        <v>931</v>
      </c>
      <c r="C206" s="103"/>
      <c r="E206" s="103"/>
    </row>
    <row r="207" spans="1:5" ht="13">
      <c r="A207" s="131" t="s">
        <v>933</v>
      </c>
      <c r="B207" s="106" t="s">
        <v>934</v>
      </c>
      <c r="C207" s="103"/>
      <c r="E207" s="103"/>
    </row>
    <row r="208" spans="1:5" ht="13">
      <c r="A208" s="131" t="s">
        <v>289</v>
      </c>
      <c r="B208" s="106" t="s">
        <v>936</v>
      </c>
      <c r="C208" s="103"/>
      <c r="E208" s="103"/>
    </row>
    <row r="209" spans="1:5" ht="13">
      <c r="A209" s="131" t="s">
        <v>290</v>
      </c>
      <c r="B209" s="106" t="s">
        <v>938</v>
      </c>
      <c r="C209" s="103"/>
      <c r="E209" s="103"/>
    </row>
    <row r="210" spans="1:5" ht="13">
      <c r="A210" s="131" t="s">
        <v>940</v>
      </c>
      <c r="B210" s="106" t="s">
        <v>941</v>
      </c>
      <c r="E210" s="103"/>
    </row>
    <row r="211" spans="1:5" ht="13">
      <c r="A211" s="131" t="s">
        <v>943</v>
      </c>
      <c r="B211" s="106" t="s">
        <v>944</v>
      </c>
      <c r="E211" s="103"/>
    </row>
    <row r="212" spans="1:5" ht="13">
      <c r="A212" s="131" t="s">
        <v>946</v>
      </c>
      <c r="B212" s="106" t="s">
        <v>947</v>
      </c>
      <c r="E212" s="103"/>
    </row>
    <row r="213" spans="1:5" ht="13">
      <c r="A213" s="131" t="s">
        <v>949</v>
      </c>
      <c r="B213" s="106" t="s">
        <v>950</v>
      </c>
      <c r="E213" s="103"/>
    </row>
    <row r="214" spans="1:5" ht="13">
      <c r="A214" s="131" t="s">
        <v>291</v>
      </c>
      <c r="B214" s="106" t="s">
        <v>952</v>
      </c>
      <c r="E214" s="103"/>
    </row>
    <row r="215" spans="1:5" ht="13">
      <c r="A215" s="131" t="s">
        <v>292</v>
      </c>
      <c r="B215" s="106" t="s">
        <v>954</v>
      </c>
      <c r="E215" s="103"/>
    </row>
    <row r="216" spans="1:5" ht="13">
      <c r="A216" s="131" t="s">
        <v>956</v>
      </c>
      <c r="B216" s="106" t="s">
        <v>957</v>
      </c>
      <c r="E216" s="103"/>
    </row>
    <row r="217" spans="1:5" ht="13">
      <c r="A217" s="131" t="s">
        <v>293</v>
      </c>
      <c r="B217" s="106" t="s">
        <v>959</v>
      </c>
      <c r="E217" s="103"/>
    </row>
    <row r="218" spans="1:5" ht="13">
      <c r="A218" s="131" t="s">
        <v>294</v>
      </c>
      <c r="B218" s="106" t="s">
        <v>961</v>
      </c>
      <c r="E218" s="103"/>
    </row>
    <row r="219" spans="1:5" ht="13">
      <c r="A219" s="131" t="s">
        <v>295</v>
      </c>
      <c r="B219" s="106" t="s">
        <v>963</v>
      </c>
      <c r="E219" s="103"/>
    </row>
    <row r="220" spans="1:5" ht="13">
      <c r="A220" s="131" t="s">
        <v>965</v>
      </c>
      <c r="B220" s="106" t="s">
        <v>966</v>
      </c>
      <c r="E220" s="103"/>
    </row>
    <row r="221" spans="1:5" ht="13">
      <c r="A221" s="131" t="s">
        <v>968</v>
      </c>
      <c r="B221" s="106" t="s">
        <v>969</v>
      </c>
      <c r="E221" s="103"/>
    </row>
    <row r="222" spans="1:5" ht="13">
      <c r="A222" s="131" t="s">
        <v>296</v>
      </c>
      <c r="B222" s="106" t="s">
        <v>971</v>
      </c>
      <c r="E222" s="103"/>
    </row>
    <row r="223" spans="1:5" ht="13">
      <c r="A223" s="131" t="s">
        <v>973</v>
      </c>
      <c r="B223" s="106" t="s">
        <v>974</v>
      </c>
      <c r="E223" s="103"/>
    </row>
    <row r="224" spans="1:5" ht="13">
      <c r="A224" s="131" t="s">
        <v>976</v>
      </c>
      <c r="B224" s="106" t="s">
        <v>977</v>
      </c>
      <c r="E224" s="103"/>
    </row>
    <row r="225" spans="1:5" ht="13">
      <c r="A225" s="131" t="s">
        <v>297</v>
      </c>
      <c r="B225" s="106" t="s">
        <v>979</v>
      </c>
      <c r="E225" s="103"/>
    </row>
    <row r="226" spans="1:5" ht="13">
      <c r="A226" s="131" t="s">
        <v>981</v>
      </c>
      <c r="B226" s="106" t="s">
        <v>982</v>
      </c>
      <c r="E226" s="103"/>
    </row>
    <row r="227" spans="1:5" ht="13">
      <c r="A227" s="131" t="s">
        <v>984</v>
      </c>
      <c r="B227" s="106" t="s">
        <v>985</v>
      </c>
      <c r="E227" s="103"/>
    </row>
    <row r="228" spans="1:5" ht="13">
      <c r="A228" s="131" t="s">
        <v>299</v>
      </c>
      <c r="B228" s="106" t="s">
        <v>987</v>
      </c>
      <c r="E228" s="103"/>
    </row>
    <row r="229" spans="1:5" ht="13">
      <c r="A229" s="131" t="s">
        <v>989</v>
      </c>
      <c r="B229" s="106" t="s">
        <v>990</v>
      </c>
      <c r="E229" s="103"/>
    </row>
    <row r="230" spans="1:5" ht="13">
      <c r="A230" s="131" t="s">
        <v>992</v>
      </c>
      <c r="B230" s="106" t="s">
        <v>993</v>
      </c>
      <c r="E230" s="103"/>
    </row>
    <row r="231" spans="1:5" ht="13">
      <c r="A231" s="131" t="s">
        <v>300</v>
      </c>
      <c r="B231" s="106" t="s">
        <v>995</v>
      </c>
      <c r="E231" s="103"/>
    </row>
    <row r="232" spans="1:5" ht="13">
      <c r="A232" s="131" t="s">
        <v>997</v>
      </c>
      <c r="B232" s="106" t="s">
        <v>998</v>
      </c>
      <c r="E232" s="103"/>
    </row>
    <row r="233" spans="1:5" ht="13">
      <c r="A233" s="131" t="s">
        <v>301</v>
      </c>
      <c r="B233" s="106" t="s">
        <v>1000</v>
      </c>
      <c r="E233" s="103"/>
    </row>
    <row r="234" spans="1:5" ht="13">
      <c r="A234" s="131" t="s">
        <v>1002</v>
      </c>
      <c r="B234" s="106" t="s">
        <v>1003</v>
      </c>
      <c r="E234" s="103"/>
    </row>
    <row r="235" spans="1:5" ht="13">
      <c r="A235" s="131" t="s">
        <v>1005</v>
      </c>
      <c r="B235" s="106" t="s">
        <v>1006</v>
      </c>
      <c r="E235" s="103"/>
    </row>
    <row r="236" spans="1:5" ht="13">
      <c r="A236" s="131" t="s">
        <v>302</v>
      </c>
      <c r="B236" s="106" t="s">
        <v>1008</v>
      </c>
      <c r="E236" s="103"/>
    </row>
    <row r="237" spans="1:5" ht="13">
      <c r="A237" s="131" t="s">
        <v>1010</v>
      </c>
      <c r="B237" s="106" t="s">
        <v>1011</v>
      </c>
      <c r="E237" s="103"/>
    </row>
    <row r="238" spans="1:5" ht="13">
      <c r="A238" s="131" t="s">
        <v>1013</v>
      </c>
      <c r="B238" s="106" t="s">
        <v>1014</v>
      </c>
      <c r="E238" s="103"/>
    </row>
    <row r="239" spans="1:5" ht="13">
      <c r="A239" s="131" t="s">
        <v>1016</v>
      </c>
      <c r="B239" s="106" t="s">
        <v>1017</v>
      </c>
      <c r="E239" s="103"/>
    </row>
    <row r="240" spans="1:5" ht="13">
      <c r="A240" s="131" t="s">
        <v>1019</v>
      </c>
      <c r="B240" s="106" t="s">
        <v>1020</v>
      </c>
      <c r="C240" s="103"/>
      <c r="E240" s="103"/>
    </row>
    <row r="241" spans="1:5" ht="13">
      <c r="A241" s="131" t="s">
        <v>1022</v>
      </c>
      <c r="B241" s="106" t="s">
        <v>1023</v>
      </c>
      <c r="C241" s="103"/>
      <c r="E241" s="103"/>
    </row>
    <row r="242" spans="1:5" ht="13">
      <c r="A242" s="131" t="s">
        <v>1025</v>
      </c>
      <c r="B242" s="106" t="s">
        <v>1026</v>
      </c>
      <c r="C242" s="103"/>
      <c r="E242" s="103"/>
    </row>
    <row r="243" spans="1:5" ht="13">
      <c r="A243" s="131" t="s">
        <v>1028</v>
      </c>
      <c r="B243" s="106" t="s">
        <v>1029</v>
      </c>
      <c r="C243" s="103"/>
      <c r="E243" s="103"/>
    </row>
    <row r="244" spans="1:5" ht="13">
      <c r="A244" s="131" t="s">
        <v>208</v>
      </c>
      <c r="B244" s="106" t="s">
        <v>1031</v>
      </c>
      <c r="C244" s="103"/>
      <c r="E244" s="103"/>
    </row>
    <row r="245" spans="1:5" ht="13">
      <c r="A245" s="131" t="s">
        <v>1033</v>
      </c>
      <c r="B245" s="106" t="s">
        <v>1034</v>
      </c>
      <c r="C245" s="103"/>
      <c r="E245" s="103"/>
    </row>
    <row r="246" spans="1:5" ht="13">
      <c r="A246" s="131" t="s">
        <v>1036</v>
      </c>
      <c r="B246" s="106" t="s">
        <v>1037</v>
      </c>
      <c r="C246" s="103"/>
      <c r="E246" s="103"/>
    </row>
    <row r="247" spans="1:5" ht="13">
      <c r="A247" s="131" t="s">
        <v>1039</v>
      </c>
      <c r="B247" s="106" t="s">
        <v>1040</v>
      </c>
      <c r="E247" s="103"/>
    </row>
    <row r="248" spans="1:5" ht="13">
      <c r="A248" s="131" t="s">
        <v>223</v>
      </c>
      <c r="B248" s="106" t="s">
        <v>1042</v>
      </c>
      <c r="E248" s="103"/>
    </row>
    <row r="249" spans="1:5" ht="13">
      <c r="A249" s="131" t="s">
        <v>212</v>
      </c>
      <c r="B249" s="106" t="s">
        <v>1044</v>
      </c>
      <c r="E249" s="103"/>
    </row>
    <row r="250" spans="1:5" ht="13">
      <c r="A250" s="131" t="s">
        <v>1046</v>
      </c>
      <c r="B250" s="106" t="s">
        <v>1047</v>
      </c>
      <c r="E250" s="103"/>
    </row>
    <row r="251" spans="1:5" ht="13">
      <c r="A251" s="131" t="s">
        <v>1049</v>
      </c>
      <c r="B251" s="106" t="s">
        <v>1050</v>
      </c>
      <c r="E251" s="103"/>
    </row>
    <row r="252" spans="1:5" ht="13">
      <c r="A252" s="131" t="s">
        <v>1052</v>
      </c>
      <c r="B252" s="106" t="s">
        <v>1053</v>
      </c>
      <c r="E252" s="103"/>
    </row>
    <row r="253" spans="1:5" ht="13">
      <c r="A253" s="131" t="s">
        <v>1055</v>
      </c>
      <c r="B253" s="106" t="s">
        <v>1056</v>
      </c>
      <c r="E253" s="103"/>
    </row>
    <row r="254" spans="1:5" ht="13">
      <c r="A254" s="131" t="s">
        <v>1058</v>
      </c>
      <c r="B254" s="106" t="s">
        <v>1059</v>
      </c>
      <c r="E254" s="103"/>
    </row>
    <row r="255" spans="1:5" ht="13">
      <c r="A255" s="131" t="s">
        <v>216</v>
      </c>
      <c r="B255" s="106" t="s">
        <v>1061</v>
      </c>
      <c r="E255" s="103"/>
    </row>
    <row r="256" spans="1:5" ht="13">
      <c r="A256" s="131" t="s">
        <v>303</v>
      </c>
      <c r="B256" s="106" t="s">
        <v>1064</v>
      </c>
      <c r="E256" s="103"/>
    </row>
    <row r="257" spans="1:5" ht="13">
      <c r="A257" s="131" t="s">
        <v>1066</v>
      </c>
      <c r="B257" s="106" t="s">
        <v>1067</v>
      </c>
      <c r="E257" s="103"/>
    </row>
    <row r="258" spans="1:5" ht="13">
      <c r="A258" s="131" t="s">
        <v>1069</v>
      </c>
      <c r="B258" s="106" t="s">
        <v>1070</v>
      </c>
      <c r="E258" s="103"/>
    </row>
    <row r="259" spans="1:5" ht="13">
      <c r="A259" s="131" t="s">
        <v>1072</v>
      </c>
      <c r="B259" s="106" t="s">
        <v>1073</v>
      </c>
      <c r="E259" s="103"/>
    </row>
    <row r="260" spans="1:5" ht="13">
      <c r="A260" s="131" t="s">
        <v>1075</v>
      </c>
      <c r="B260" s="106" t="s">
        <v>1076</v>
      </c>
      <c r="E260" s="103"/>
    </row>
    <row r="261" spans="1:5" ht="13">
      <c r="A261" s="131" t="s">
        <v>1078</v>
      </c>
      <c r="B261" s="106" t="s">
        <v>1079</v>
      </c>
      <c r="E261" s="103"/>
    </row>
    <row r="262" spans="1:5" ht="13">
      <c r="A262" s="131" t="s">
        <v>1081</v>
      </c>
      <c r="B262" s="106" t="s">
        <v>1082</v>
      </c>
      <c r="E262" s="103"/>
    </row>
    <row r="263" spans="1:5" ht="13">
      <c r="A263" s="131" t="s">
        <v>1084</v>
      </c>
      <c r="B263" s="106" t="s">
        <v>1085</v>
      </c>
      <c r="E263" s="103"/>
    </row>
    <row r="264" spans="1:5" ht="13">
      <c r="A264" s="131" t="s">
        <v>1087</v>
      </c>
      <c r="B264" s="106" t="s">
        <v>1088</v>
      </c>
      <c r="E264" s="103"/>
    </row>
    <row r="265" spans="1:5" ht="13">
      <c r="A265" s="131" t="s">
        <v>1090</v>
      </c>
      <c r="B265" s="106" t="s">
        <v>1091</v>
      </c>
      <c r="E265" s="103"/>
    </row>
    <row r="266" spans="1:5" ht="13">
      <c r="A266" s="131" t="s">
        <v>1093</v>
      </c>
      <c r="B266" s="106" t="s">
        <v>1094</v>
      </c>
      <c r="E266" s="103"/>
    </row>
    <row r="267" spans="1:5" ht="13">
      <c r="A267" s="131" t="s">
        <v>304</v>
      </c>
      <c r="B267" s="106" t="s">
        <v>1096</v>
      </c>
      <c r="E267" s="103"/>
    </row>
    <row r="268" spans="1:5" ht="13">
      <c r="A268" s="131" t="s">
        <v>1098</v>
      </c>
      <c r="B268" s="106" t="s">
        <v>1099</v>
      </c>
      <c r="E268" s="103"/>
    </row>
    <row r="269" spans="1:5" ht="13">
      <c r="A269" s="131" t="s">
        <v>1101</v>
      </c>
      <c r="B269" s="106" t="s">
        <v>1102</v>
      </c>
      <c r="E269" s="103"/>
    </row>
    <row r="270" spans="1:5" ht="13">
      <c r="A270" s="131" t="s">
        <v>305</v>
      </c>
      <c r="B270" s="106" t="s">
        <v>1104</v>
      </c>
      <c r="E270" s="103"/>
    </row>
    <row r="271" spans="1:5" ht="13">
      <c r="A271" s="131" t="s">
        <v>1106</v>
      </c>
      <c r="B271" s="106" t="s">
        <v>1107</v>
      </c>
      <c r="E271" s="103"/>
    </row>
    <row r="272" spans="1:5" ht="13">
      <c r="A272" s="131" t="s">
        <v>1109</v>
      </c>
      <c r="B272" s="106" t="s">
        <v>1110</v>
      </c>
      <c r="E272" s="103"/>
    </row>
    <row r="273" spans="1:5" ht="13">
      <c r="A273" s="131" t="s">
        <v>1112</v>
      </c>
      <c r="B273" s="106" t="s">
        <v>1113</v>
      </c>
      <c r="E273" s="103"/>
    </row>
    <row r="274" spans="1:5" ht="13">
      <c r="A274" s="131" t="s">
        <v>1115</v>
      </c>
      <c r="B274" s="106" t="s">
        <v>1116</v>
      </c>
      <c r="E274" s="103"/>
    </row>
    <row r="275" spans="1:5" ht="13">
      <c r="A275" s="131" t="s">
        <v>306</v>
      </c>
      <c r="B275" s="106" t="s">
        <v>1118</v>
      </c>
      <c r="E275" s="103"/>
    </row>
    <row r="276" spans="1:5" ht="13">
      <c r="A276" s="131" t="s">
        <v>1120</v>
      </c>
      <c r="B276" s="106" t="s">
        <v>1121</v>
      </c>
      <c r="E276" s="103"/>
    </row>
    <row r="277" spans="1:5" ht="13">
      <c r="A277" s="131" t="s">
        <v>307</v>
      </c>
      <c r="B277" s="106" t="s">
        <v>1123</v>
      </c>
      <c r="E277" s="103"/>
    </row>
    <row r="278" spans="1:5" ht="13">
      <c r="A278" s="131" t="s">
        <v>1125</v>
      </c>
      <c r="B278" s="106" t="s">
        <v>1126</v>
      </c>
      <c r="E278" s="103"/>
    </row>
    <row r="279" spans="1:5" ht="13">
      <c r="A279" s="131" t="s">
        <v>1128</v>
      </c>
      <c r="B279" s="106" t="s">
        <v>1129</v>
      </c>
      <c r="E279" s="103"/>
    </row>
    <row r="280" spans="1:5" ht="13">
      <c r="A280" s="131" t="s">
        <v>308</v>
      </c>
      <c r="B280" s="106" t="s">
        <v>1131</v>
      </c>
      <c r="E280" s="103"/>
    </row>
    <row r="281" spans="1:5" ht="13">
      <c r="A281" s="131" t="s">
        <v>309</v>
      </c>
      <c r="B281" s="106" t="s">
        <v>1133</v>
      </c>
      <c r="E281" s="103"/>
    </row>
    <row r="282" spans="1:5" ht="13">
      <c r="A282" s="131" t="s">
        <v>1135</v>
      </c>
      <c r="B282" s="106" t="s">
        <v>1136</v>
      </c>
      <c r="E282" s="103"/>
    </row>
    <row r="283" spans="1:5" ht="13">
      <c r="A283" s="131" t="s">
        <v>1138</v>
      </c>
      <c r="B283" s="106" t="s">
        <v>1139</v>
      </c>
      <c r="E283" s="103"/>
    </row>
    <row r="284" spans="1:5" ht="13">
      <c r="A284" s="131" t="s">
        <v>310</v>
      </c>
      <c r="B284" s="106" t="s">
        <v>1141</v>
      </c>
      <c r="E284" s="103"/>
    </row>
    <row r="285" spans="1:5" ht="13">
      <c r="A285" s="131" t="s">
        <v>311</v>
      </c>
      <c r="B285" s="106" t="s">
        <v>1143</v>
      </c>
      <c r="E285" s="103"/>
    </row>
    <row r="286" spans="1:5" ht="13">
      <c r="A286" s="131" t="s">
        <v>1145</v>
      </c>
      <c r="B286" s="106" t="s">
        <v>1146</v>
      </c>
      <c r="E286" s="103"/>
    </row>
    <row r="287" spans="1:5" ht="13">
      <c r="A287" s="131" t="s">
        <v>1148</v>
      </c>
      <c r="B287" s="106" t="s">
        <v>1149</v>
      </c>
      <c r="E287" s="103"/>
    </row>
    <row r="288" spans="1:5" ht="13">
      <c r="A288" s="131" t="s">
        <v>313</v>
      </c>
      <c r="B288" s="106" t="s">
        <v>1151</v>
      </c>
      <c r="E288" s="103"/>
    </row>
    <row r="289" spans="1:5" ht="13">
      <c r="A289" s="131" t="s">
        <v>1153</v>
      </c>
      <c r="B289" s="106" t="s">
        <v>1154</v>
      </c>
      <c r="E289" s="103"/>
    </row>
    <row r="290" spans="1:5" ht="13">
      <c r="A290" s="131" t="s">
        <v>1156</v>
      </c>
      <c r="B290" s="106" t="s">
        <v>1157</v>
      </c>
      <c r="E290" s="103"/>
    </row>
    <row r="291" spans="1:5" ht="13">
      <c r="A291" s="131" t="s">
        <v>1159</v>
      </c>
      <c r="B291" s="106" t="s">
        <v>1160</v>
      </c>
      <c r="E291" s="103"/>
    </row>
    <row r="292" spans="1:5" ht="13">
      <c r="A292" s="131" t="s">
        <v>314</v>
      </c>
      <c r="B292" s="106" t="s">
        <v>1162</v>
      </c>
      <c r="E292" s="103"/>
    </row>
    <row r="293" spans="1:5" ht="13">
      <c r="A293" s="131" t="s">
        <v>1164</v>
      </c>
      <c r="B293" s="106" t="s">
        <v>1165</v>
      </c>
      <c r="E293" s="103"/>
    </row>
    <row r="294" spans="1:5" ht="13">
      <c r="A294" s="131" t="s">
        <v>1167</v>
      </c>
      <c r="B294" s="106" t="s">
        <v>1168</v>
      </c>
      <c r="E294" s="103"/>
    </row>
    <row r="295" spans="1:5" ht="13">
      <c r="A295" s="131" t="s">
        <v>315</v>
      </c>
      <c r="B295" s="106" t="s">
        <v>1170</v>
      </c>
      <c r="E295" s="103"/>
    </row>
    <row r="296" spans="1:5" ht="13">
      <c r="A296" s="131" t="s">
        <v>1172</v>
      </c>
      <c r="B296" s="106" t="s">
        <v>1173</v>
      </c>
      <c r="E296" s="103"/>
    </row>
    <row r="297" spans="1:5" ht="13">
      <c r="A297" s="131" t="s">
        <v>1175</v>
      </c>
      <c r="B297" s="106" t="s">
        <v>1176</v>
      </c>
      <c r="E297" s="103"/>
    </row>
    <row r="298" spans="1:5" ht="13">
      <c r="A298" s="131" t="s">
        <v>316</v>
      </c>
      <c r="B298" s="106" t="s">
        <v>1178</v>
      </c>
      <c r="E298" s="103"/>
    </row>
    <row r="299" spans="1:5" ht="13">
      <c r="A299" s="131" t="s">
        <v>317</v>
      </c>
      <c r="B299" s="106" t="s">
        <v>1180</v>
      </c>
      <c r="E299" s="103"/>
    </row>
    <row r="300" spans="1:5" ht="13">
      <c r="A300" s="131" t="s">
        <v>1182</v>
      </c>
      <c r="B300" s="106" t="s">
        <v>1183</v>
      </c>
      <c r="E300" s="103"/>
    </row>
    <row r="301" spans="1:5" ht="13">
      <c r="A301" s="131" t="s">
        <v>1185</v>
      </c>
      <c r="B301" s="106" t="s">
        <v>1186</v>
      </c>
      <c r="E301" s="103"/>
    </row>
    <row r="302" spans="1:5" ht="13">
      <c r="A302" s="131" t="s">
        <v>1188</v>
      </c>
      <c r="B302" s="106" t="s">
        <v>1189</v>
      </c>
      <c r="E302" s="103"/>
    </row>
    <row r="303" spans="1:5" ht="13">
      <c r="A303" s="131" t="s">
        <v>1191</v>
      </c>
      <c r="B303" s="106" t="s">
        <v>1192</v>
      </c>
      <c r="E303" s="103"/>
    </row>
    <row r="304" spans="1:5" ht="13">
      <c r="A304" s="131" t="s">
        <v>1194</v>
      </c>
      <c r="B304" s="106" t="s">
        <v>1195</v>
      </c>
      <c r="E304" s="103"/>
    </row>
    <row r="305" spans="1:5" ht="13">
      <c r="A305" s="131" t="s">
        <v>1197</v>
      </c>
      <c r="B305" s="106" t="s">
        <v>1198</v>
      </c>
      <c r="E305" s="103"/>
    </row>
    <row r="306" spans="1:5" ht="13">
      <c r="A306" s="131" t="s">
        <v>1200</v>
      </c>
      <c r="B306" s="106" t="s">
        <v>1201</v>
      </c>
      <c r="E306" s="103"/>
    </row>
    <row r="307" spans="1:5" ht="13">
      <c r="A307" s="153" t="s">
        <v>312</v>
      </c>
      <c r="B307" s="154" t="s">
        <v>1203</v>
      </c>
      <c r="E307" s="103"/>
    </row>
    <row r="308" spans="1:5" ht="13">
      <c r="A308" s="153" t="s">
        <v>1205</v>
      </c>
      <c r="B308" s="154" t="s">
        <v>1206</v>
      </c>
      <c r="E308" s="103"/>
    </row>
    <row r="309" spans="1:5" ht="14.5">
      <c r="A309" s="153" t="s">
        <v>246</v>
      </c>
      <c r="B309" s="157" t="s">
        <v>1208</v>
      </c>
      <c r="E309" s="103"/>
    </row>
    <row r="310" spans="1:5" ht="14.5">
      <c r="A310" s="153" t="s">
        <v>281</v>
      </c>
      <c r="B310" s="157" t="s">
        <v>1210</v>
      </c>
      <c r="E310" s="103"/>
    </row>
    <row r="311" spans="1:5" ht="14.5">
      <c r="A311" s="153" t="s">
        <v>250</v>
      </c>
      <c r="B311" s="157" t="s">
        <v>1212</v>
      </c>
      <c r="E311" s="103"/>
    </row>
    <row r="312" spans="1:5" ht="13">
      <c r="A312" s="131" t="s">
        <v>1214</v>
      </c>
      <c r="B312" s="106" t="s">
        <v>1215</v>
      </c>
      <c r="E312" s="103"/>
    </row>
    <row r="313" spans="1:5" ht="13">
      <c r="A313" s="131" t="s">
        <v>1217</v>
      </c>
      <c r="B313" s="106" t="s">
        <v>1218</v>
      </c>
      <c r="E313" s="103"/>
    </row>
    <row r="314" spans="1:5" ht="13">
      <c r="A314" s="131" t="s">
        <v>1220</v>
      </c>
      <c r="B314" s="106" t="s">
        <v>1221</v>
      </c>
      <c r="E314" s="103"/>
    </row>
    <row r="315" spans="1:5" ht="13">
      <c r="A315" s="131" t="s">
        <v>1223</v>
      </c>
      <c r="B315" s="106" t="s">
        <v>1224</v>
      </c>
      <c r="E315" s="103"/>
    </row>
    <row r="316" spans="1:5" ht="13">
      <c r="A316" s="131" t="s">
        <v>1226</v>
      </c>
      <c r="B316" s="106" t="s">
        <v>1227</v>
      </c>
      <c r="E316" s="103"/>
    </row>
    <row r="317" spans="1:5" ht="13">
      <c r="A317" s="131" t="s">
        <v>1229</v>
      </c>
      <c r="B317" s="106" t="s">
        <v>1230</v>
      </c>
      <c r="E317" s="103"/>
    </row>
    <row r="318" spans="1:5" ht="13">
      <c r="A318" s="131" t="s">
        <v>1232</v>
      </c>
      <c r="B318" s="106" t="s">
        <v>1233</v>
      </c>
    </row>
    <row r="319" spans="1:5" ht="13">
      <c r="A319" s="131" t="s">
        <v>1235</v>
      </c>
      <c r="B319" s="106" t="s">
        <v>1236</v>
      </c>
    </row>
    <row r="320" spans="1:5" ht="13">
      <c r="A320" s="131" t="s">
        <v>1238</v>
      </c>
      <c r="B320" s="106" t="s">
        <v>1239</v>
      </c>
    </row>
    <row r="321" spans="1:2" ht="13">
      <c r="A321" s="131" t="s">
        <v>1241</v>
      </c>
      <c r="B321" s="106" t="s">
        <v>1242</v>
      </c>
    </row>
    <row r="322" spans="1:2" ht="13">
      <c r="A322" s="131" t="s">
        <v>222</v>
      </c>
      <c r="B322" s="106" t="s">
        <v>1244</v>
      </c>
    </row>
    <row r="323" spans="1:2" ht="13">
      <c r="A323" s="131" t="s">
        <v>1246</v>
      </c>
      <c r="B323" s="106" t="s">
        <v>1247</v>
      </c>
    </row>
    <row r="324" spans="1:2" ht="13">
      <c r="A324" s="131" t="s">
        <v>1249</v>
      </c>
      <c r="B324" s="106" t="s">
        <v>1250</v>
      </c>
    </row>
    <row r="325" spans="1:2" ht="13">
      <c r="A325" s="131" t="s">
        <v>1252</v>
      </c>
      <c r="B325" s="106" t="s">
        <v>1253</v>
      </c>
    </row>
    <row r="326" spans="1:2" ht="13">
      <c r="A326" s="131" t="s">
        <v>218</v>
      </c>
      <c r="B326" s="106" t="s">
        <v>1255</v>
      </c>
    </row>
    <row r="327" spans="1:2" ht="13">
      <c r="A327" s="134" t="s">
        <v>1258</v>
      </c>
      <c r="B327" s="139" t="s">
        <v>1259</v>
      </c>
    </row>
    <row r="328" spans="1:2" ht="13">
      <c r="A328" s="134" t="s">
        <v>1261</v>
      </c>
      <c r="B328" s="139" t="s">
        <v>1262</v>
      </c>
    </row>
    <row r="329" spans="1:2" ht="13">
      <c r="A329" s="134" t="s">
        <v>1264</v>
      </c>
      <c r="B329" s="139" t="s">
        <v>1265</v>
      </c>
    </row>
    <row r="330" spans="1:2" ht="13">
      <c r="A330" s="134" t="s">
        <v>1267</v>
      </c>
      <c r="B330" s="139" t="s">
        <v>1268</v>
      </c>
    </row>
    <row r="331" spans="1:2" ht="13">
      <c r="A331" s="134" t="s">
        <v>178</v>
      </c>
      <c r="B331" s="139" t="s">
        <v>1270</v>
      </c>
    </row>
    <row r="332" spans="1:2" ht="13">
      <c r="A332" s="134" t="s">
        <v>179</v>
      </c>
      <c r="B332" s="139" t="s">
        <v>1272</v>
      </c>
    </row>
    <row r="333" spans="1:2" ht="13">
      <c r="A333" s="134" t="s">
        <v>1274</v>
      </c>
      <c r="B333" s="139" t="s">
        <v>1275</v>
      </c>
    </row>
    <row r="334" spans="1:2" ht="13">
      <c r="A334" s="134" t="s">
        <v>1277</v>
      </c>
      <c r="B334" s="139" t="s">
        <v>1278</v>
      </c>
    </row>
    <row r="335" spans="1:2" ht="13">
      <c r="A335" s="134" t="s">
        <v>1280</v>
      </c>
      <c r="B335" s="139" t="s">
        <v>1281</v>
      </c>
    </row>
    <row r="336" spans="1:2" ht="13">
      <c r="A336" s="134" t="s">
        <v>1283</v>
      </c>
      <c r="B336" s="139" t="s">
        <v>1284</v>
      </c>
    </row>
    <row r="337" spans="1:2" ht="13">
      <c r="A337" s="134" t="s">
        <v>1286</v>
      </c>
      <c r="B337" s="139" t="s">
        <v>1287</v>
      </c>
    </row>
    <row r="338" spans="1:2" ht="13">
      <c r="A338" s="134" t="s">
        <v>1289</v>
      </c>
      <c r="B338" s="139" t="s">
        <v>1290</v>
      </c>
    </row>
    <row r="339" spans="1:2" ht="13">
      <c r="A339" s="134" t="s">
        <v>1292</v>
      </c>
      <c r="B339" s="139" t="s">
        <v>1293</v>
      </c>
    </row>
    <row r="340" spans="1:2" ht="13">
      <c r="A340" s="134" t="s">
        <v>1295</v>
      </c>
      <c r="B340" s="139" t="s">
        <v>1296</v>
      </c>
    </row>
    <row r="341" spans="1:2" ht="13">
      <c r="A341" s="134" t="s">
        <v>1298</v>
      </c>
      <c r="B341" s="139" t="s">
        <v>1299</v>
      </c>
    </row>
    <row r="342" spans="1:2" ht="13">
      <c r="A342" s="134" t="s">
        <v>1301</v>
      </c>
      <c r="B342" s="139" t="s">
        <v>1302</v>
      </c>
    </row>
    <row r="343" spans="1:2" ht="13">
      <c r="A343" s="134" t="s">
        <v>1304</v>
      </c>
      <c r="B343" s="139" t="s">
        <v>1305</v>
      </c>
    </row>
    <row r="344" spans="1:2" ht="13">
      <c r="A344" s="134" t="s">
        <v>1307</v>
      </c>
      <c r="B344" s="139" t="s">
        <v>1308</v>
      </c>
    </row>
    <row r="345" spans="1:2" ht="13">
      <c r="A345" s="134" t="s">
        <v>180</v>
      </c>
      <c r="B345" s="139" t="s">
        <v>1310</v>
      </c>
    </row>
    <row r="346" spans="1:2" ht="13">
      <c r="A346" s="134" t="s">
        <v>1312</v>
      </c>
      <c r="B346" s="139" t="s">
        <v>1313</v>
      </c>
    </row>
    <row r="347" spans="1:2" ht="13">
      <c r="A347" s="134" t="s">
        <v>1315</v>
      </c>
      <c r="B347" s="139" t="s">
        <v>1316</v>
      </c>
    </row>
    <row r="348" spans="1:2" ht="13">
      <c r="A348" s="134" t="s">
        <v>1318</v>
      </c>
      <c r="B348" s="139" t="s">
        <v>1319</v>
      </c>
    </row>
    <row r="349" spans="1:2" ht="13">
      <c r="A349" s="134" t="s">
        <v>181</v>
      </c>
      <c r="B349" s="139" t="s">
        <v>1321</v>
      </c>
    </row>
    <row r="350" spans="1:2" ht="13">
      <c r="A350" s="134" t="s">
        <v>1323</v>
      </c>
      <c r="B350" s="139" t="s">
        <v>1324</v>
      </c>
    </row>
    <row r="351" spans="1:2" ht="13">
      <c r="A351" s="134" t="s">
        <v>182</v>
      </c>
      <c r="B351" s="139" t="s">
        <v>1326</v>
      </c>
    </row>
    <row r="352" spans="1:2" ht="13">
      <c r="A352" s="134" t="s">
        <v>1328</v>
      </c>
      <c r="B352" s="139" t="s">
        <v>1329</v>
      </c>
    </row>
    <row r="353" spans="1:2" ht="13">
      <c r="A353" s="134" t="s">
        <v>1331</v>
      </c>
      <c r="B353" s="139" t="s">
        <v>1332</v>
      </c>
    </row>
    <row r="354" spans="1:2" ht="13">
      <c r="A354" s="134" t="s">
        <v>1334</v>
      </c>
      <c r="B354" s="139" t="s">
        <v>1335</v>
      </c>
    </row>
    <row r="355" spans="1:2" ht="13">
      <c r="A355" s="134" t="s">
        <v>1337</v>
      </c>
      <c r="B355" s="139" t="s">
        <v>1338</v>
      </c>
    </row>
    <row r="356" spans="1:2" ht="13">
      <c r="A356" s="134" t="s">
        <v>183</v>
      </c>
      <c r="B356" s="139" t="s">
        <v>1340</v>
      </c>
    </row>
    <row r="357" spans="1:2" ht="13">
      <c r="A357" s="134" t="s">
        <v>1342</v>
      </c>
      <c r="B357" s="139" t="s">
        <v>1343</v>
      </c>
    </row>
    <row r="358" spans="1:2" ht="13">
      <c r="A358" s="134" t="s">
        <v>1345</v>
      </c>
      <c r="B358" s="139" t="s">
        <v>1346</v>
      </c>
    </row>
    <row r="359" spans="1:2" ht="13">
      <c r="A359" s="134" t="s">
        <v>1348</v>
      </c>
      <c r="B359" s="139" t="s">
        <v>1349</v>
      </c>
    </row>
    <row r="360" spans="1:2" ht="13">
      <c r="A360" s="134" t="s">
        <v>1351</v>
      </c>
      <c r="B360" s="139" t="s">
        <v>1352</v>
      </c>
    </row>
    <row r="361" spans="1:2" ht="13">
      <c r="A361" s="134" t="s">
        <v>1354</v>
      </c>
      <c r="B361" s="139" t="s">
        <v>1355</v>
      </c>
    </row>
    <row r="362" spans="1:2" ht="13">
      <c r="A362" s="134" t="s">
        <v>1357</v>
      </c>
      <c r="B362" s="139" t="s">
        <v>1358</v>
      </c>
    </row>
    <row r="363" spans="1:2" ht="13">
      <c r="A363" s="134" t="s">
        <v>1360</v>
      </c>
      <c r="B363" s="139" t="s">
        <v>1361</v>
      </c>
    </row>
    <row r="364" spans="1:2" ht="13">
      <c r="A364" s="134" t="s">
        <v>1363</v>
      </c>
      <c r="B364" s="139" t="s">
        <v>1364</v>
      </c>
    </row>
    <row r="365" spans="1:2" ht="13">
      <c r="A365" s="134" t="s">
        <v>1366</v>
      </c>
      <c r="B365" s="139" t="s">
        <v>1367</v>
      </c>
    </row>
    <row r="366" spans="1:2" ht="13">
      <c r="A366" s="134" t="s">
        <v>184</v>
      </c>
      <c r="B366" s="139" t="s">
        <v>1369</v>
      </c>
    </row>
    <row r="367" spans="1:2" ht="13">
      <c r="A367" s="134" t="s">
        <v>1371</v>
      </c>
      <c r="B367" s="139" t="s">
        <v>1372</v>
      </c>
    </row>
    <row r="368" spans="1:2" ht="13">
      <c r="A368" s="134" t="s">
        <v>185</v>
      </c>
      <c r="B368" s="139" t="s">
        <v>1374</v>
      </c>
    </row>
    <row r="369" spans="1:2" ht="13">
      <c r="A369" s="134" t="s">
        <v>1376</v>
      </c>
      <c r="B369" s="139" t="s">
        <v>1377</v>
      </c>
    </row>
    <row r="370" spans="1:2" ht="13">
      <c r="A370" s="134" t="s">
        <v>186</v>
      </c>
      <c r="B370" s="139" t="s">
        <v>1379</v>
      </c>
    </row>
    <row r="371" spans="1:2" ht="13">
      <c r="A371" s="134" t="s">
        <v>187</v>
      </c>
      <c r="B371" s="139" t="s">
        <v>1381</v>
      </c>
    </row>
    <row r="372" spans="1:2" ht="13">
      <c r="A372" s="134" t="s">
        <v>1383</v>
      </c>
      <c r="B372" s="139" t="s">
        <v>1384</v>
      </c>
    </row>
    <row r="373" spans="1:2" ht="13">
      <c r="A373" s="134" t="s">
        <v>188</v>
      </c>
      <c r="B373" s="139" t="s">
        <v>1386</v>
      </c>
    </row>
    <row r="374" spans="1:2" ht="13">
      <c r="A374" s="134" t="s">
        <v>1388</v>
      </c>
      <c r="B374" s="139" t="s">
        <v>1389</v>
      </c>
    </row>
    <row r="375" spans="1:2" ht="13">
      <c r="A375" s="141" t="s">
        <v>1391</v>
      </c>
      <c r="B375" s="107" t="s">
        <v>1392</v>
      </c>
    </row>
    <row r="376" spans="1:2" ht="13">
      <c r="A376" s="153" t="s">
        <v>1394</v>
      </c>
      <c r="B376" s="154" t="s">
        <v>1395</v>
      </c>
    </row>
    <row r="377" spans="1:2" ht="14">
      <c r="A377" s="142" t="s">
        <v>1398</v>
      </c>
      <c r="B377" s="142" t="s">
        <v>1399</v>
      </c>
    </row>
    <row r="378" spans="1:2" ht="14">
      <c r="A378" s="142" t="s">
        <v>189</v>
      </c>
      <c r="B378" s="142" t="s">
        <v>1401</v>
      </c>
    </row>
    <row r="379" spans="1:2" ht="14">
      <c r="A379" s="142" t="s">
        <v>190</v>
      </c>
      <c r="B379" s="142" t="s">
        <v>1403</v>
      </c>
    </row>
    <row r="380" spans="1:2" ht="14">
      <c r="A380" s="142" t="s">
        <v>1405</v>
      </c>
      <c r="B380" s="142" t="s">
        <v>1406</v>
      </c>
    </row>
    <row r="381" spans="1:2" ht="14">
      <c r="A381" s="142" t="s">
        <v>1408</v>
      </c>
      <c r="B381" s="142" t="s">
        <v>1409</v>
      </c>
    </row>
    <row r="382" spans="1:2" ht="14">
      <c r="A382" s="142" t="s">
        <v>1411</v>
      </c>
      <c r="B382" s="142" t="s">
        <v>1412</v>
      </c>
    </row>
    <row r="383" spans="1:2" ht="14">
      <c r="A383" s="142" t="s">
        <v>1414</v>
      </c>
      <c r="B383" s="142" t="s">
        <v>1415</v>
      </c>
    </row>
    <row r="384" spans="1:2" ht="14">
      <c r="A384" s="142" t="s">
        <v>1417</v>
      </c>
      <c r="B384" s="142" t="s">
        <v>1418</v>
      </c>
    </row>
    <row r="385" spans="1:2" ht="14">
      <c r="A385" s="142" t="s">
        <v>1420</v>
      </c>
      <c r="B385" s="142" t="s">
        <v>1421</v>
      </c>
    </row>
    <row r="386" spans="1:2" ht="14">
      <c r="A386" s="142" t="s">
        <v>1423</v>
      </c>
      <c r="B386" s="142" t="s">
        <v>1424</v>
      </c>
    </row>
    <row r="387" spans="1:2" ht="14">
      <c r="A387" s="142" t="s">
        <v>191</v>
      </c>
      <c r="B387" s="142" t="s">
        <v>1426</v>
      </c>
    </row>
    <row r="388" spans="1:2" ht="14">
      <c r="A388" s="142" t="s">
        <v>1428</v>
      </c>
      <c r="B388" s="142" t="s">
        <v>1429</v>
      </c>
    </row>
    <row r="389" spans="1:2" ht="14">
      <c r="A389" s="142" t="s">
        <v>1431</v>
      </c>
      <c r="B389" s="142" t="s">
        <v>1432</v>
      </c>
    </row>
    <row r="390" spans="1:2" ht="14">
      <c r="A390" s="142" t="s">
        <v>1434</v>
      </c>
      <c r="B390" s="142" t="s">
        <v>1435</v>
      </c>
    </row>
    <row r="391" spans="1:2" ht="14">
      <c r="A391" s="142" t="s">
        <v>1437</v>
      </c>
      <c r="B391" s="142" t="s">
        <v>1438</v>
      </c>
    </row>
    <row r="392" spans="1:2" ht="14">
      <c r="A392" s="142" t="s">
        <v>192</v>
      </c>
      <c r="B392" s="142" t="s">
        <v>1440</v>
      </c>
    </row>
    <row r="393" spans="1:2" ht="14">
      <c r="A393" s="142" t="s">
        <v>1442</v>
      </c>
      <c r="B393" s="142" t="s">
        <v>1443</v>
      </c>
    </row>
    <row r="394" spans="1:2" ht="14">
      <c r="A394" s="142" t="s">
        <v>1445</v>
      </c>
      <c r="B394" s="142" t="s">
        <v>1446</v>
      </c>
    </row>
    <row r="395" spans="1:2" ht="14">
      <c r="A395" s="142" t="s">
        <v>193</v>
      </c>
      <c r="B395" s="142" t="s">
        <v>1448</v>
      </c>
    </row>
    <row r="396" spans="1:2" ht="14">
      <c r="A396" s="142" t="s">
        <v>1450</v>
      </c>
      <c r="B396" s="142" t="s">
        <v>1451</v>
      </c>
    </row>
    <row r="397" spans="1:2" ht="14">
      <c r="A397" s="142" t="s">
        <v>1453</v>
      </c>
      <c r="B397" s="142" t="s">
        <v>1454</v>
      </c>
    </row>
    <row r="398" spans="1:2" ht="14">
      <c r="A398" s="142" t="s">
        <v>1456</v>
      </c>
      <c r="B398" s="142" t="s">
        <v>1457</v>
      </c>
    </row>
    <row r="399" spans="1:2" ht="14">
      <c r="A399" s="142" t="s">
        <v>1459</v>
      </c>
      <c r="B399" s="142" t="s">
        <v>1460</v>
      </c>
    </row>
    <row r="400" spans="1:2" ht="14">
      <c r="A400" s="142" t="s">
        <v>1462</v>
      </c>
      <c r="B400" s="142" t="s">
        <v>1463</v>
      </c>
    </row>
    <row r="401" spans="1:2" ht="14">
      <c r="A401" s="142" t="s">
        <v>1465</v>
      </c>
      <c r="B401" s="142" t="s">
        <v>1466</v>
      </c>
    </row>
    <row r="402" spans="1:2" ht="14">
      <c r="A402" s="142" t="s">
        <v>1468</v>
      </c>
      <c r="B402" s="142" t="s">
        <v>1469</v>
      </c>
    </row>
    <row r="403" spans="1:2" ht="14">
      <c r="A403" s="142" t="s">
        <v>194</v>
      </c>
      <c r="B403" s="142" t="s">
        <v>1471</v>
      </c>
    </row>
    <row r="404" spans="1:2" ht="14">
      <c r="A404" s="142" t="s">
        <v>1473</v>
      </c>
      <c r="B404" s="142" t="s">
        <v>1474</v>
      </c>
    </row>
    <row r="405" spans="1:2" ht="14">
      <c r="A405" s="142" t="s">
        <v>1476</v>
      </c>
      <c r="B405" s="142" t="s">
        <v>1477</v>
      </c>
    </row>
    <row r="406" spans="1:2" ht="14">
      <c r="A406" s="142" t="s">
        <v>195</v>
      </c>
      <c r="B406" s="142" t="s">
        <v>1479</v>
      </c>
    </row>
    <row r="407" spans="1:2" ht="14">
      <c r="A407" s="142" t="s">
        <v>1481</v>
      </c>
      <c r="B407" s="142" t="s">
        <v>1482</v>
      </c>
    </row>
    <row r="408" spans="1:2" ht="14">
      <c r="A408" s="142" t="s">
        <v>1484</v>
      </c>
      <c r="B408" s="142" t="s">
        <v>1485</v>
      </c>
    </row>
    <row r="409" spans="1:2" ht="14">
      <c r="A409" s="142" t="s">
        <v>196</v>
      </c>
      <c r="B409" s="142" t="s">
        <v>1487</v>
      </c>
    </row>
    <row r="410" spans="1:2" ht="14">
      <c r="A410" s="142" t="s">
        <v>1489</v>
      </c>
      <c r="B410" s="142" t="s">
        <v>1490</v>
      </c>
    </row>
    <row r="411" spans="1:2" ht="14">
      <c r="A411" s="142" t="s">
        <v>1492</v>
      </c>
      <c r="B411" s="142" t="s">
        <v>1493</v>
      </c>
    </row>
    <row r="412" spans="1:2" ht="14">
      <c r="A412" s="142" t="s">
        <v>197</v>
      </c>
      <c r="B412" s="142" t="s">
        <v>1495</v>
      </c>
    </row>
    <row r="413" spans="1:2" ht="14">
      <c r="A413" s="142" t="s">
        <v>198</v>
      </c>
      <c r="B413" s="142" t="s">
        <v>1497</v>
      </c>
    </row>
    <row r="414" spans="1:2" ht="14">
      <c r="A414" s="142" t="s">
        <v>1499</v>
      </c>
      <c r="B414" s="142" t="s">
        <v>1500</v>
      </c>
    </row>
    <row r="415" spans="1:2" ht="14">
      <c r="A415" s="142" t="s">
        <v>1502</v>
      </c>
      <c r="B415" s="142" t="s">
        <v>1503</v>
      </c>
    </row>
    <row r="416" spans="1:2" ht="14">
      <c r="A416" s="142" t="s">
        <v>199</v>
      </c>
      <c r="B416" s="142" t="s">
        <v>1505</v>
      </c>
    </row>
    <row r="417" spans="1:2" ht="14">
      <c r="A417" s="142" t="s">
        <v>1507</v>
      </c>
      <c r="B417" s="142" t="s">
        <v>1508</v>
      </c>
    </row>
    <row r="418" spans="1:2" ht="14">
      <c r="A418" s="142" t="s">
        <v>200</v>
      </c>
      <c r="B418" s="142" t="s">
        <v>1510</v>
      </c>
    </row>
    <row r="419" spans="1:2" ht="14">
      <c r="A419" s="142" t="s">
        <v>1512</v>
      </c>
      <c r="B419" s="142" t="s">
        <v>1513</v>
      </c>
    </row>
    <row r="420" spans="1:2" ht="14">
      <c r="A420" s="142" t="s">
        <v>201</v>
      </c>
      <c r="B420" s="142" t="s">
        <v>1515</v>
      </c>
    </row>
    <row r="421" spans="1:2" ht="14">
      <c r="A421" s="142" t="s">
        <v>1517</v>
      </c>
      <c r="B421" s="142" t="s">
        <v>1518</v>
      </c>
    </row>
    <row r="422" spans="1:2" ht="14">
      <c r="A422" s="142" t="s">
        <v>203</v>
      </c>
      <c r="B422" s="142" t="s">
        <v>1520</v>
      </c>
    </row>
    <row r="423" spans="1:2" ht="14">
      <c r="A423" s="142" t="s">
        <v>1522</v>
      </c>
      <c r="B423" s="142" t="s">
        <v>1523</v>
      </c>
    </row>
    <row r="424" spans="1:2" ht="14">
      <c r="A424" s="142" t="s">
        <v>1525</v>
      </c>
      <c r="B424" s="142" t="s">
        <v>1526</v>
      </c>
    </row>
    <row r="425" spans="1:2" ht="14">
      <c r="A425" s="142" t="s">
        <v>1528</v>
      </c>
      <c r="B425" s="142" t="s">
        <v>1529</v>
      </c>
    </row>
    <row r="426" spans="1:2" ht="14">
      <c r="A426" s="142" t="s">
        <v>1531</v>
      </c>
      <c r="B426" s="142" t="s">
        <v>1532</v>
      </c>
    </row>
    <row r="427" spans="1:2" ht="14">
      <c r="A427" s="142" t="s">
        <v>1534</v>
      </c>
      <c r="B427" s="142" t="s">
        <v>1535</v>
      </c>
    </row>
    <row r="428" spans="1:2" ht="14">
      <c r="A428" s="142" t="s">
        <v>1537</v>
      </c>
      <c r="B428" s="142" t="s">
        <v>1538</v>
      </c>
    </row>
    <row r="429" spans="1:2" ht="14">
      <c r="A429" s="142" t="s">
        <v>204</v>
      </c>
      <c r="B429" s="142" t="s">
        <v>1540</v>
      </c>
    </row>
    <row r="430" spans="1:2" ht="14">
      <c r="A430" s="142" t="s">
        <v>205</v>
      </c>
      <c r="B430" s="142" t="s">
        <v>1542</v>
      </c>
    </row>
    <row r="431" spans="1:2" ht="14">
      <c r="A431" s="142" t="s">
        <v>206</v>
      </c>
      <c r="B431" s="142" t="s">
        <v>1544</v>
      </c>
    </row>
    <row r="432" spans="1:2" ht="14">
      <c r="A432" s="158" t="s">
        <v>202</v>
      </c>
      <c r="B432" s="158" t="s">
        <v>1546</v>
      </c>
    </row>
    <row r="433" spans="1:2" ht="14">
      <c r="A433" s="158" t="s">
        <v>1548</v>
      </c>
      <c r="B433" s="158" t="s">
        <v>1549</v>
      </c>
    </row>
    <row r="434" spans="1:2" ht="14">
      <c r="A434" s="158" t="s">
        <v>1551</v>
      </c>
      <c r="B434" s="158" t="s">
        <v>1552</v>
      </c>
    </row>
    <row r="435" spans="1:2" ht="14">
      <c r="A435" s="158" t="s">
        <v>1554</v>
      </c>
      <c r="B435" s="158" t="s">
        <v>1555</v>
      </c>
    </row>
    <row r="436" spans="1:2" ht="14">
      <c r="A436" s="158" t="s">
        <v>1557</v>
      </c>
      <c r="B436" s="158" t="s">
        <v>1558</v>
      </c>
    </row>
    <row r="437" spans="1:2" ht="14">
      <c r="A437" s="158" t="s">
        <v>1560</v>
      </c>
      <c r="B437" s="158" t="s">
        <v>1561</v>
      </c>
    </row>
    <row r="438" spans="1:2" ht="14">
      <c r="A438" s="158" t="s">
        <v>1563</v>
      </c>
      <c r="B438" s="158" t="s">
        <v>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Faculty List</vt:lpstr>
      <vt:lpstr>Exam</vt:lpstr>
      <vt:lpstr>Course Details</vt:lpstr>
      <vt:lpstr>Schedule</vt:lpstr>
      <vt:lpstr>Rescheduling Master</vt:lpstr>
      <vt:lpstr>Sample Sheet</vt:lpstr>
      <vt:lpstr>Section Details</vt:lpstr>
      <vt:lpstr>Batch || Working</vt:lpstr>
      <vt:lpstr>Fintech</vt:lpstr>
      <vt:lpstr>Fintech-A</vt:lpstr>
      <vt:lpstr>BEDM</vt:lpstr>
      <vt:lpstr>Fintech-B</vt:lpstr>
      <vt:lpstr>BEDM-A</vt:lpstr>
      <vt:lpstr>BEDM-B</vt:lpstr>
      <vt:lpstr>WH</vt:lpstr>
      <vt:lpstr>WH-A</vt:lpstr>
      <vt:lpstr>WH-B</vt:lpstr>
      <vt:lpstr>Art</vt:lpstr>
      <vt:lpstr>Art-A</vt:lpstr>
      <vt:lpstr>Art-B</vt:lpstr>
      <vt:lpstr>LETV</vt:lpstr>
      <vt:lpstr>SHRM</vt:lpstr>
      <vt:lpstr>AIS</vt:lpstr>
      <vt:lpstr>EB</vt:lpstr>
      <vt:lpstr>AIAM</vt:lpstr>
      <vt:lpstr>AIAM-A</vt:lpstr>
      <vt:lpstr>AIAM-B</vt:lpstr>
      <vt:lpstr>I4TS</vt:lpstr>
      <vt:lpstr>SA-A</vt:lpstr>
      <vt:lpstr>SA</vt:lpstr>
      <vt:lpstr>SA-B</vt:lpstr>
      <vt:lpstr>SCM</vt:lpstr>
      <vt:lpstr>SCM-A</vt:lpstr>
      <vt:lpstr>SCM-B</vt:lpstr>
      <vt:lpstr>Film&amp;Firm</vt:lpstr>
      <vt:lpstr>Film&amp;Firm-A</vt:lpstr>
      <vt:lpstr>Film&amp;Firm-B</vt:lpstr>
      <vt:lpstr>CSM</vt:lpstr>
      <vt:lpstr>EM</vt:lpstr>
      <vt:lpstr>Batch_Data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PRANUV R</cp:lastModifiedBy>
  <dcterms:modified xsi:type="dcterms:W3CDTF">2026-03-04T06:14:28Z</dcterms:modified>
</cp:coreProperties>
</file>